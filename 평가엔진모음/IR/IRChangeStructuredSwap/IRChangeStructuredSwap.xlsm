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N14" i="2"/>
  <c r="O14" i="2" s="1"/>
  <c r="Q14" i="2" s="1"/>
  <c r="I14" i="2"/>
  <c r="G14" i="2"/>
  <c r="C14" i="2"/>
  <c r="Q13" i="2"/>
  <c r="P13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N15" i="2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<sst xmlns="http://schemas.openxmlformats.org/spreadsheetml/2006/main" count="238" uniqueCount="107">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</sst>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7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  <xf numFmtId="176" fontId="2" fillId="7" borderId="0" xfId="0" applyNumberFormat="1" applyFont="1" applyFill="1" applyBorder="1" applyAlignment="1">
      <alignment vertical="center"/>
    </xf>
    <xf numFmtId="179" fontId="3" fillId="8" borderId="0" xfId="0" applyNumberFormat="1" applyFont="1" applyFill="1" applyBorder="1">
      <alignment vertical="center"/>
    </xf>
    <xf numFmtId="177" fontId="6" fillId="11" borderId="0" xfId="0" applyNumberFormat="1" applyFont="1" applyFill="1" applyBorder="1" applyAlignment="1">
      <alignment vertical="center"/>
    </xf>
    <xf numFmtId="0" fontId="10" fillId="11" borderId="0" xfId="0" applyFont="1" applyFill="1" applyBorder="1">
      <alignment vertical="center"/>
    </xf>
    <xf numFmtId="0" fontId="11" fillId="12" borderId="0" xfId="0" applyFont="1" applyFill="1" applyBorder="1">
      <alignment vertical="center"/>
    </xf>
    <xf numFmtId="0" fontId="11" fillId="11" borderId="0" xfId="0" applyFont="1" applyFill="1" applyBorder="1">
      <alignment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3"/>
  <sheetViews>
    <sheetView tabSelected="1" topLeftCell="B7" zoomScale="90" zoomScaleNormal="90" workbookViewId="0">
      <selection activeCell="P17" sqref="P17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9" style="14" customWidth="1"/>
    <col min="11" max="14" width="9" style="14"/>
    <col min="15" max="15" width="9" style="14" customWidth="1"/>
    <col min="16" max="19" width="9" style="14"/>
    <col min="20" max="20" width="9" style="14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96" t="s">
        <v>0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</row>
    <row r="3" spans="1:45" x14ac:dyDescent="0.4">
      <c r="A3" s="96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</row>
    <row r="4" spans="1:45" x14ac:dyDescent="0.4">
      <c r="A4" s="14">
        <f>4</f>
        <v>4</v>
      </c>
      <c r="B4" s="84" t="s">
        <v>2</v>
      </c>
      <c r="C4" s="84"/>
      <c r="D4" s="85">
        <v>4</v>
      </c>
      <c r="E4" s="85"/>
    </row>
    <row r="5" spans="1:45" x14ac:dyDescent="0.4">
      <c r="A5" s="14">
        <f>A4+1</f>
        <v>5</v>
      </c>
      <c r="G5" s="89" t="s">
        <v>22</v>
      </c>
      <c r="H5" s="91" t="s">
        <v>21</v>
      </c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</row>
    <row r="6" spans="1:45" x14ac:dyDescent="0.4">
      <c r="A6" s="14">
        <f t="shared" ref="A6:A82" si="1">A5+1</f>
        <v>6</v>
      </c>
      <c r="B6" s="84" t="s">
        <v>3</v>
      </c>
      <c r="C6" s="84"/>
      <c r="D6" s="85">
        <v>1</v>
      </c>
      <c r="E6" s="85"/>
      <c r="G6" s="90"/>
      <c r="H6" s="92" t="s">
        <v>7</v>
      </c>
      <c r="I6" s="93"/>
      <c r="L6" s="88" t="s">
        <v>11</v>
      </c>
      <c r="M6" s="88"/>
      <c r="N6" s="88"/>
      <c r="Q6" s="88" t="s">
        <v>12</v>
      </c>
      <c r="R6" s="88"/>
      <c r="S6" s="88"/>
      <c r="V6" s="88" t="s">
        <v>13</v>
      </c>
      <c r="W6" s="88"/>
      <c r="X6" s="88"/>
    </row>
    <row r="7" spans="1:45" x14ac:dyDescent="0.4">
      <c r="A7" s="14">
        <f t="shared" si="1"/>
        <v>7</v>
      </c>
      <c r="B7" s="84" t="s">
        <v>4</v>
      </c>
      <c r="C7" s="84"/>
      <c r="D7" s="85">
        <v>1</v>
      </c>
      <c r="E7" s="85"/>
      <c r="G7" s="90"/>
      <c r="H7" s="94"/>
      <c r="I7" s="95"/>
      <c r="L7" s="88"/>
      <c r="M7" s="88"/>
      <c r="N7" s="88"/>
      <c r="Q7" s="88"/>
      <c r="R7" s="88"/>
      <c r="S7" s="88"/>
      <c r="V7" s="88"/>
      <c r="W7" s="88"/>
      <c r="X7" s="88"/>
    </row>
    <row r="8" spans="1:45" x14ac:dyDescent="0.4">
      <c r="A8" s="14">
        <f t="shared" si="1"/>
        <v>8</v>
      </c>
      <c r="B8" s="84" t="s">
        <v>1</v>
      </c>
      <c r="C8" s="84"/>
      <c r="D8" s="85">
        <v>0.01</v>
      </c>
      <c r="E8" s="85"/>
      <c r="G8" s="90"/>
      <c r="V8" s="88" t="s">
        <v>14</v>
      </c>
      <c r="W8" s="88"/>
      <c r="X8" s="5">
        <v>3</v>
      </c>
    </row>
    <row r="9" spans="1:45" x14ac:dyDescent="0.4">
      <c r="A9" s="14">
        <f t="shared" si="1"/>
        <v>9</v>
      </c>
      <c r="G9" s="90"/>
      <c r="H9" s="2" t="s">
        <v>8</v>
      </c>
      <c r="I9" s="3">
        <v>0.01</v>
      </c>
      <c r="Q9" s="88" t="s">
        <v>15</v>
      </c>
      <c r="R9" s="88"/>
      <c r="S9" s="5">
        <v>3</v>
      </c>
      <c r="V9" s="86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90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72</v>
      </c>
      <c r="Q10" s="8" t="s">
        <v>18</v>
      </c>
      <c r="R10" s="8" t="s">
        <v>19</v>
      </c>
      <c r="S10" s="2" t="s">
        <v>20</v>
      </c>
      <c r="V10" s="87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90"/>
      <c r="H11" s="1">
        <v>0.5</v>
      </c>
      <c r="I11" s="4">
        <v>1.3219156796419782E-2</v>
      </c>
      <c r="L11" s="10">
        <v>1</v>
      </c>
      <c r="M11" s="11">
        <v>2.7397260273972603E-3</v>
      </c>
      <c r="N11" s="12">
        <v>3.1519999999999999E-2</v>
      </c>
      <c r="Q11" s="10">
        <v>1</v>
      </c>
      <c r="R11" s="11">
        <v>1</v>
      </c>
      <c r="S11" s="12">
        <v>0.17964285714285716</v>
      </c>
      <c r="U11" s="39"/>
      <c r="V11" s="9">
        <v>0.5</v>
      </c>
      <c r="W11" s="13">
        <v>0.29149999999999998</v>
      </c>
      <c r="X11" s="13">
        <v>0.30049999999999999</v>
      </c>
      <c r="Y11" s="13">
        <v>0.29799999999999999</v>
      </c>
      <c r="Z11" s="13">
        <v>0.29612499999999997</v>
      </c>
      <c r="AA11" s="13">
        <v>0.295875</v>
      </c>
      <c r="AB11" s="13">
        <v>0.29459374999999999</v>
      </c>
      <c r="AC11" s="13">
        <v>0.29212499999999997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90"/>
      <c r="H12" s="1">
        <v>1</v>
      </c>
      <c r="I12" s="4">
        <v>1.3366790318947877E-2</v>
      </c>
      <c r="L12" s="10">
        <f>L11+1</f>
        <v>2</v>
      </c>
      <c r="M12" s="11">
        <v>0.25</v>
      </c>
      <c r="N12" s="12">
        <v>3.261E-2</v>
      </c>
      <c r="Q12" s="10">
        <f>Q11+1</f>
        <v>2</v>
      </c>
      <c r="R12" s="11">
        <v>2</v>
      </c>
      <c r="S12" s="12">
        <v>0.18085714285714286</v>
      </c>
      <c r="U12" s="39"/>
      <c r="V12" s="9">
        <v>1</v>
      </c>
      <c r="W12" s="13">
        <v>0.29549999999999998</v>
      </c>
      <c r="X12" s="13">
        <v>0.30149999999999999</v>
      </c>
      <c r="Y12" s="13">
        <v>0.29549999999999998</v>
      </c>
      <c r="Z12" s="13">
        <v>0.29425000000000001</v>
      </c>
      <c r="AA12" s="13">
        <v>0.29562500000000003</v>
      </c>
      <c r="AB12" s="13">
        <v>0.29331249999999998</v>
      </c>
      <c r="AC12" s="13">
        <v>0.28965624999999995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97" t="s">
        <v>6</v>
      </c>
      <c r="E13" s="97"/>
      <c r="G13" s="90"/>
      <c r="H13" s="1">
        <v>1.5</v>
      </c>
      <c r="I13" s="4">
        <v>1.2363773728838059E-2</v>
      </c>
      <c r="L13" s="10">
        <f t="shared" ref="L13:L40" si="2">L12+1</f>
        <v>3</v>
      </c>
      <c r="M13" s="11">
        <v>0.5</v>
      </c>
      <c r="N13" s="12">
        <v>3.3500000000000002E-2</v>
      </c>
      <c r="Q13" s="10">
        <f t="shared" ref="Q13:Q40" si="3">Q12+1</f>
        <v>3</v>
      </c>
      <c r="R13" s="11">
        <v>3</v>
      </c>
      <c r="S13" s="12">
        <v>0.17971428571428572</v>
      </c>
      <c r="U13" s="39"/>
      <c r="V13" s="9">
        <v>1.5</v>
      </c>
      <c r="W13" s="13">
        <v>0.30300000000000005</v>
      </c>
      <c r="X13" s="13">
        <v>0.30800000000000005</v>
      </c>
      <c r="Y13" s="13">
        <v>0.28949999999999998</v>
      </c>
      <c r="Z13" s="13">
        <v>0.29299999999999998</v>
      </c>
      <c r="AA13" s="13">
        <v>0.29699999999999999</v>
      </c>
      <c r="AB13" s="13">
        <v>0.29099999999999998</v>
      </c>
      <c r="AC13" s="13">
        <v>0.28599999999999998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97"/>
      <c r="E14" s="97"/>
      <c r="G14" s="90"/>
      <c r="H14" s="1">
        <v>2</v>
      </c>
      <c r="I14" s="4">
        <v>1.206590370700446E-2</v>
      </c>
      <c r="L14" s="10">
        <f t="shared" si="2"/>
        <v>4</v>
      </c>
      <c r="M14" s="11">
        <v>1</v>
      </c>
      <c r="N14" s="12">
        <v>3.4509999999999999E-2</v>
      </c>
      <c r="Q14" s="10">
        <f t="shared" si="3"/>
        <v>4</v>
      </c>
      <c r="R14" s="11">
        <v>4</v>
      </c>
      <c r="S14" s="12">
        <v>0.1772857142857143</v>
      </c>
      <c r="U14" s="39"/>
      <c r="V14" s="9">
        <v>2</v>
      </c>
      <c r="W14" s="13">
        <v>0.314</v>
      </c>
      <c r="X14" s="13">
        <v>0.3155</v>
      </c>
      <c r="Y14" s="13">
        <v>0.29199999999999998</v>
      </c>
      <c r="Z14" s="13">
        <v>0.29249999999999998</v>
      </c>
      <c r="AA14" s="13">
        <v>0.29299999999999998</v>
      </c>
      <c r="AB14" s="13">
        <v>0.28699999999999998</v>
      </c>
      <c r="AC14" s="13">
        <v>0.28199999999999997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97"/>
      <c r="E15" s="97"/>
      <c r="G15" s="90"/>
      <c r="H15" s="1">
        <v>3</v>
      </c>
      <c r="I15" s="4">
        <v>1.2038384002599366E-2</v>
      </c>
      <c r="L15" s="10">
        <f t="shared" si="2"/>
        <v>5</v>
      </c>
      <c r="M15" s="11">
        <v>1.5</v>
      </c>
      <c r="N15" s="12">
        <v>0.04</v>
      </c>
      <c r="Q15" s="10">
        <f t="shared" si="3"/>
        <v>5</v>
      </c>
      <c r="R15" s="11">
        <v>5</v>
      </c>
      <c r="S15" s="12">
        <v>0.17885714285714285</v>
      </c>
      <c r="U15" s="39"/>
      <c r="V15" s="9">
        <v>3</v>
      </c>
      <c r="W15" s="13">
        <v>0.32250000000000001</v>
      </c>
      <c r="X15" s="13">
        <v>0.3165</v>
      </c>
      <c r="Y15" s="13">
        <v>0.29249999999999998</v>
      </c>
      <c r="Z15" s="13">
        <v>0.28899999999999998</v>
      </c>
      <c r="AA15" s="13">
        <v>0.28549999999999998</v>
      </c>
      <c r="AB15" s="13">
        <v>0.28199999999999997</v>
      </c>
      <c r="AC15" s="13">
        <v>0.28000000000000003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90"/>
      <c r="H16" s="1">
        <v>4</v>
      </c>
      <c r="I16" s="4">
        <v>1.1786924176058476E-2</v>
      </c>
      <c r="L16" s="10">
        <f t="shared" si="2"/>
        <v>6</v>
      </c>
      <c r="M16" s="11">
        <v>2</v>
      </c>
      <c r="N16" s="12">
        <v>4.2229999999999997E-2</v>
      </c>
      <c r="Q16" s="10">
        <f t="shared" si="3"/>
        <v>6</v>
      </c>
      <c r="R16" s="11">
        <v>7</v>
      </c>
      <c r="S16" s="12">
        <v>0.17299999999999999</v>
      </c>
      <c r="U16" s="39"/>
      <c r="V16" s="9">
        <v>4</v>
      </c>
      <c r="W16" s="13">
        <v>0.31900000000000001</v>
      </c>
      <c r="X16" s="13">
        <v>0.3155</v>
      </c>
      <c r="Y16" s="13">
        <v>0.29049999999999998</v>
      </c>
      <c r="Z16" s="13">
        <v>0.28599999999999998</v>
      </c>
      <c r="AA16" s="13">
        <v>0.28199999999999997</v>
      </c>
      <c r="AB16" s="13">
        <v>0.28000000000000003</v>
      </c>
      <c r="AC16" s="13">
        <v>0.27800000000000002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98">
        <v>44927.895057870373</v>
      </c>
      <c r="E17" s="98"/>
      <c r="G17" s="90"/>
      <c r="H17" s="1">
        <v>5</v>
      </c>
      <c r="I17" s="4">
        <v>1.2600310785032313E-2</v>
      </c>
      <c r="L17" s="10">
        <f t="shared" si="2"/>
        <v>7</v>
      </c>
      <c r="M17" s="11">
        <v>2</v>
      </c>
      <c r="N17" s="12">
        <v>4.2229999999999997E-2</v>
      </c>
      <c r="Q17" s="10">
        <f t="shared" si="3"/>
        <v>7</v>
      </c>
      <c r="R17" s="11">
        <v>10</v>
      </c>
      <c r="S17" s="12">
        <v>0.17214285714285715</v>
      </c>
      <c r="U17" s="39"/>
      <c r="V17" s="9">
        <v>5</v>
      </c>
      <c r="W17" s="13">
        <v>0.32300000000000001</v>
      </c>
      <c r="X17" s="13">
        <v>0.3155</v>
      </c>
      <c r="Y17" s="13">
        <v>0.29199999999999998</v>
      </c>
      <c r="Z17" s="13">
        <v>0.28749999999999998</v>
      </c>
      <c r="AA17" s="13">
        <v>0.28300000000000003</v>
      </c>
      <c r="AB17" s="13">
        <v>0.28199999999999997</v>
      </c>
      <c r="AC17" s="13">
        <v>0.27900000000000003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98">
        <v>44927.895057870373</v>
      </c>
      <c r="E18" s="98"/>
      <c r="G18" s="90"/>
      <c r="H18" s="1">
        <v>7</v>
      </c>
      <c r="I18" s="4">
        <v>1.1460311293393127E-2</v>
      </c>
      <c r="L18" s="10">
        <f t="shared" si="2"/>
        <v>8</v>
      </c>
      <c r="M18" s="11">
        <v>3</v>
      </c>
      <c r="N18" s="12">
        <v>4.2500000000000003E-2</v>
      </c>
      <c r="Q18" s="10">
        <f t="shared" si="3"/>
        <v>8</v>
      </c>
      <c r="R18" s="11"/>
      <c r="S18" s="12"/>
      <c r="U18" s="15"/>
      <c r="V18" s="9">
        <v>7</v>
      </c>
      <c r="W18" s="13">
        <v>0.311</v>
      </c>
      <c r="X18" s="13">
        <v>0.3085</v>
      </c>
      <c r="Y18" s="13">
        <v>0.28599999999999998</v>
      </c>
      <c r="Z18" s="13">
        <v>0.28349999999999997</v>
      </c>
      <c r="AA18" s="13">
        <v>0.28000000000000003</v>
      </c>
      <c r="AB18" s="13">
        <v>0.27800000000000002</v>
      </c>
      <c r="AC18" s="13">
        <v>0.27400000000000002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90"/>
      <c r="H19" s="1">
        <v>10</v>
      </c>
      <c r="I19" s="4">
        <v>1.0977718963818005E-2</v>
      </c>
      <c r="L19" s="10">
        <f t="shared" si="2"/>
        <v>9</v>
      </c>
      <c r="M19" s="11">
        <v>4</v>
      </c>
      <c r="N19" s="12">
        <v>4.3450000000000003E-2</v>
      </c>
      <c r="P19" s="39"/>
      <c r="Q19" s="10">
        <f t="shared" si="3"/>
        <v>9</v>
      </c>
      <c r="R19" s="11"/>
      <c r="S19" s="12"/>
      <c r="U19" s="15"/>
      <c r="V19" s="9">
        <v>10</v>
      </c>
      <c r="W19" s="13">
        <v>0.311</v>
      </c>
      <c r="X19" s="13">
        <v>0.3095</v>
      </c>
      <c r="Y19" s="13">
        <v>0.28599999999999998</v>
      </c>
      <c r="Z19" s="13">
        <v>0.28349999999999997</v>
      </c>
      <c r="AA19" s="13">
        <v>0.28000000000000003</v>
      </c>
      <c r="AB19" s="13">
        <v>0.27699999999999997</v>
      </c>
      <c r="AC19" s="13">
        <v>0.26800000000000002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90"/>
      <c r="H20" s="1"/>
      <c r="I20" s="4"/>
      <c r="L20" s="10">
        <f t="shared" si="2"/>
        <v>10</v>
      </c>
      <c r="M20" s="11">
        <v>5</v>
      </c>
      <c r="N20" s="12">
        <v>4.2889999999999998E-2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90"/>
      <c r="H21" s="1"/>
      <c r="I21" s="4"/>
      <c r="L21" s="10">
        <f t="shared" si="2"/>
        <v>11</v>
      </c>
      <c r="M21" s="11">
        <v>10</v>
      </c>
      <c r="N21" s="12">
        <v>4.274E-2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90"/>
      <c r="H22" s="1"/>
      <c r="I22" s="4"/>
      <c r="L22" s="10">
        <f t="shared" si="2"/>
        <v>12</v>
      </c>
      <c r="M22" s="11">
        <v>20</v>
      </c>
      <c r="N22" s="12">
        <v>4.1399999999999999E-2</v>
      </c>
      <c r="P22" s="39"/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90"/>
      <c r="H23" s="1"/>
      <c r="I23" s="4"/>
      <c r="L23" s="10">
        <f t="shared" si="2"/>
        <v>13</v>
      </c>
      <c r="M23" s="11">
        <v>30</v>
      </c>
      <c r="N23" s="12">
        <v>4.0489999999999998E-2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90"/>
      <c r="H24" s="1"/>
      <c r="I24" s="4"/>
      <c r="L24" s="10">
        <f t="shared" si="2"/>
        <v>14</v>
      </c>
      <c r="M24" s="11"/>
      <c r="N24" s="12"/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90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90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90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90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90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90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90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90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90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90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90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90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90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90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90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90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35">
      <c r="G41" s="83"/>
      <c r="H41" s="199"/>
      <c r="I41" s="200"/>
      <c r="L41" s="201"/>
      <c r="M41" s="202"/>
      <c r="N41" s="203"/>
      <c r="Q41" s="201"/>
      <c r="R41" s="204"/>
      <c r="S41" s="203"/>
      <c r="V41" s="205"/>
      <c r="W41" s="206"/>
      <c r="X41" s="206"/>
      <c r="Y41" s="206"/>
      <c r="Z41" s="206"/>
      <c r="AA41" s="206"/>
      <c r="AB41" s="206"/>
      <c r="AC41" s="206"/>
      <c r="AD41" s="206"/>
      <c r="AE41" s="206"/>
      <c r="AF41" s="206"/>
      <c r="AG41" s="206"/>
      <c r="AH41" s="206"/>
      <c r="AI41" s="206"/>
      <c r="AJ41" s="206"/>
      <c r="AK41" s="206"/>
      <c r="AL41" s="206"/>
      <c r="AM41" s="206"/>
      <c r="AN41" s="206"/>
    </row>
    <row r="42" spans="1:40" x14ac:dyDescent="0.35">
      <c r="G42" s="83"/>
      <c r="H42" s="199"/>
      <c r="I42" s="200"/>
      <c r="L42" s="201"/>
      <c r="M42" s="202"/>
      <c r="N42" s="203"/>
      <c r="Q42" s="201"/>
      <c r="R42" s="204"/>
      <c r="S42" s="203"/>
      <c r="V42" s="205"/>
      <c r="W42" s="206"/>
      <c r="X42" s="206"/>
      <c r="Y42" s="206"/>
      <c r="Z42" s="206"/>
      <c r="AA42" s="206"/>
      <c r="AB42" s="206"/>
      <c r="AC42" s="206"/>
      <c r="AD42" s="206"/>
      <c r="AE42" s="206"/>
      <c r="AF42" s="206"/>
      <c r="AG42" s="206"/>
      <c r="AH42" s="206"/>
      <c r="AI42" s="206"/>
      <c r="AJ42" s="206"/>
      <c r="AK42" s="206"/>
      <c r="AL42" s="206"/>
      <c r="AM42" s="206"/>
      <c r="AN42" s="206"/>
    </row>
    <row r="43" spans="1:40" x14ac:dyDescent="0.35">
      <c r="G43" s="83"/>
      <c r="H43" s="199"/>
      <c r="I43" s="200"/>
      <c r="L43" s="201"/>
      <c r="M43" s="202"/>
      <c r="N43" s="203"/>
      <c r="Q43" s="201"/>
      <c r="R43" s="204"/>
      <c r="S43" s="203"/>
      <c r="V43" s="205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6"/>
      <c r="AK43" s="206"/>
      <c r="AL43" s="206"/>
      <c r="AM43" s="206"/>
      <c r="AN43" s="206"/>
    </row>
    <row r="44" spans="1:40" x14ac:dyDescent="0.35">
      <c r="G44" s="83"/>
      <c r="H44" s="199"/>
      <c r="I44" s="200"/>
      <c r="L44" s="201"/>
      <c r="M44" s="202"/>
      <c r="N44" s="203"/>
      <c r="Q44" s="201"/>
      <c r="R44" s="204"/>
      <c r="S44" s="203"/>
      <c r="V44" s="205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6"/>
      <c r="AK44" s="206"/>
      <c r="AL44" s="206"/>
      <c r="AM44" s="206"/>
      <c r="AN44" s="206"/>
    </row>
    <row r="45" spans="1:40" x14ac:dyDescent="0.35">
      <c r="G45" s="83"/>
      <c r="H45" s="199"/>
      <c r="I45" s="200"/>
      <c r="L45" s="201"/>
      <c r="M45" s="202"/>
      <c r="N45" s="203"/>
      <c r="Q45" s="201"/>
      <c r="R45" s="204"/>
      <c r="S45" s="203"/>
      <c r="V45" s="205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206"/>
      <c r="AL45" s="206"/>
      <c r="AM45" s="206"/>
      <c r="AN45" s="206"/>
    </row>
    <row r="46" spans="1:40" x14ac:dyDescent="0.35">
      <c r="G46" s="83"/>
      <c r="H46" s="199"/>
      <c r="I46" s="200"/>
      <c r="L46" s="201"/>
      <c r="M46" s="202"/>
      <c r="N46" s="203"/>
      <c r="Q46" s="201"/>
      <c r="R46" s="204"/>
      <c r="S46" s="203"/>
      <c r="V46" s="205"/>
      <c r="W46" s="206"/>
      <c r="X46" s="206"/>
      <c r="Y46" s="206"/>
      <c r="Z46" s="206"/>
      <c r="AA46" s="206"/>
      <c r="AB46" s="206"/>
      <c r="AC46" s="206"/>
      <c r="AD46" s="206"/>
      <c r="AE46" s="206"/>
      <c r="AF46" s="206"/>
      <c r="AG46" s="206"/>
      <c r="AH46" s="206"/>
      <c r="AI46" s="206"/>
      <c r="AJ46" s="206"/>
      <c r="AK46" s="206"/>
      <c r="AL46" s="206"/>
      <c r="AM46" s="206"/>
      <c r="AN46" s="206"/>
    </row>
    <row r="47" spans="1:40" x14ac:dyDescent="0.35">
      <c r="G47" s="83"/>
      <c r="H47" s="199"/>
      <c r="I47" s="200"/>
      <c r="L47" s="201"/>
      <c r="M47" s="202"/>
      <c r="N47" s="203"/>
      <c r="Q47" s="201"/>
      <c r="R47" s="204"/>
      <c r="S47" s="203"/>
      <c r="V47" s="205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6"/>
      <c r="AH47" s="206"/>
      <c r="AI47" s="206"/>
      <c r="AJ47" s="206"/>
      <c r="AK47" s="206"/>
      <c r="AL47" s="206"/>
      <c r="AM47" s="206"/>
      <c r="AN47" s="206"/>
    </row>
    <row r="48" spans="1:40" x14ac:dyDescent="0.35">
      <c r="G48" s="83"/>
      <c r="H48" s="199"/>
      <c r="I48" s="200"/>
      <c r="L48" s="201"/>
      <c r="M48" s="202"/>
      <c r="N48" s="203"/>
      <c r="Q48" s="201"/>
      <c r="R48" s="204"/>
      <c r="S48" s="203"/>
      <c r="V48" s="205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6"/>
      <c r="AH48" s="206"/>
      <c r="AI48" s="206"/>
      <c r="AJ48" s="206"/>
      <c r="AK48" s="206"/>
      <c r="AL48" s="206"/>
      <c r="AM48" s="206"/>
      <c r="AN48" s="206"/>
    </row>
    <row r="49" spans="1:40" x14ac:dyDescent="0.35">
      <c r="G49" s="83"/>
      <c r="H49" s="199"/>
      <c r="I49" s="200"/>
      <c r="L49" s="201"/>
      <c r="M49" s="202"/>
      <c r="N49" s="203"/>
      <c r="Q49" s="201"/>
      <c r="R49" s="204"/>
      <c r="S49" s="203"/>
      <c r="V49" s="205"/>
      <c r="W49" s="206"/>
      <c r="X49" s="206"/>
      <c r="Y49" s="206"/>
      <c r="Z49" s="206"/>
      <c r="AA49" s="206"/>
      <c r="AB49" s="206"/>
      <c r="AC49" s="206"/>
      <c r="AD49" s="206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</row>
    <row r="50" spans="1:40" x14ac:dyDescent="0.35">
      <c r="G50" s="83"/>
      <c r="H50" s="199"/>
      <c r="I50" s="200"/>
      <c r="L50" s="201"/>
      <c r="M50" s="202"/>
      <c r="N50" s="203"/>
      <c r="Q50" s="201"/>
      <c r="R50" s="204"/>
      <c r="S50" s="203"/>
      <c r="V50" s="205"/>
      <c r="W50" s="206"/>
      <c r="X50" s="206"/>
      <c r="Y50" s="206"/>
      <c r="Z50" s="206"/>
      <c r="AA50" s="206"/>
      <c r="AB50" s="206"/>
      <c r="AC50" s="206"/>
      <c r="AD50" s="206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</row>
    <row r="51" spans="1:40" x14ac:dyDescent="0.35">
      <c r="G51" s="83"/>
      <c r="H51" s="199"/>
      <c r="I51" s="200"/>
      <c r="L51" s="201"/>
      <c r="M51" s="202"/>
      <c r="N51" s="203"/>
      <c r="Q51" s="201"/>
      <c r="R51" s="204"/>
      <c r="S51" s="203"/>
      <c r="V51" s="205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</row>
    <row r="52" spans="1:40" x14ac:dyDescent="0.35">
      <c r="G52" s="83"/>
      <c r="H52" s="199"/>
      <c r="I52" s="200"/>
      <c r="L52" s="201"/>
      <c r="M52" s="202"/>
      <c r="N52" s="203"/>
      <c r="Q52" s="201"/>
      <c r="R52" s="204"/>
      <c r="S52" s="203"/>
      <c r="V52" s="205"/>
      <c r="W52" s="206"/>
      <c r="X52" s="206"/>
      <c r="Y52" s="206"/>
      <c r="Z52" s="206"/>
      <c r="AA52" s="206"/>
      <c r="AB52" s="206"/>
      <c r="AC52" s="206"/>
      <c r="AD52" s="206"/>
      <c r="AE52" s="206"/>
      <c r="AF52" s="206"/>
      <c r="AG52" s="206"/>
      <c r="AH52" s="206"/>
      <c r="AI52" s="206"/>
      <c r="AJ52" s="206"/>
      <c r="AK52" s="206"/>
      <c r="AL52" s="206"/>
      <c r="AM52" s="206"/>
      <c r="AN52" s="206"/>
    </row>
    <row r="53" spans="1:40" x14ac:dyDescent="0.35">
      <c r="G53" s="83"/>
      <c r="H53" s="199"/>
      <c r="I53" s="200"/>
      <c r="L53" s="201"/>
      <c r="M53" s="202"/>
      <c r="N53" s="203"/>
      <c r="Q53" s="201"/>
      <c r="R53" s="204"/>
      <c r="S53" s="203"/>
      <c r="V53" s="205"/>
      <c r="W53" s="206"/>
      <c r="X53" s="206"/>
      <c r="Y53" s="206"/>
      <c r="Z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206"/>
      <c r="AL53" s="206"/>
      <c r="AM53" s="206"/>
      <c r="AN53" s="206"/>
    </row>
    <row r="54" spans="1:40" x14ac:dyDescent="0.4">
      <c r="A54" s="14">
        <f>A40+1</f>
        <v>41</v>
      </c>
    </row>
    <row r="55" spans="1:40" x14ac:dyDescent="0.4">
      <c r="A55" s="14">
        <f t="shared" si="1"/>
        <v>42</v>
      </c>
      <c r="G55" s="89" t="s">
        <v>24</v>
      </c>
      <c r="H55" s="91" t="s">
        <v>23</v>
      </c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</row>
    <row r="56" spans="1:40" x14ac:dyDescent="0.4">
      <c r="A56" s="14">
        <f t="shared" si="1"/>
        <v>43</v>
      </c>
      <c r="B56" s="84" t="s">
        <v>3</v>
      </c>
      <c r="C56" s="84"/>
      <c r="D56" s="85">
        <v>1</v>
      </c>
      <c r="E56" s="85"/>
      <c r="G56" s="90"/>
      <c r="H56" s="92" t="s">
        <v>7</v>
      </c>
      <c r="I56" s="93"/>
      <c r="L56" s="88" t="s">
        <v>11</v>
      </c>
      <c r="M56" s="88"/>
      <c r="N56" s="88"/>
      <c r="Q56" s="88" t="s">
        <v>12</v>
      </c>
      <c r="R56" s="88"/>
      <c r="S56" s="88"/>
      <c r="V56" s="88" t="s">
        <v>13</v>
      </c>
      <c r="W56" s="88"/>
      <c r="X56" s="88"/>
    </row>
    <row r="57" spans="1:40" x14ac:dyDescent="0.4">
      <c r="A57" s="14">
        <f t="shared" si="1"/>
        <v>44</v>
      </c>
      <c r="B57" s="84" t="s">
        <v>4</v>
      </c>
      <c r="C57" s="84"/>
      <c r="D57" s="85">
        <v>1</v>
      </c>
      <c r="E57" s="85"/>
      <c r="G57" s="90"/>
      <c r="H57" s="94"/>
      <c r="I57" s="95"/>
      <c r="L57" s="88"/>
      <c r="M57" s="88"/>
      <c r="N57" s="88"/>
      <c r="Q57" s="88"/>
      <c r="R57" s="88"/>
      <c r="S57" s="88"/>
      <c r="V57" s="88"/>
      <c r="W57" s="88"/>
      <c r="X57" s="88"/>
    </row>
    <row r="58" spans="1:40" x14ac:dyDescent="0.4">
      <c r="A58" s="14">
        <f t="shared" si="1"/>
        <v>45</v>
      </c>
      <c r="B58" s="84" t="s">
        <v>1</v>
      </c>
      <c r="C58" s="84"/>
      <c r="D58" s="85">
        <v>0.01</v>
      </c>
      <c r="E58" s="85"/>
      <c r="G58" s="90"/>
      <c r="V58" s="88" t="s">
        <v>14</v>
      </c>
      <c r="W58" s="88"/>
      <c r="X58" s="5">
        <v>3</v>
      </c>
    </row>
    <row r="59" spans="1:40" x14ac:dyDescent="0.4">
      <c r="A59" s="14">
        <f t="shared" si="1"/>
        <v>46</v>
      </c>
      <c r="G59" s="90"/>
      <c r="H59" s="2" t="s">
        <v>8</v>
      </c>
      <c r="I59" s="3">
        <v>0.01</v>
      </c>
      <c r="Q59" s="88" t="s">
        <v>15</v>
      </c>
      <c r="R59" s="88"/>
      <c r="S59" s="5">
        <v>3</v>
      </c>
      <c r="V59" s="86" t="s">
        <v>16</v>
      </c>
      <c r="W59" s="6" t="s">
        <v>17</v>
      </c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</row>
    <row r="60" spans="1:40" x14ac:dyDescent="0.4">
      <c r="A60" s="14">
        <f t="shared" si="1"/>
        <v>47</v>
      </c>
      <c r="G60" s="90"/>
      <c r="H60" s="2" t="s">
        <v>9</v>
      </c>
      <c r="I60" s="2" t="s">
        <v>10</v>
      </c>
      <c r="L60" s="8" t="s">
        <v>18</v>
      </c>
      <c r="M60" s="8" t="s">
        <v>19</v>
      </c>
      <c r="N60" s="2" t="s">
        <v>72</v>
      </c>
      <c r="Q60" s="8" t="s">
        <v>18</v>
      </c>
      <c r="R60" s="8" t="s">
        <v>19</v>
      </c>
      <c r="S60" s="2" t="s">
        <v>20</v>
      </c>
      <c r="V60" s="87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4">
        <f t="shared" si="1"/>
        <v>48</v>
      </c>
      <c r="G61" s="90"/>
      <c r="H61" s="1">
        <v>0.5</v>
      </c>
      <c r="I61" s="4">
        <v>1.2520004203042459E-2</v>
      </c>
      <c r="L61" s="10">
        <v>1</v>
      </c>
      <c r="M61" s="11">
        <v>0.25</v>
      </c>
      <c r="N61" s="12">
        <v>3.9140000000000001E-2</v>
      </c>
      <c r="Q61" s="10">
        <v>1</v>
      </c>
      <c r="R61" s="11">
        <v>1</v>
      </c>
      <c r="S61" s="12">
        <v>0.17964285714285716</v>
      </c>
      <c r="V61" s="9">
        <v>0.5</v>
      </c>
      <c r="W61" s="13">
        <v>0.29434168787402887</v>
      </c>
      <c r="X61" s="13">
        <v>0.30331660541725325</v>
      </c>
      <c r="Y61" s="13">
        <v>0.30058675746783731</v>
      </c>
      <c r="Z61" s="13">
        <v>0.29892354593785941</v>
      </c>
      <c r="AA61" s="13">
        <v>0.29900186783208377</v>
      </c>
      <c r="AB61" s="13">
        <v>0.29710065479911291</v>
      </c>
      <c r="AC61" s="13">
        <v>0.29499752732323348</v>
      </c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49</v>
      </c>
      <c r="G62" s="90"/>
      <c r="H62" s="1">
        <v>1</v>
      </c>
      <c r="I62" s="4">
        <v>1.1948858772316008E-2</v>
      </c>
      <c r="L62" s="10">
        <f>L61+1</f>
        <v>2</v>
      </c>
      <c r="M62" s="11">
        <v>0.5</v>
      </c>
      <c r="N62" s="12">
        <v>4.4299999999999999E-2</v>
      </c>
      <c r="Q62" s="10">
        <f>Q61+1</f>
        <v>2</v>
      </c>
      <c r="R62" s="11">
        <v>2</v>
      </c>
      <c r="S62" s="12">
        <v>0.18085714285714286</v>
      </c>
      <c r="V62" s="9">
        <v>1</v>
      </c>
      <c r="W62" s="13">
        <v>0.29711575189940853</v>
      </c>
      <c r="X62" s="13">
        <v>0.30223277511673557</v>
      </c>
      <c r="Y62" s="13">
        <v>0.29785690951842136</v>
      </c>
      <c r="Z62" s="13">
        <v>0.29726033440788158</v>
      </c>
      <c r="AA62" s="13">
        <v>0.29908018972630812</v>
      </c>
      <c r="AB62" s="13">
        <v>0.29519944176614205</v>
      </c>
      <c r="AC62" s="13">
        <v>0.29289439984735399</v>
      </c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50</v>
      </c>
      <c r="C63" s="1" t="s">
        <v>5</v>
      </c>
      <c r="D63" s="97" t="s">
        <v>6</v>
      </c>
      <c r="E63" s="97"/>
      <c r="G63" s="90"/>
      <c r="H63" s="1">
        <v>1.5</v>
      </c>
      <c r="I63" s="4">
        <v>1.179688898214578E-2</v>
      </c>
      <c r="L63" s="10">
        <f t="shared" ref="L63:L90" si="4">L62+1</f>
        <v>3</v>
      </c>
      <c r="M63" s="11">
        <v>1</v>
      </c>
      <c r="N63" s="12">
        <v>4.521E-2</v>
      </c>
      <c r="Q63" s="10">
        <f t="shared" ref="Q63:Q90" si="5">Q62+1</f>
        <v>3</v>
      </c>
      <c r="R63" s="11">
        <v>3</v>
      </c>
      <c r="S63" s="12">
        <v>0.17971428571428572</v>
      </c>
      <c r="V63" s="9">
        <v>1.5</v>
      </c>
      <c r="W63" s="13">
        <v>0.29748633070891495</v>
      </c>
      <c r="X63" s="13">
        <v>0.29785690951842136</v>
      </c>
      <c r="Y63" s="13">
        <v>0.29348104392010715</v>
      </c>
      <c r="Z63" s="13">
        <v>0.29666375929734184</v>
      </c>
      <c r="AA63" s="13">
        <v>0.30090004504473467</v>
      </c>
      <c r="AB63" s="13">
        <v>0.29131869380597597</v>
      </c>
      <c r="AC63" s="13">
        <v>0.29058935792856599</v>
      </c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51</v>
      </c>
      <c r="D64" s="97"/>
      <c r="E64" s="97"/>
      <c r="G64" s="90"/>
      <c r="H64" s="1">
        <v>2</v>
      </c>
      <c r="I64" s="4">
        <v>1.1344545518992267E-2</v>
      </c>
      <c r="L64" s="10">
        <f t="shared" si="4"/>
        <v>4</v>
      </c>
      <c r="M64" s="11">
        <v>2</v>
      </c>
      <c r="N64" s="12">
        <v>4.4409999999999998E-2</v>
      </c>
      <c r="Q64" s="10">
        <f t="shared" si="5"/>
        <v>4</v>
      </c>
      <c r="R64" s="11">
        <v>4</v>
      </c>
      <c r="S64" s="12">
        <v>0.1772857142857143</v>
      </c>
      <c r="V64" s="9">
        <v>2</v>
      </c>
      <c r="W64" s="13">
        <v>0.29731816815825485</v>
      </c>
      <c r="X64" s="13">
        <v>0.29715000560759469</v>
      </c>
      <c r="Y64" s="13">
        <v>0.29644310169676802</v>
      </c>
      <c r="Z64" s="13">
        <v>0.29438544513377152</v>
      </c>
      <c r="AA64" s="13">
        <v>0.29541479871739407</v>
      </c>
      <c r="AB64" s="13">
        <v>0.28717613046935253</v>
      </c>
      <c r="AC64" s="13">
        <v>0.28649021678069087</v>
      </c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52</v>
      </c>
      <c r="D65" s="97"/>
      <c r="E65" s="97"/>
      <c r="G65" s="90"/>
      <c r="H65" s="1">
        <v>3</v>
      </c>
      <c r="I65" s="4">
        <v>1.1146094425592522E-2</v>
      </c>
      <c r="L65" s="10">
        <f t="shared" si="4"/>
        <v>5</v>
      </c>
      <c r="M65" s="11">
        <v>3</v>
      </c>
      <c r="N65" s="12">
        <v>4.4269999999999997E-2</v>
      </c>
      <c r="Q65" s="10">
        <f t="shared" si="5"/>
        <v>5</v>
      </c>
      <c r="R65" s="11">
        <v>5</v>
      </c>
      <c r="S65" s="12">
        <v>0.17885714285714285</v>
      </c>
      <c r="V65" s="9">
        <v>3</v>
      </c>
      <c r="W65" s="13">
        <v>0.29724033204370953</v>
      </c>
      <c r="X65" s="13">
        <v>0.29716249592916422</v>
      </c>
      <c r="Y65" s="13">
        <v>0.29717498625073369</v>
      </c>
      <c r="Z65" s="13">
        <v>0.28937257030241842</v>
      </c>
      <c r="AA65" s="13">
        <v>0.29040069342335539</v>
      </c>
      <c r="AB65" s="13">
        <v>0.28492963240514568</v>
      </c>
      <c r="AC65" s="13">
        <v>0.28240863276377215</v>
      </c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53</v>
      </c>
      <c r="G66" s="90"/>
      <c r="H66" s="1">
        <v>4</v>
      </c>
      <c r="I66" s="4">
        <v>1.118356988330255E-2</v>
      </c>
      <c r="L66" s="10">
        <f t="shared" si="4"/>
        <v>6</v>
      </c>
      <c r="M66" s="11">
        <v>5</v>
      </c>
      <c r="N66" s="12">
        <v>4.2089999999999995E-2</v>
      </c>
      <c r="Q66" s="10">
        <f t="shared" si="5"/>
        <v>6</v>
      </c>
      <c r="R66" s="11">
        <v>7</v>
      </c>
      <c r="S66" s="12">
        <v>0.17299999999999999</v>
      </c>
      <c r="V66" s="9">
        <v>4</v>
      </c>
      <c r="W66" s="13">
        <v>0.29598553031924729</v>
      </c>
      <c r="X66" s="13">
        <v>0.29473072859478505</v>
      </c>
      <c r="Y66" s="13">
        <v>0.29229896126040589</v>
      </c>
      <c r="Z66" s="13">
        <v>0.28636830666588853</v>
      </c>
      <c r="AA66" s="13">
        <v>0.2849370904526739</v>
      </c>
      <c r="AB66" s="13">
        <v>0.28379388192157057</v>
      </c>
      <c r="AC66" s="13">
        <v>0.2798070663699882</v>
      </c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54</v>
      </c>
      <c r="D67" s="98">
        <v>44927.895057870373</v>
      </c>
      <c r="E67" s="98"/>
      <c r="G67" s="90"/>
      <c r="H67" s="1">
        <v>5</v>
      </c>
      <c r="I67" s="4">
        <v>1.1932254825068524E-2</v>
      </c>
      <c r="L67" s="10">
        <f t="shared" si="4"/>
        <v>7</v>
      </c>
      <c r="M67" s="11">
        <v>7</v>
      </c>
      <c r="N67" s="12">
        <v>4.1120000000000004E-2</v>
      </c>
      <c r="Q67" s="10">
        <f t="shared" si="5"/>
        <v>7</v>
      </c>
      <c r="R67" s="11">
        <v>10</v>
      </c>
      <c r="S67" s="12">
        <v>0.17214285714285715</v>
      </c>
      <c r="V67" s="9">
        <v>5</v>
      </c>
      <c r="W67" s="13">
        <v>0.29504729567195132</v>
      </c>
      <c r="X67" s="13">
        <v>0.29410906102465528</v>
      </c>
      <c r="Y67" s="13">
        <v>0.29348739345452551</v>
      </c>
      <c r="Z67" s="13">
        <v>0.29064634905996189</v>
      </c>
      <c r="AA67" s="13">
        <v>0.28762985175765876</v>
      </c>
      <c r="AB67" s="13">
        <v>0.2824484379257759</v>
      </c>
      <c r="AC67" s="13">
        <v>0.28044120852128707</v>
      </c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55</v>
      </c>
      <c r="D68" s="98">
        <v>44927.895057870373</v>
      </c>
      <c r="E68" s="98"/>
      <c r="G68" s="90"/>
      <c r="H68" s="1">
        <v>7</v>
      </c>
      <c r="I68" s="4">
        <v>1.2411103695728348E-2</v>
      </c>
      <c r="L68" s="10">
        <f t="shared" si="4"/>
        <v>8</v>
      </c>
      <c r="M68" s="11">
        <v>10</v>
      </c>
      <c r="N68" s="12">
        <v>3.984E-2</v>
      </c>
      <c r="Q68" s="10">
        <f t="shared" si="5"/>
        <v>8</v>
      </c>
      <c r="R68" s="11"/>
      <c r="S68" s="12"/>
      <c r="U68" s="15"/>
      <c r="V68" s="9">
        <v>7</v>
      </c>
      <c r="W68" s="13">
        <v>0.29334100811282815</v>
      </c>
      <c r="X68" s="13">
        <v>0.29163472055370498</v>
      </c>
      <c r="Y68" s="13">
        <v>0.28916038008275469</v>
      </c>
      <c r="Z68" s="13">
        <v>0.28763947086819353</v>
      </c>
      <c r="AA68" s="13">
        <v>0.28099732722068071</v>
      </c>
      <c r="AB68" s="13">
        <v>0.28156800987879538</v>
      </c>
      <c r="AC68" s="13">
        <v>0.27650085643237637</v>
      </c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56</v>
      </c>
      <c r="G69" s="90"/>
      <c r="H69" s="1">
        <v>10</v>
      </c>
      <c r="I69" s="4">
        <v>1.4755560926329646E-2</v>
      </c>
      <c r="L69" s="10">
        <f t="shared" si="4"/>
        <v>9</v>
      </c>
      <c r="M69" s="11">
        <v>20</v>
      </c>
      <c r="N69" s="12">
        <v>4.2839999999999996E-2</v>
      </c>
      <c r="Q69" s="10">
        <f t="shared" si="5"/>
        <v>9</v>
      </c>
      <c r="R69" s="11"/>
      <c r="S69" s="12"/>
      <c r="U69" s="15"/>
      <c r="V69" s="9">
        <v>10</v>
      </c>
      <c r="W69" s="13">
        <v>0.29168249543038094</v>
      </c>
      <c r="X69" s="13">
        <v>0.29002398274793367</v>
      </c>
      <c r="Y69" s="13">
        <v>0.28841324494216236</v>
      </c>
      <c r="Z69" s="13">
        <v>0.28657200821606188</v>
      </c>
      <c r="AA69" s="13">
        <v>0.28293319162819597</v>
      </c>
      <c r="AB69" s="13">
        <v>0.27733549492199805</v>
      </c>
      <c r="AC69" s="13">
        <v>0.27242134733632339</v>
      </c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si="1"/>
        <v>57</v>
      </c>
      <c r="G70" s="90"/>
      <c r="H70" s="1"/>
      <c r="I70" s="4"/>
      <c r="L70" s="10">
        <f t="shared" si="4"/>
        <v>10</v>
      </c>
      <c r="M70" s="11">
        <v>30</v>
      </c>
      <c r="N70" s="12">
        <v>4.0039999999999992E-2</v>
      </c>
      <c r="Q70" s="10">
        <f t="shared" si="5"/>
        <v>10</v>
      </c>
      <c r="R70" s="11"/>
      <c r="S70" s="12"/>
      <c r="U70" s="15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1"/>
        <v>58</v>
      </c>
      <c r="G71" s="90"/>
      <c r="H71" s="1"/>
      <c r="I71" s="4"/>
      <c r="L71" s="10">
        <f t="shared" si="4"/>
        <v>11</v>
      </c>
      <c r="M71" s="11"/>
      <c r="N71" s="12"/>
      <c r="Q71" s="10">
        <f t="shared" si="5"/>
        <v>11</v>
      </c>
      <c r="R71" s="11"/>
      <c r="S71" s="12"/>
      <c r="U71" s="16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1"/>
        <v>59</v>
      </c>
      <c r="G72" s="90"/>
      <c r="H72" s="1"/>
      <c r="I72" s="4"/>
      <c r="L72" s="10">
        <f t="shared" si="4"/>
        <v>12</v>
      </c>
      <c r="M72" s="11"/>
      <c r="N72" s="12"/>
      <c r="Q72" s="10">
        <f t="shared" si="5"/>
        <v>12</v>
      </c>
      <c r="R72" s="11"/>
      <c r="S72" s="12"/>
      <c r="U72" s="17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1"/>
        <v>60</v>
      </c>
      <c r="G73" s="90"/>
      <c r="H73" s="1"/>
      <c r="I73" s="4"/>
      <c r="L73" s="10">
        <f t="shared" si="4"/>
        <v>13</v>
      </c>
      <c r="M73" s="11"/>
      <c r="N73" s="12"/>
      <c r="Q73" s="10">
        <f t="shared" si="5"/>
        <v>13</v>
      </c>
      <c r="R73" s="11"/>
      <c r="S73" s="12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1"/>
        <v>61</v>
      </c>
      <c r="G74" s="90"/>
      <c r="H74" s="1"/>
      <c r="I74" s="4"/>
      <c r="L74" s="10">
        <f t="shared" si="4"/>
        <v>14</v>
      </c>
      <c r="M74" s="11"/>
      <c r="N74" s="12"/>
      <c r="Q74" s="10">
        <f t="shared" si="5"/>
        <v>14</v>
      </c>
      <c r="R74" s="11"/>
      <c r="S74" s="12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1"/>
        <v>62</v>
      </c>
      <c r="G75" s="90"/>
      <c r="H75" s="1"/>
      <c r="I75" s="4"/>
      <c r="L75" s="10">
        <f t="shared" si="4"/>
        <v>15</v>
      </c>
      <c r="M75" s="11"/>
      <c r="N75" s="12"/>
      <c r="Q75" s="10">
        <f t="shared" si="5"/>
        <v>15</v>
      </c>
      <c r="R75" s="11"/>
      <c r="S75" s="12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1"/>
        <v>63</v>
      </c>
      <c r="G76" s="90"/>
      <c r="H76" s="1"/>
      <c r="I76" s="4"/>
      <c r="L76" s="10">
        <f t="shared" si="4"/>
        <v>16</v>
      </c>
      <c r="M76" s="11"/>
      <c r="N76" s="12"/>
      <c r="Q76" s="10">
        <f t="shared" si="5"/>
        <v>16</v>
      </c>
      <c r="R76" s="11"/>
      <c r="S76" s="12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1"/>
        <v>64</v>
      </c>
      <c r="G77" s="90"/>
      <c r="H77" s="1"/>
      <c r="I77" s="4"/>
      <c r="L77" s="10">
        <f t="shared" si="4"/>
        <v>17</v>
      </c>
      <c r="M77" s="11"/>
      <c r="N77" s="12"/>
      <c r="Q77" s="10">
        <f t="shared" si="5"/>
        <v>17</v>
      </c>
      <c r="R77" s="11"/>
      <c r="S77" s="12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35">
      <c r="A78" s="14">
        <f t="shared" si="1"/>
        <v>65</v>
      </c>
      <c r="G78" s="90"/>
      <c r="H78" s="1"/>
      <c r="I78" s="4"/>
      <c r="L78" s="10">
        <f t="shared" si="4"/>
        <v>18</v>
      </c>
      <c r="M78" s="11"/>
      <c r="N78" s="12"/>
      <c r="Q78" s="10">
        <f t="shared" si="5"/>
        <v>18</v>
      </c>
      <c r="R78" s="11"/>
      <c r="S78" s="12"/>
      <c r="V78" s="9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</row>
    <row r="79" spans="1:40" x14ac:dyDescent="0.35">
      <c r="A79" s="14">
        <f t="shared" si="1"/>
        <v>66</v>
      </c>
      <c r="G79" s="90"/>
      <c r="H79" s="1"/>
      <c r="I79" s="4"/>
      <c r="L79" s="10">
        <f t="shared" si="4"/>
        <v>19</v>
      </c>
      <c r="M79" s="18"/>
      <c r="N79" s="19"/>
      <c r="Q79" s="10">
        <f t="shared" si="5"/>
        <v>19</v>
      </c>
      <c r="R79" s="20"/>
      <c r="S79" s="19"/>
      <c r="V79" s="9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</row>
    <row r="80" spans="1:40" x14ac:dyDescent="0.35">
      <c r="A80" s="14">
        <f t="shared" si="1"/>
        <v>67</v>
      </c>
      <c r="G80" s="90"/>
      <c r="H80" s="1"/>
      <c r="I80" s="4"/>
      <c r="L80" s="10">
        <f t="shared" si="4"/>
        <v>20</v>
      </c>
      <c r="M80" s="18"/>
      <c r="N80" s="19"/>
      <c r="Q80" s="10">
        <f t="shared" si="5"/>
        <v>20</v>
      </c>
      <c r="R80" s="20"/>
      <c r="S80" s="19"/>
      <c r="V80" s="9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</row>
    <row r="81" spans="1:40" x14ac:dyDescent="0.35">
      <c r="A81" s="14">
        <f t="shared" si="1"/>
        <v>68</v>
      </c>
      <c r="G81" s="90"/>
      <c r="H81" s="1"/>
      <c r="I81" s="4"/>
      <c r="L81" s="10">
        <f t="shared" si="4"/>
        <v>21</v>
      </c>
      <c r="M81" s="18"/>
      <c r="N81" s="19"/>
      <c r="Q81" s="10">
        <f t="shared" si="5"/>
        <v>21</v>
      </c>
      <c r="R81" s="20"/>
      <c r="S81" s="19"/>
      <c r="V81" s="9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</row>
    <row r="82" spans="1:40" x14ac:dyDescent="0.35">
      <c r="A82" s="14">
        <f t="shared" si="1"/>
        <v>69</v>
      </c>
      <c r="G82" s="90"/>
      <c r="H82" s="1"/>
      <c r="I82" s="4"/>
      <c r="L82" s="10">
        <f t="shared" si="4"/>
        <v>22</v>
      </c>
      <c r="M82" s="18"/>
      <c r="N82" s="19"/>
      <c r="Q82" s="10">
        <f t="shared" si="5"/>
        <v>22</v>
      </c>
      <c r="R82" s="20"/>
      <c r="S82" s="19"/>
      <c r="V82" s="9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</row>
    <row r="83" spans="1:40" x14ac:dyDescent="0.35">
      <c r="A83" s="14">
        <f t="shared" ref="A83:A126" si="6">A82+1</f>
        <v>70</v>
      </c>
      <c r="G83" s="90"/>
      <c r="H83" s="1"/>
      <c r="I83" s="4"/>
      <c r="L83" s="10">
        <f t="shared" si="4"/>
        <v>23</v>
      </c>
      <c r="M83" s="18"/>
      <c r="N83" s="19"/>
      <c r="Q83" s="10">
        <f t="shared" si="5"/>
        <v>23</v>
      </c>
      <c r="R83" s="20"/>
      <c r="S83" s="19"/>
      <c r="V83" s="9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</row>
    <row r="84" spans="1:40" x14ac:dyDescent="0.35">
      <c r="A84" s="14">
        <f t="shared" si="6"/>
        <v>71</v>
      </c>
      <c r="G84" s="90"/>
      <c r="H84" s="1"/>
      <c r="I84" s="4"/>
      <c r="L84" s="10">
        <f t="shared" si="4"/>
        <v>24</v>
      </c>
      <c r="M84" s="18"/>
      <c r="N84" s="19"/>
      <c r="Q84" s="10">
        <f t="shared" si="5"/>
        <v>24</v>
      </c>
      <c r="R84" s="20"/>
      <c r="S84" s="19"/>
      <c r="V84" s="9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</row>
    <row r="85" spans="1:40" x14ac:dyDescent="0.35">
      <c r="A85" s="14">
        <f t="shared" si="6"/>
        <v>72</v>
      </c>
      <c r="G85" s="90"/>
      <c r="H85" s="1"/>
      <c r="I85" s="4"/>
      <c r="L85" s="10">
        <f t="shared" si="4"/>
        <v>25</v>
      </c>
      <c r="M85" s="18"/>
      <c r="N85" s="19"/>
      <c r="Q85" s="10">
        <f t="shared" si="5"/>
        <v>25</v>
      </c>
      <c r="R85" s="20"/>
      <c r="S85" s="19"/>
      <c r="V85" s="9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73</v>
      </c>
      <c r="G86" s="90"/>
      <c r="H86" s="1"/>
      <c r="I86" s="4"/>
      <c r="L86" s="10">
        <f t="shared" si="4"/>
        <v>26</v>
      </c>
      <c r="M86" s="18"/>
      <c r="N86" s="19"/>
      <c r="Q86" s="10">
        <f t="shared" si="5"/>
        <v>26</v>
      </c>
      <c r="R86" s="20"/>
      <c r="S86" s="19"/>
      <c r="V86" s="9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74</v>
      </c>
      <c r="G87" s="90"/>
      <c r="H87" s="1"/>
      <c r="I87" s="4"/>
      <c r="L87" s="10">
        <f t="shared" si="4"/>
        <v>27</v>
      </c>
      <c r="M87" s="18"/>
      <c r="N87" s="19"/>
      <c r="Q87" s="10">
        <f t="shared" si="5"/>
        <v>27</v>
      </c>
      <c r="R87" s="20"/>
      <c r="S87" s="19"/>
      <c r="V87" s="9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75</v>
      </c>
      <c r="G88" s="90"/>
      <c r="H88" s="1"/>
      <c r="I88" s="4"/>
      <c r="L88" s="10">
        <f t="shared" si="4"/>
        <v>28</v>
      </c>
      <c r="M88" s="18"/>
      <c r="N88" s="19"/>
      <c r="Q88" s="10">
        <f t="shared" si="5"/>
        <v>28</v>
      </c>
      <c r="R88" s="20"/>
      <c r="S88" s="19"/>
      <c r="V88" s="9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76</v>
      </c>
      <c r="G89" s="90"/>
      <c r="H89" s="1"/>
      <c r="I89" s="4"/>
      <c r="L89" s="10">
        <f t="shared" si="4"/>
        <v>29</v>
      </c>
      <c r="M89" s="18"/>
      <c r="N89" s="19"/>
      <c r="Q89" s="10">
        <f t="shared" si="5"/>
        <v>29</v>
      </c>
      <c r="R89" s="20"/>
      <c r="S89" s="19"/>
      <c r="V89" s="9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77</v>
      </c>
      <c r="G90" s="90"/>
      <c r="H90" s="1"/>
      <c r="I90" s="4"/>
      <c r="L90" s="10">
        <f t="shared" si="4"/>
        <v>30</v>
      </c>
      <c r="M90" s="18"/>
      <c r="N90" s="19"/>
      <c r="Q90" s="10">
        <f t="shared" si="5"/>
        <v>30</v>
      </c>
      <c r="R90" s="20"/>
      <c r="S90" s="19"/>
      <c r="V90" s="9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G91" s="83"/>
      <c r="H91" s="199"/>
      <c r="I91" s="200"/>
      <c r="L91" s="201"/>
      <c r="M91" s="202"/>
      <c r="N91" s="203"/>
      <c r="Q91" s="201"/>
      <c r="R91" s="204"/>
      <c r="S91" s="203"/>
      <c r="V91" s="205"/>
      <c r="W91" s="206"/>
      <c r="X91" s="206"/>
      <c r="Y91" s="206"/>
      <c r="Z91" s="206"/>
      <c r="AA91" s="206"/>
      <c r="AB91" s="206"/>
      <c r="AC91" s="206"/>
      <c r="AD91" s="206"/>
      <c r="AE91" s="206"/>
      <c r="AF91" s="206"/>
      <c r="AG91" s="206"/>
      <c r="AH91" s="206"/>
      <c r="AI91" s="206"/>
      <c r="AJ91" s="206"/>
      <c r="AK91" s="206"/>
      <c r="AL91" s="206"/>
      <c r="AM91" s="206"/>
      <c r="AN91" s="206"/>
    </row>
    <row r="92" spans="1:40" x14ac:dyDescent="0.35">
      <c r="G92" s="83"/>
      <c r="H92" s="199"/>
      <c r="I92" s="200"/>
      <c r="L92" s="201"/>
      <c r="M92" s="202"/>
      <c r="N92" s="203"/>
      <c r="Q92" s="201"/>
      <c r="R92" s="204"/>
      <c r="S92" s="203"/>
      <c r="V92" s="205"/>
      <c r="W92" s="206"/>
      <c r="X92" s="206"/>
      <c r="Y92" s="206"/>
      <c r="Z92" s="206"/>
      <c r="AA92" s="206"/>
      <c r="AB92" s="206"/>
      <c r="AC92" s="206"/>
      <c r="AD92" s="206"/>
      <c r="AE92" s="206"/>
      <c r="AF92" s="206"/>
      <c r="AG92" s="206"/>
      <c r="AH92" s="206"/>
      <c r="AI92" s="206"/>
      <c r="AJ92" s="206"/>
      <c r="AK92" s="206"/>
      <c r="AL92" s="206"/>
      <c r="AM92" s="206"/>
      <c r="AN92" s="206"/>
    </row>
    <row r="93" spans="1:40" x14ac:dyDescent="0.35">
      <c r="G93" s="83"/>
      <c r="H93" s="199"/>
      <c r="I93" s="200"/>
      <c r="L93" s="201"/>
      <c r="M93" s="202"/>
      <c r="N93" s="203"/>
      <c r="Q93" s="201"/>
      <c r="R93" s="204"/>
      <c r="S93" s="203"/>
      <c r="V93" s="205"/>
      <c r="W93" s="206"/>
      <c r="X93" s="206"/>
      <c r="Y93" s="206"/>
      <c r="Z93" s="206"/>
      <c r="AA93" s="206"/>
      <c r="AB93" s="206"/>
      <c r="AC93" s="206"/>
      <c r="AD93" s="206"/>
      <c r="AE93" s="206"/>
      <c r="AF93" s="206"/>
      <c r="AG93" s="206"/>
      <c r="AH93" s="206"/>
      <c r="AI93" s="206"/>
      <c r="AJ93" s="206"/>
      <c r="AK93" s="206"/>
      <c r="AL93" s="206"/>
      <c r="AM93" s="206"/>
      <c r="AN93" s="206"/>
    </row>
    <row r="94" spans="1:40" x14ac:dyDescent="0.35">
      <c r="G94" s="83"/>
      <c r="H94" s="199"/>
      <c r="I94" s="200"/>
      <c r="L94" s="201"/>
      <c r="M94" s="202"/>
      <c r="N94" s="203"/>
      <c r="Q94" s="201"/>
      <c r="R94" s="204"/>
      <c r="S94" s="203"/>
      <c r="V94" s="205"/>
      <c r="W94" s="206"/>
      <c r="X94" s="206"/>
      <c r="Y94" s="206"/>
      <c r="Z94" s="206"/>
      <c r="AA94" s="206"/>
      <c r="AB94" s="206"/>
      <c r="AC94" s="206"/>
      <c r="AD94" s="206"/>
      <c r="AE94" s="206"/>
      <c r="AF94" s="206"/>
      <c r="AG94" s="206"/>
      <c r="AH94" s="206"/>
      <c r="AI94" s="206"/>
      <c r="AJ94" s="206"/>
      <c r="AK94" s="206"/>
      <c r="AL94" s="206"/>
      <c r="AM94" s="206"/>
      <c r="AN94" s="206"/>
    </row>
    <row r="95" spans="1:40" x14ac:dyDescent="0.35">
      <c r="G95" s="83"/>
      <c r="H95" s="199"/>
      <c r="I95" s="200"/>
      <c r="L95" s="201"/>
      <c r="M95" s="202"/>
      <c r="N95" s="203"/>
      <c r="Q95" s="201"/>
      <c r="R95" s="204"/>
      <c r="S95" s="203"/>
      <c r="V95" s="205"/>
      <c r="W95" s="206"/>
      <c r="X95" s="206"/>
      <c r="Y95" s="206"/>
      <c r="Z95" s="206"/>
      <c r="AA95" s="206"/>
      <c r="AB95" s="206"/>
      <c r="AC95" s="206"/>
      <c r="AD95" s="206"/>
      <c r="AE95" s="206"/>
      <c r="AF95" s="206"/>
      <c r="AG95" s="206"/>
      <c r="AH95" s="206"/>
      <c r="AI95" s="206"/>
      <c r="AJ95" s="206"/>
      <c r="AK95" s="206"/>
      <c r="AL95" s="206"/>
      <c r="AM95" s="206"/>
      <c r="AN95" s="206"/>
    </row>
    <row r="96" spans="1:40" x14ac:dyDescent="0.35">
      <c r="G96" s="83"/>
      <c r="H96" s="199"/>
      <c r="I96" s="200"/>
      <c r="L96" s="201"/>
      <c r="M96" s="202"/>
      <c r="N96" s="203"/>
      <c r="Q96" s="201"/>
      <c r="R96" s="204"/>
      <c r="S96" s="203"/>
      <c r="V96" s="205"/>
      <c r="W96" s="206"/>
      <c r="X96" s="206"/>
      <c r="Y96" s="206"/>
      <c r="Z96" s="206"/>
      <c r="AA96" s="206"/>
      <c r="AB96" s="206"/>
      <c r="AC96" s="206"/>
      <c r="AD96" s="206"/>
      <c r="AE96" s="206"/>
      <c r="AF96" s="206"/>
      <c r="AG96" s="206"/>
      <c r="AH96" s="206"/>
      <c r="AI96" s="206"/>
      <c r="AJ96" s="206"/>
      <c r="AK96" s="206"/>
      <c r="AL96" s="206"/>
      <c r="AM96" s="206"/>
      <c r="AN96" s="206"/>
    </row>
    <row r="97" spans="1:40" x14ac:dyDescent="0.35">
      <c r="G97" s="83"/>
      <c r="H97" s="199"/>
      <c r="I97" s="200"/>
      <c r="L97" s="201"/>
      <c r="M97" s="202"/>
      <c r="N97" s="203"/>
      <c r="Q97" s="201"/>
      <c r="R97" s="204"/>
      <c r="S97" s="203"/>
      <c r="V97" s="205"/>
      <c r="W97" s="206"/>
      <c r="X97" s="206"/>
      <c r="Y97" s="206"/>
      <c r="Z97" s="206"/>
      <c r="AA97" s="206"/>
      <c r="AB97" s="206"/>
      <c r="AC97" s="206"/>
      <c r="AD97" s="206"/>
      <c r="AE97" s="206"/>
      <c r="AF97" s="206"/>
      <c r="AG97" s="206"/>
      <c r="AH97" s="206"/>
      <c r="AI97" s="206"/>
      <c r="AJ97" s="206"/>
      <c r="AK97" s="206"/>
      <c r="AL97" s="206"/>
      <c r="AM97" s="206"/>
      <c r="AN97" s="206"/>
    </row>
    <row r="98" spans="1:40" x14ac:dyDescent="0.35">
      <c r="G98" s="83"/>
      <c r="H98" s="199"/>
      <c r="I98" s="200"/>
      <c r="L98" s="201"/>
      <c r="M98" s="202"/>
      <c r="N98" s="203"/>
      <c r="Q98" s="201"/>
      <c r="R98" s="204"/>
      <c r="S98" s="203"/>
      <c r="V98" s="205"/>
      <c r="W98" s="206"/>
      <c r="X98" s="206"/>
      <c r="Y98" s="206"/>
      <c r="Z98" s="206"/>
      <c r="AA98" s="206"/>
      <c r="AB98" s="206"/>
      <c r="AC98" s="206"/>
      <c r="AD98" s="206"/>
      <c r="AE98" s="206"/>
      <c r="AF98" s="206"/>
      <c r="AG98" s="206"/>
      <c r="AH98" s="206"/>
      <c r="AI98" s="206"/>
      <c r="AJ98" s="206"/>
      <c r="AK98" s="206"/>
      <c r="AL98" s="206"/>
      <c r="AM98" s="206"/>
      <c r="AN98" s="206"/>
    </row>
    <row r="99" spans="1:40" x14ac:dyDescent="0.35">
      <c r="G99" s="83"/>
      <c r="H99" s="199"/>
      <c r="I99" s="200"/>
      <c r="L99" s="201"/>
      <c r="M99" s="202"/>
      <c r="N99" s="203"/>
      <c r="Q99" s="201"/>
      <c r="R99" s="204"/>
      <c r="S99" s="203"/>
      <c r="V99" s="205"/>
      <c r="W99" s="206"/>
      <c r="X99" s="206"/>
      <c r="Y99" s="206"/>
      <c r="Z99" s="206"/>
      <c r="AA99" s="206"/>
      <c r="AB99" s="206"/>
      <c r="AC99" s="206"/>
      <c r="AD99" s="206"/>
      <c r="AE99" s="206"/>
      <c r="AF99" s="206"/>
      <c r="AG99" s="206"/>
      <c r="AH99" s="206"/>
      <c r="AI99" s="206"/>
      <c r="AJ99" s="206"/>
      <c r="AK99" s="206"/>
      <c r="AL99" s="206"/>
      <c r="AM99" s="206"/>
      <c r="AN99" s="206"/>
    </row>
    <row r="100" spans="1:40" x14ac:dyDescent="0.35">
      <c r="G100" s="83"/>
      <c r="H100" s="199"/>
      <c r="I100" s="200"/>
      <c r="L100" s="201"/>
      <c r="M100" s="202"/>
      <c r="N100" s="203"/>
      <c r="Q100" s="201"/>
      <c r="R100" s="204"/>
      <c r="S100" s="203"/>
      <c r="V100" s="205"/>
      <c r="W100" s="206"/>
      <c r="X100" s="206"/>
      <c r="Y100" s="206"/>
      <c r="Z100" s="206"/>
      <c r="AA100" s="206"/>
      <c r="AB100" s="206"/>
      <c r="AC100" s="206"/>
      <c r="AD100" s="206"/>
      <c r="AE100" s="206"/>
      <c r="AF100" s="206"/>
      <c r="AG100" s="206"/>
      <c r="AH100" s="206"/>
      <c r="AI100" s="206"/>
      <c r="AJ100" s="206"/>
      <c r="AK100" s="206"/>
      <c r="AL100" s="206"/>
      <c r="AM100" s="206"/>
      <c r="AN100" s="206"/>
    </row>
    <row r="101" spans="1:40" x14ac:dyDescent="0.35">
      <c r="G101" s="83"/>
      <c r="H101" s="199"/>
      <c r="I101" s="200"/>
      <c r="L101" s="201"/>
      <c r="M101" s="202"/>
      <c r="N101" s="203"/>
      <c r="Q101" s="201"/>
      <c r="R101" s="204"/>
      <c r="S101" s="203"/>
      <c r="V101" s="205"/>
      <c r="W101" s="206"/>
      <c r="X101" s="206"/>
      <c r="Y101" s="206"/>
      <c r="Z101" s="206"/>
      <c r="AA101" s="206"/>
      <c r="AB101" s="206"/>
      <c r="AC101" s="206"/>
      <c r="AD101" s="206"/>
      <c r="AE101" s="206"/>
      <c r="AF101" s="206"/>
      <c r="AG101" s="206"/>
      <c r="AH101" s="206"/>
      <c r="AI101" s="206"/>
      <c r="AJ101" s="206"/>
      <c r="AK101" s="206"/>
      <c r="AL101" s="206"/>
      <c r="AM101" s="206"/>
      <c r="AN101" s="206"/>
    </row>
    <row r="102" spans="1:40" x14ac:dyDescent="0.35">
      <c r="G102" s="83"/>
      <c r="H102" s="199"/>
      <c r="I102" s="200"/>
      <c r="L102" s="201"/>
      <c r="M102" s="202"/>
      <c r="N102" s="203"/>
      <c r="Q102" s="201"/>
      <c r="R102" s="204"/>
      <c r="S102" s="203"/>
      <c r="V102" s="205"/>
      <c r="W102" s="206"/>
      <c r="X102" s="206"/>
      <c r="Y102" s="206"/>
      <c r="Z102" s="206"/>
      <c r="AA102" s="206"/>
      <c r="AB102" s="206"/>
      <c r="AC102" s="206"/>
      <c r="AD102" s="206"/>
      <c r="AE102" s="206"/>
      <c r="AF102" s="206"/>
      <c r="AG102" s="206"/>
      <c r="AH102" s="206"/>
      <c r="AI102" s="206"/>
      <c r="AJ102" s="206"/>
      <c r="AK102" s="206"/>
      <c r="AL102" s="206"/>
      <c r="AM102" s="206"/>
      <c r="AN102" s="206"/>
    </row>
    <row r="103" spans="1:40" x14ac:dyDescent="0.35">
      <c r="G103" s="83"/>
      <c r="H103" s="199"/>
      <c r="I103" s="200"/>
      <c r="L103" s="201"/>
      <c r="M103" s="202"/>
      <c r="N103" s="203"/>
      <c r="Q103" s="201"/>
      <c r="R103" s="204"/>
      <c r="S103" s="203"/>
      <c r="V103" s="205"/>
      <c r="W103" s="206"/>
      <c r="X103" s="206"/>
      <c r="Y103" s="206"/>
      <c r="Z103" s="206"/>
      <c r="AA103" s="206"/>
      <c r="AB103" s="206"/>
      <c r="AC103" s="206"/>
      <c r="AD103" s="206"/>
      <c r="AE103" s="206"/>
      <c r="AF103" s="206"/>
      <c r="AG103" s="206"/>
      <c r="AH103" s="206"/>
      <c r="AI103" s="206"/>
      <c r="AJ103" s="206"/>
      <c r="AK103" s="206"/>
      <c r="AL103" s="206"/>
      <c r="AM103" s="206"/>
      <c r="AN103" s="206"/>
    </row>
    <row r="104" spans="1:40" x14ac:dyDescent="0.4">
      <c r="A104" s="14">
        <f>A90+1</f>
        <v>78</v>
      </c>
    </row>
    <row r="105" spans="1:40" x14ac:dyDescent="0.4">
      <c r="A105" s="14">
        <f t="shared" si="6"/>
        <v>79</v>
      </c>
      <c r="G105" s="89" t="s">
        <v>26</v>
      </c>
      <c r="H105" s="91" t="s">
        <v>25</v>
      </c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  <c r="W105" s="91"/>
      <c r="X105" s="91"/>
    </row>
    <row r="106" spans="1:40" x14ac:dyDescent="0.4">
      <c r="A106" s="14">
        <f t="shared" si="6"/>
        <v>80</v>
      </c>
      <c r="B106" s="84" t="s">
        <v>3</v>
      </c>
      <c r="C106" s="84"/>
      <c r="D106" s="85">
        <v>1</v>
      </c>
      <c r="E106" s="85"/>
      <c r="G106" s="90"/>
      <c r="H106" s="92" t="s">
        <v>7</v>
      </c>
      <c r="I106" s="93"/>
      <c r="L106" s="88" t="s">
        <v>11</v>
      </c>
      <c r="M106" s="88"/>
      <c r="N106" s="88"/>
      <c r="Q106" s="88" t="s">
        <v>12</v>
      </c>
      <c r="R106" s="88"/>
      <c r="S106" s="88"/>
      <c r="V106" s="88" t="s">
        <v>13</v>
      </c>
      <c r="W106" s="88"/>
      <c r="X106" s="88"/>
    </row>
    <row r="107" spans="1:40" x14ac:dyDescent="0.4">
      <c r="A107" s="14">
        <f t="shared" si="6"/>
        <v>81</v>
      </c>
      <c r="B107" s="84" t="s">
        <v>4</v>
      </c>
      <c r="C107" s="84"/>
      <c r="D107" s="85">
        <v>1</v>
      </c>
      <c r="E107" s="85"/>
      <c r="G107" s="90"/>
      <c r="H107" s="94"/>
      <c r="I107" s="95"/>
      <c r="L107" s="88"/>
      <c r="M107" s="88"/>
      <c r="N107" s="88"/>
      <c r="Q107" s="88"/>
      <c r="R107" s="88"/>
      <c r="S107" s="88"/>
      <c r="V107" s="88"/>
      <c r="W107" s="88"/>
      <c r="X107" s="88"/>
    </row>
    <row r="108" spans="1:40" x14ac:dyDescent="0.4">
      <c r="A108" s="14">
        <f t="shared" si="6"/>
        <v>82</v>
      </c>
      <c r="B108" s="84" t="s">
        <v>1</v>
      </c>
      <c r="C108" s="84"/>
      <c r="D108" s="85">
        <v>0.01</v>
      </c>
      <c r="E108" s="85"/>
      <c r="G108" s="90"/>
      <c r="V108" s="88" t="s">
        <v>14</v>
      </c>
      <c r="W108" s="88"/>
      <c r="X108" s="5">
        <v>3</v>
      </c>
    </row>
    <row r="109" spans="1:40" x14ac:dyDescent="0.4">
      <c r="A109" s="14">
        <f t="shared" si="6"/>
        <v>83</v>
      </c>
      <c r="G109" s="90"/>
      <c r="H109" s="2" t="s">
        <v>8</v>
      </c>
      <c r="I109" s="3">
        <v>0.01</v>
      </c>
      <c r="Q109" s="88" t="s">
        <v>15</v>
      </c>
      <c r="R109" s="88"/>
      <c r="S109" s="5">
        <v>3</v>
      </c>
      <c r="V109" s="86" t="s">
        <v>16</v>
      </c>
      <c r="W109" s="6" t="s">
        <v>17</v>
      </c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</row>
    <row r="110" spans="1:40" x14ac:dyDescent="0.4">
      <c r="A110" s="14">
        <f t="shared" si="6"/>
        <v>84</v>
      </c>
      <c r="G110" s="90"/>
      <c r="H110" s="2" t="s">
        <v>9</v>
      </c>
      <c r="I110" s="2" t="s">
        <v>10</v>
      </c>
      <c r="L110" s="8" t="s">
        <v>18</v>
      </c>
      <c r="M110" s="8" t="s">
        <v>19</v>
      </c>
      <c r="N110" s="2" t="s">
        <v>72</v>
      </c>
      <c r="Q110" s="8" t="s">
        <v>18</v>
      </c>
      <c r="R110" s="8" t="s">
        <v>19</v>
      </c>
      <c r="S110" s="2" t="s">
        <v>20</v>
      </c>
      <c r="V110" s="87"/>
      <c r="W110" s="9">
        <v>1</v>
      </c>
      <c r="X110" s="9">
        <v>2</v>
      </c>
      <c r="Y110" s="9">
        <v>3</v>
      </c>
      <c r="Z110" s="9">
        <v>4</v>
      </c>
      <c r="AA110" s="9">
        <v>5</v>
      </c>
      <c r="AB110" s="9">
        <v>7</v>
      </c>
      <c r="AC110" s="9">
        <v>10</v>
      </c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</row>
    <row r="111" spans="1:40" x14ac:dyDescent="0.35">
      <c r="A111" s="14">
        <f t="shared" si="6"/>
        <v>85</v>
      </c>
      <c r="G111" s="90"/>
      <c r="H111" s="1">
        <v>0.5</v>
      </c>
      <c r="I111" s="4">
        <v>3.0768385248061301E-3</v>
      </c>
      <c r="L111" s="10">
        <v>1</v>
      </c>
      <c r="M111" s="11">
        <v>2.7397260273972603E-3</v>
      </c>
      <c r="N111" s="12">
        <v>9.2987051584846429E-3</v>
      </c>
      <c r="Q111" s="10">
        <v>1</v>
      </c>
      <c r="R111" s="11">
        <v>1</v>
      </c>
      <c r="S111" s="12">
        <v>0.14964285714285716</v>
      </c>
      <c r="V111" s="9">
        <v>0.5</v>
      </c>
      <c r="W111" s="13">
        <v>0.1384926171182437</v>
      </c>
      <c r="X111" s="13">
        <v>0.14761163721770634</v>
      </c>
      <c r="Y111" s="13">
        <v>0.15539780400383685</v>
      </c>
      <c r="Z111" s="13">
        <v>0.1631096088487676</v>
      </c>
      <c r="AA111" s="13">
        <v>0.16961076375315337</v>
      </c>
      <c r="AB111" s="13">
        <v>0.16646469259116742</v>
      </c>
      <c r="AC111" s="13">
        <v>0.16336780983229174</v>
      </c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A112" s="14">
        <f t="shared" si="6"/>
        <v>86</v>
      </c>
      <c r="G112" s="90"/>
      <c r="H112" s="1">
        <v>1</v>
      </c>
      <c r="I112" s="4">
        <v>2.8828677143648727E-3</v>
      </c>
      <c r="L112" s="10">
        <f>L111+1</f>
        <v>2</v>
      </c>
      <c r="M112" s="11">
        <v>0.25</v>
      </c>
      <c r="N112" s="12">
        <v>1.0100494925245816E-2</v>
      </c>
      <c r="Q112" s="10">
        <f>Q111+1</f>
        <v>2</v>
      </c>
      <c r="R112" s="11">
        <v>2</v>
      </c>
      <c r="S112" s="12">
        <v>0.15085714285714286</v>
      </c>
      <c r="V112" s="9">
        <v>1</v>
      </c>
      <c r="W112" s="13">
        <v>0.14040057981470888</v>
      </c>
      <c r="X112" s="13">
        <v>0.14632666205134551</v>
      </c>
      <c r="Y112" s="13">
        <v>0.15543022337463921</v>
      </c>
      <c r="Z112" s="13">
        <v>0.15785275519807879</v>
      </c>
      <c r="AA112" s="13">
        <v>0.16308967009957046</v>
      </c>
      <c r="AB112" s="13">
        <v>0.15954804642315323</v>
      </c>
      <c r="AC112" s="13">
        <v>0.15105843675710656</v>
      </c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1:40" x14ac:dyDescent="0.35">
      <c r="A113" s="14">
        <f t="shared" si="6"/>
        <v>87</v>
      </c>
      <c r="C113" s="1" t="s">
        <v>5</v>
      </c>
      <c r="D113" s="97" t="s">
        <v>6</v>
      </c>
      <c r="E113" s="97"/>
      <c r="G113" s="90"/>
      <c r="H113" s="1">
        <v>1.5</v>
      </c>
      <c r="I113" s="4">
        <v>3.4324371389857704E-3</v>
      </c>
      <c r="L113" s="10">
        <f t="shared" ref="L113:L140" si="7">L112+1</f>
        <v>3</v>
      </c>
      <c r="M113" s="11">
        <v>0.5</v>
      </c>
      <c r="N113" s="12">
        <v>1.0585744906933231E-2</v>
      </c>
      <c r="Q113" s="10">
        <f t="shared" ref="Q113:Q140" si="8">Q112+1</f>
        <v>3</v>
      </c>
      <c r="R113" s="11">
        <v>3</v>
      </c>
      <c r="S113" s="12">
        <v>0.14971428571428572</v>
      </c>
      <c r="V113" s="9">
        <v>1.5</v>
      </c>
      <c r="W113" s="13">
        <v>0.14867838499611513</v>
      </c>
      <c r="X113" s="13">
        <v>0.15594323469063806</v>
      </c>
      <c r="Y113" s="13">
        <v>0.15373874638360399</v>
      </c>
      <c r="Z113" s="13">
        <v>0.16148796990508402</v>
      </c>
      <c r="AA113" s="13">
        <v>0.16262826059881971</v>
      </c>
      <c r="AB113" s="13">
        <v>0.15460711266034871</v>
      </c>
      <c r="AC113" s="13">
        <v>0.15421386590513125</v>
      </c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1:40" x14ac:dyDescent="0.35">
      <c r="A114" s="14">
        <f t="shared" si="6"/>
        <v>88</v>
      </c>
      <c r="D114" s="97"/>
      <c r="E114" s="97"/>
      <c r="G114" s="90"/>
      <c r="H114" s="1">
        <v>2</v>
      </c>
      <c r="I114" s="4">
        <v>3.1092972123895678E-3</v>
      </c>
      <c r="L114" s="10">
        <f t="shared" si="7"/>
        <v>4</v>
      </c>
      <c r="M114" s="11">
        <v>1</v>
      </c>
      <c r="N114" s="12">
        <v>1.1364206149595617E-2</v>
      </c>
      <c r="Q114" s="10">
        <f t="shared" si="8"/>
        <v>4</v>
      </c>
      <c r="R114" s="11">
        <v>4</v>
      </c>
      <c r="S114" s="12">
        <v>0.1472857142857143</v>
      </c>
      <c r="V114" s="9">
        <v>2</v>
      </c>
      <c r="W114" s="13">
        <v>0.16121864439147726</v>
      </c>
      <c r="X114" s="13">
        <v>0.16053635199165964</v>
      </c>
      <c r="Y114" s="13">
        <v>0.15736933692690278</v>
      </c>
      <c r="Z114" s="13">
        <v>0.15800328343197115</v>
      </c>
      <c r="AA114" s="13">
        <v>0.15892692041421808</v>
      </c>
      <c r="AB114" s="13">
        <v>0.15134526839467008</v>
      </c>
      <c r="AC114" s="13">
        <v>0.14901771251662804</v>
      </c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5" spans="1:40" x14ac:dyDescent="0.35">
      <c r="A115" s="14">
        <f t="shared" si="6"/>
        <v>89</v>
      </c>
      <c r="D115" s="97"/>
      <c r="E115" s="97"/>
      <c r="G115" s="90"/>
      <c r="H115" s="1">
        <v>3</v>
      </c>
      <c r="I115" s="4">
        <v>3.485251492084077E-3</v>
      </c>
      <c r="L115" s="10">
        <f t="shared" si="7"/>
        <v>5</v>
      </c>
      <c r="M115" s="11">
        <v>1.5</v>
      </c>
      <c r="N115" s="12">
        <v>1.1240699512420845E-2</v>
      </c>
      <c r="Q115" s="10">
        <f t="shared" si="8"/>
        <v>5</v>
      </c>
      <c r="R115" s="11">
        <v>5</v>
      </c>
      <c r="S115" s="12">
        <v>0.14885714285714285</v>
      </c>
      <c r="U115" s="15"/>
      <c r="V115" s="9">
        <v>3</v>
      </c>
      <c r="W115" s="13">
        <v>0.16541051318262792</v>
      </c>
      <c r="X115" s="13">
        <v>0.1660830439979728</v>
      </c>
      <c r="Y115" s="13">
        <v>0.15902347969061983</v>
      </c>
      <c r="Z115" s="13">
        <v>0.15329416202884838</v>
      </c>
      <c r="AA115" s="13">
        <v>0.15054749157879738</v>
      </c>
      <c r="AB115" s="13">
        <v>0.14554512012573781</v>
      </c>
      <c r="AC115" s="13">
        <v>0.14304469755409441</v>
      </c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</row>
    <row r="116" spans="1:40" x14ac:dyDescent="0.35">
      <c r="A116" s="14">
        <f t="shared" si="6"/>
        <v>90</v>
      </c>
      <c r="G116" s="90"/>
      <c r="H116" s="1">
        <v>4</v>
      </c>
      <c r="I116" s="4">
        <v>2.9708431612119612E-3</v>
      </c>
      <c r="L116" s="10">
        <f t="shared" si="7"/>
        <v>6</v>
      </c>
      <c r="M116" s="11">
        <v>2</v>
      </c>
      <c r="N116" s="12">
        <v>1.2560340009797765E-2</v>
      </c>
      <c r="Q116" s="10">
        <f t="shared" si="8"/>
        <v>6</v>
      </c>
      <c r="R116" s="11">
        <v>7</v>
      </c>
      <c r="S116" s="12">
        <v>0.14299999999999999</v>
      </c>
      <c r="U116" s="15"/>
      <c r="V116" s="9">
        <v>4</v>
      </c>
      <c r="W116" s="13">
        <v>0.16571355883609359</v>
      </c>
      <c r="X116" s="13">
        <v>0.16043784832858055</v>
      </c>
      <c r="Y116" s="13">
        <v>0.15385665589690289</v>
      </c>
      <c r="Z116" s="13">
        <v>0.14935620752451784</v>
      </c>
      <c r="AA116" s="13">
        <v>0.14646149655214519</v>
      </c>
      <c r="AB116" s="13">
        <v>0.14695190421678975</v>
      </c>
      <c r="AC116" s="13">
        <v>0.14403394176004788</v>
      </c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</row>
    <row r="117" spans="1:40" x14ac:dyDescent="0.35">
      <c r="A117" s="14">
        <f t="shared" si="6"/>
        <v>91</v>
      </c>
      <c r="D117" s="98">
        <v>44927.895057870373</v>
      </c>
      <c r="E117" s="98"/>
      <c r="G117" s="90"/>
      <c r="H117" s="1">
        <v>5</v>
      </c>
      <c r="I117" s="4">
        <v>3.0904834086835802E-3</v>
      </c>
      <c r="L117" s="10">
        <f t="shared" si="7"/>
        <v>7</v>
      </c>
      <c r="M117" s="11">
        <v>3</v>
      </c>
      <c r="N117" s="12">
        <v>1.344051633469635E-2</v>
      </c>
      <c r="Q117" s="10">
        <f t="shared" si="8"/>
        <v>7</v>
      </c>
      <c r="R117" s="11">
        <v>10</v>
      </c>
      <c r="S117" s="12">
        <v>0.14214285714285715</v>
      </c>
      <c r="U117" s="15"/>
      <c r="V117" s="9">
        <v>5</v>
      </c>
      <c r="W117" s="13">
        <v>0.16726334298435172</v>
      </c>
      <c r="X117" s="13">
        <v>0.1612655591185379</v>
      </c>
      <c r="Y117" s="13">
        <v>0.15610325772866515</v>
      </c>
      <c r="Z117" s="13">
        <v>0.15198229026153823</v>
      </c>
      <c r="AA117" s="13">
        <v>0.1501992428744624</v>
      </c>
      <c r="AB117" s="13">
        <v>0.14479366571507052</v>
      </c>
      <c r="AC117" s="13">
        <v>0.14381254572824181</v>
      </c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</row>
    <row r="118" spans="1:40" x14ac:dyDescent="0.35">
      <c r="A118" s="14">
        <f t="shared" si="6"/>
        <v>92</v>
      </c>
      <c r="D118" s="98">
        <v>44927.895069444443</v>
      </c>
      <c r="E118" s="98"/>
      <c r="G118" s="90"/>
      <c r="H118" s="1">
        <v>7</v>
      </c>
      <c r="I118" s="4">
        <v>3.4159808200177506E-3</v>
      </c>
      <c r="L118" s="10">
        <f t="shared" si="7"/>
        <v>8</v>
      </c>
      <c r="M118" s="11">
        <v>4</v>
      </c>
      <c r="N118" s="12">
        <v>1.5128217867816219E-2</v>
      </c>
      <c r="Q118" s="10">
        <f t="shared" si="8"/>
        <v>8</v>
      </c>
      <c r="R118" s="11"/>
      <c r="S118" s="12"/>
      <c r="U118" s="15"/>
      <c r="V118" s="9">
        <v>7</v>
      </c>
      <c r="W118" s="13">
        <v>0.15365898592959146</v>
      </c>
      <c r="X118" s="13">
        <v>0.15156817792569124</v>
      </c>
      <c r="Y118" s="13">
        <v>0.15173965385614124</v>
      </c>
      <c r="Z118" s="13">
        <v>0.15263485175206262</v>
      </c>
      <c r="AA118" s="13">
        <v>0.1413006769229472</v>
      </c>
      <c r="AB118" s="13">
        <v>0.1448818531521979</v>
      </c>
      <c r="AC118" s="13">
        <v>0.13975968160245669</v>
      </c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</row>
    <row r="119" spans="1:40" x14ac:dyDescent="0.35">
      <c r="A119" s="14">
        <f t="shared" si="6"/>
        <v>93</v>
      </c>
      <c r="G119" s="90"/>
      <c r="H119" s="1">
        <v>10</v>
      </c>
      <c r="I119" s="4">
        <v>3.2263354382894823E-3</v>
      </c>
      <c r="L119" s="10">
        <f t="shared" si="7"/>
        <v>9</v>
      </c>
      <c r="M119" s="11">
        <v>5</v>
      </c>
      <c r="N119" s="12">
        <v>1.6145008698489109E-2</v>
      </c>
      <c r="Q119" s="10">
        <f t="shared" si="8"/>
        <v>9</v>
      </c>
      <c r="R119" s="11"/>
      <c r="S119" s="12"/>
      <c r="U119" s="15"/>
      <c r="V119" s="9">
        <v>10</v>
      </c>
      <c r="W119" s="13">
        <v>0.15429364170184443</v>
      </c>
      <c r="X119" s="13">
        <v>0.15655757595465852</v>
      </c>
      <c r="Y119" s="13">
        <v>0.15230380437456112</v>
      </c>
      <c r="Z119" s="13">
        <v>0.14828138188985771</v>
      </c>
      <c r="AA119" s="13">
        <v>0.14547451624609753</v>
      </c>
      <c r="AB119" s="13">
        <v>0.14166601969580189</v>
      </c>
      <c r="AC119" s="13">
        <v>0.13402708173569783</v>
      </c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</row>
    <row r="120" spans="1:40" x14ac:dyDescent="0.35">
      <c r="A120" s="14">
        <f t="shared" si="6"/>
        <v>94</v>
      </c>
      <c r="G120" s="90"/>
      <c r="H120" s="1"/>
      <c r="I120" s="4"/>
      <c r="L120" s="10">
        <f t="shared" si="7"/>
        <v>10</v>
      </c>
      <c r="M120" s="11">
        <v>6</v>
      </c>
      <c r="N120" s="12">
        <v>1.6196912530765887E-2</v>
      </c>
      <c r="Q120" s="10">
        <f t="shared" si="8"/>
        <v>10</v>
      </c>
      <c r="R120" s="11"/>
      <c r="S120" s="12"/>
      <c r="U120" s="15"/>
      <c r="V120" s="9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</row>
    <row r="121" spans="1:40" x14ac:dyDescent="0.35">
      <c r="A121" s="14">
        <f t="shared" si="6"/>
        <v>95</v>
      </c>
      <c r="G121" s="90"/>
      <c r="H121" s="1"/>
      <c r="I121" s="4"/>
      <c r="L121" s="10">
        <f t="shared" si="7"/>
        <v>11</v>
      </c>
      <c r="M121" s="11">
        <v>7</v>
      </c>
      <c r="N121" s="12">
        <v>1.7576413300879615E-2</v>
      </c>
      <c r="Q121" s="10">
        <f t="shared" si="8"/>
        <v>11</v>
      </c>
      <c r="R121" s="11"/>
      <c r="S121" s="12"/>
      <c r="U121" s="16"/>
      <c r="V121" s="9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</row>
    <row r="122" spans="1:40" x14ac:dyDescent="0.35">
      <c r="A122" s="14">
        <f t="shared" si="6"/>
        <v>96</v>
      </c>
      <c r="G122" s="90"/>
      <c r="H122" s="1"/>
      <c r="I122" s="4"/>
      <c r="L122" s="10">
        <f t="shared" si="7"/>
        <v>12</v>
      </c>
      <c r="M122" s="11">
        <v>8</v>
      </c>
      <c r="N122" s="12">
        <v>1.7788002445556443E-2</v>
      </c>
      <c r="Q122" s="10">
        <f t="shared" si="8"/>
        <v>12</v>
      </c>
      <c r="R122" s="11"/>
      <c r="S122" s="12"/>
      <c r="U122" s="17"/>
      <c r="V122" s="9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1:40" x14ac:dyDescent="0.35">
      <c r="A123" s="14">
        <f t="shared" si="6"/>
        <v>97</v>
      </c>
      <c r="G123" s="90"/>
      <c r="H123" s="1"/>
      <c r="I123" s="4"/>
      <c r="L123" s="10">
        <f t="shared" si="7"/>
        <v>13</v>
      </c>
      <c r="M123" s="11">
        <v>9</v>
      </c>
      <c r="N123" s="12">
        <v>1.8387991814191845E-2</v>
      </c>
      <c r="Q123" s="10">
        <f t="shared" si="8"/>
        <v>13</v>
      </c>
      <c r="R123" s="11"/>
      <c r="S123" s="12"/>
      <c r="V123" s="9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1:40" x14ac:dyDescent="0.35">
      <c r="A124" s="14">
        <f t="shared" si="6"/>
        <v>98</v>
      </c>
      <c r="G124" s="90"/>
      <c r="H124" s="1"/>
      <c r="I124" s="4"/>
      <c r="L124" s="10">
        <f t="shared" si="7"/>
        <v>14</v>
      </c>
      <c r="M124" s="11">
        <v>10</v>
      </c>
      <c r="N124" s="12">
        <v>1.8834234363904127E-2</v>
      </c>
      <c r="Q124" s="10">
        <f t="shared" si="8"/>
        <v>14</v>
      </c>
      <c r="R124" s="11"/>
      <c r="S124" s="12"/>
      <c r="V124" s="9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1:40" x14ac:dyDescent="0.35">
      <c r="A125" s="14">
        <f t="shared" si="6"/>
        <v>99</v>
      </c>
      <c r="G125" s="90"/>
      <c r="H125" s="1"/>
      <c r="I125" s="4"/>
      <c r="L125" s="10">
        <f t="shared" si="7"/>
        <v>15</v>
      </c>
      <c r="M125" s="11">
        <v>12</v>
      </c>
      <c r="N125" s="12">
        <v>1.8971011340666574E-2</v>
      </c>
      <c r="Q125" s="10">
        <f t="shared" si="8"/>
        <v>15</v>
      </c>
      <c r="R125" s="11"/>
      <c r="S125" s="12"/>
      <c r="V125" s="9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1:40" x14ac:dyDescent="0.35">
      <c r="A126" s="14">
        <f t="shared" si="6"/>
        <v>100</v>
      </c>
      <c r="G126" s="90"/>
      <c r="H126" s="1"/>
      <c r="I126" s="4"/>
      <c r="L126" s="10">
        <f t="shared" si="7"/>
        <v>16</v>
      </c>
      <c r="M126" s="11">
        <v>15</v>
      </c>
      <c r="N126" s="12">
        <v>1.9495973300093089E-2</v>
      </c>
      <c r="Q126" s="10">
        <f t="shared" si="8"/>
        <v>16</v>
      </c>
      <c r="R126" s="11"/>
      <c r="S126" s="12"/>
      <c r="V126" s="9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1:40" x14ac:dyDescent="0.35">
      <c r="G127" s="90"/>
      <c r="H127" s="1"/>
      <c r="I127" s="4"/>
      <c r="L127" s="10">
        <f t="shared" si="7"/>
        <v>17</v>
      </c>
      <c r="M127" s="11">
        <v>20</v>
      </c>
      <c r="N127" s="12">
        <v>2.117680539084018E-2</v>
      </c>
      <c r="Q127" s="10">
        <f t="shared" si="8"/>
        <v>17</v>
      </c>
      <c r="R127" s="11"/>
      <c r="S127" s="12"/>
      <c r="V127" s="9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1:40" x14ac:dyDescent="0.35">
      <c r="G128" s="90"/>
      <c r="H128" s="1"/>
      <c r="I128" s="4"/>
      <c r="L128" s="10">
        <f t="shared" si="7"/>
        <v>18</v>
      </c>
      <c r="M128" s="11"/>
      <c r="N128" s="12"/>
      <c r="Q128" s="10">
        <f t="shared" si="8"/>
        <v>18</v>
      </c>
      <c r="R128" s="11"/>
      <c r="S128" s="12"/>
      <c r="V128" s="9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7:40" x14ac:dyDescent="0.35">
      <c r="G129" s="90"/>
      <c r="H129" s="1"/>
      <c r="I129" s="4"/>
      <c r="L129" s="10">
        <f t="shared" si="7"/>
        <v>19</v>
      </c>
      <c r="M129" s="18"/>
      <c r="N129" s="19"/>
      <c r="Q129" s="10">
        <f t="shared" si="8"/>
        <v>19</v>
      </c>
      <c r="R129" s="20"/>
      <c r="S129" s="19"/>
      <c r="V129" s="9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7:40" x14ac:dyDescent="0.35">
      <c r="G130" s="90"/>
      <c r="H130" s="1"/>
      <c r="I130" s="4"/>
      <c r="L130" s="10">
        <f t="shared" si="7"/>
        <v>20</v>
      </c>
      <c r="M130" s="18"/>
      <c r="N130" s="19"/>
      <c r="Q130" s="10">
        <f t="shared" si="8"/>
        <v>20</v>
      </c>
      <c r="R130" s="20"/>
      <c r="S130" s="19"/>
      <c r="V130" s="9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7:40" x14ac:dyDescent="0.35">
      <c r="G131" s="90"/>
      <c r="H131" s="1"/>
      <c r="I131" s="4"/>
      <c r="L131" s="10">
        <f t="shared" si="7"/>
        <v>21</v>
      </c>
      <c r="M131" s="18"/>
      <c r="N131" s="19"/>
      <c r="Q131" s="10">
        <f t="shared" si="8"/>
        <v>21</v>
      </c>
      <c r="R131" s="20"/>
      <c r="S131" s="19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7:40" x14ac:dyDescent="0.35">
      <c r="G132" s="90"/>
      <c r="H132" s="1"/>
      <c r="I132" s="4"/>
      <c r="L132" s="10">
        <f t="shared" si="7"/>
        <v>22</v>
      </c>
      <c r="M132" s="18"/>
      <c r="N132" s="19"/>
      <c r="Q132" s="10">
        <f t="shared" si="8"/>
        <v>22</v>
      </c>
      <c r="R132" s="20"/>
      <c r="S132" s="19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7:40" x14ac:dyDescent="0.35">
      <c r="G133" s="90"/>
      <c r="H133" s="1"/>
      <c r="I133" s="4"/>
      <c r="L133" s="10">
        <f t="shared" si="7"/>
        <v>23</v>
      </c>
      <c r="M133" s="18"/>
      <c r="N133" s="19"/>
      <c r="Q133" s="10">
        <f t="shared" si="8"/>
        <v>23</v>
      </c>
      <c r="R133" s="20"/>
      <c r="S133" s="19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7:40" x14ac:dyDescent="0.35">
      <c r="G134" s="90"/>
      <c r="H134" s="1"/>
      <c r="I134" s="4"/>
      <c r="L134" s="10">
        <f t="shared" si="7"/>
        <v>24</v>
      </c>
      <c r="M134" s="18"/>
      <c r="N134" s="19"/>
      <c r="Q134" s="10">
        <f t="shared" si="8"/>
        <v>24</v>
      </c>
      <c r="R134" s="20"/>
      <c r="S134" s="19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7:40" x14ac:dyDescent="0.35">
      <c r="G135" s="90"/>
      <c r="H135" s="1"/>
      <c r="I135" s="4"/>
      <c r="L135" s="10">
        <f t="shared" si="7"/>
        <v>25</v>
      </c>
      <c r="M135" s="18"/>
      <c r="N135" s="19"/>
      <c r="Q135" s="10">
        <f t="shared" si="8"/>
        <v>25</v>
      </c>
      <c r="R135" s="20"/>
      <c r="S135" s="19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7:40" x14ac:dyDescent="0.35">
      <c r="G136" s="90"/>
      <c r="H136" s="1"/>
      <c r="I136" s="4"/>
      <c r="L136" s="10">
        <f t="shared" si="7"/>
        <v>26</v>
      </c>
      <c r="M136" s="18"/>
      <c r="N136" s="19"/>
      <c r="Q136" s="10">
        <f t="shared" si="8"/>
        <v>26</v>
      </c>
      <c r="R136" s="20"/>
      <c r="S136" s="19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7:40" x14ac:dyDescent="0.35">
      <c r="G137" s="90"/>
      <c r="H137" s="1"/>
      <c r="I137" s="4"/>
      <c r="L137" s="10">
        <f t="shared" si="7"/>
        <v>27</v>
      </c>
      <c r="M137" s="18"/>
      <c r="N137" s="19"/>
      <c r="Q137" s="10">
        <f t="shared" si="8"/>
        <v>27</v>
      </c>
      <c r="R137" s="20"/>
      <c r="S137" s="19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7:40" x14ac:dyDescent="0.35">
      <c r="G138" s="90"/>
      <c r="H138" s="1"/>
      <c r="I138" s="4"/>
      <c r="L138" s="10">
        <f t="shared" si="7"/>
        <v>28</v>
      </c>
      <c r="M138" s="18"/>
      <c r="N138" s="19"/>
      <c r="Q138" s="10">
        <f t="shared" si="8"/>
        <v>28</v>
      </c>
      <c r="R138" s="20"/>
      <c r="S138" s="19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7:40" x14ac:dyDescent="0.35">
      <c r="G139" s="90"/>
      <c r="H139" s="1"/>
      <c r="I139" s="4"/>
      <c r="L139" s="10">
        <f t="shared" si="7"/>
        <v>29</v>
      </c>
      <c r="M139" s="18"/>
      <c r="N139" s="19"/>
      <c r="Q139" s="10">
        <f t="shared" si="8"/>
        <v>29</v>
      </c>
      <c r="R139" s="20"/>
      <c r="S139" s="19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7:40" x14ac:dyDescent="0.35">
      <c r="G140" s="90"/>
      <c r="H140" s="1"/>
      <c r="I140" s="4"/>
      <c r="L140" s="10">
        <f t="shared" si="7"/>
        <v>30</v>
      </c>
      <c r="M140" s="18"/>
      <c r="N140" s="19"/>
      <c r="Q140" s="10">
        <f t="shared" si="8"/>
        <v>30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7:40" x14ac:dyDescent="0.35">
      <c r="G141" s="83"/>
      <c r="H141" s="199"/>
      <c r="I141" s="200"/>
      <c r="L141" s="201"/>
      <c r="M141" s="202"/>
      <c r="N141" s="203"/>
      <c r="Q141" s="201"/>
      <c r="R141" s="204"/>
      <c r="S141" s="203"/>
      <c r="V141" s="205"/>
      <c r="W141" s="206"/>
      <c r="X141" s="206"/>
      <c r="Y141" s="206"/>
      <c r="Z141" s="206"/>
      <c r="AA141" s="206"/>
      <c r="AB141" s="206"/>
      <c r="AC141" s="206"/>
      <c r="AD141" s="206"/>
      <c r="AE141" s="206"/>
      <c r="AF141" s="206"/>
      <c r="AG141" s="206"/>
      <c r="AH141" s="206"/>
      <c r="AI141" s="206"/>
      <c r="AJ141" s="206"/>
      <c r="AK141" s="206"/>
      <c r="AL141" s="206"/>
      <c r="AM141" s="206"/>
      <c r="AN141" s="206"/>
    </row>
    <row r="142" spans="7:40" x14ac:dyDescent="0.35">
      <c r="G142" s="83"/>
      <c r="H142" s="199"/>
      <c r="I142" s="200"/>
      <c r="L142" s="201"/>
      <c r="M142" s="202"/>
      <c r="N142" s="203"/>
      <c r="Q142" s="201"/>
      <c r="R142" s="204"/>
      <c r="S142" s="203"/>
      <c r="V142" s="205"/>
      <c r="W142" s="206"/>
      <c r="X142" s="206"/>
      <c r="Y142" s="206"/>
      <c r="Z142" s="206"/>
      <c r="AA142" s="206"/>
      <c r="AB142" s="206"/>
      <c r="AC142" s="206"/>
      <c r="AD142" s="206"/>
      <c r="AE142" s="206"/>
      <c r="AF142" s="206"/>
      <c r="AG142" s="206"/>
      <c r="AH142" s="206"/>
      <c r="AI142" s="206"/>
      <c r="AJ142" s="206"/>
      <c r="AK142" s="206"/>
      <c r="AL142" s="206"/>
      <c r="AM142" s="206"/>
      <c r="AN142" s="206"/>
    </row>
    <row r="143" spans="7:40" x14ac:dyDescent="0.35">
      <c r="G143" s="83"/>
      <c r="H143" s="199"/>
      <c r="I143" s="200"/>
      <c r="L143" s="201"/>
      <c r="M143" s="202"/>
      <c r="N143" s="203"/>
      <c r="Q143" s="201"/>
      <c r="R143" s="204"/>
      <c r="S143" s="203"/>
      <c r="V143" s="205"/>
      <c r="W143" s="206"/>
      <c r="X143" s="206"/>
      <c r="Y143" s="206"/>
      <c r="Z143" s="206"/>
      <c r="AA143" s="206"/>
      <c r="AB143" s="206"/>
      <c r="AC143" s="206"/>
      <c r="AD143" s="206"/>
      <c r="AE143" s="206"/>
      <c r="AF143" s="206"/>
      <c r="AG143" s="206"/>
      <c r="AH143" s="206"/>
      <c r="AI143" s="206"/>
      <c r="AJ143" s="206"/>
      <c r="AK143" s="206"/>
      <c r="AL143" s="206"/>
      <c r="AM143" s="206"/>
      <c r="AN143" s="206"/>
    </row>
    <row r="144" spans="7:40" x14ac:dyDescent="0.35">
      <c r="G144" s="83"/>
      <c r="H144" s="199"/>
      <c r="I144" s="200"/>
      <c r="L144" s="201"/>
      <c r="M144" s="202"/>
      <c r="N144" s="203"/>
      <c r="Q144" s="201"/>
      <c r="R144" s="204"/>
      <c r="S144" s="203"/>
      <c r="V144" s="205"/>
      <c r="W144" s="206"/>
      <c r="X144" s="206"/>
      <c r="Y144" s="206"/>
      <c r="Z144" s="206"/>
      <c r="AA144" s="206"/>
      <c r="AB144" s="206"/>
      <c r="AC144" s="206"/>
      <c r="AD144" s="206"/>
      <c r="AE144" s="206"/>
      <c r="AF144" s="206"/>
      <c r="AG144" s="206"/>
      <c r="AH144" s="206"/>
      <c r="AI144" s="206"/>
      <c r="AJ144" s="206"/>
      <c r="AK144" s="206"/>
      <c r="AL144" s="206"/>
      <c r="AM144" s="206"/>
      <c r="AN144" s="206"/>
    </row>
    <row r="145" spans="2:40" x14ac:dyDescent="0.35">
      <c r="G145" s="83"/>
      <c r="H145" s="199"/>
      <c r="I145" s="200"/>
      <c r="L145" s="201"/>
      <c r="M145" s="202"/>
      <c r="N145" s="203"/>
      <c r="Q145" s="201"/>
      <c r="R145" s="204"/>
      <c r="S145" s="203"/>
      <c r="V145" s="205"/>
      <c r="W145" s="206"/>
      <c r="X145" s="206"/>
      <c r="Y145" s="206"/>
      <c r="Z145" s="206"/>
      <c r="AA145" s="206"/>
      <c r="AB145" s="206"/>
      <c r="AC145" s="206"/>
      <c r="AD145" s="206"/>
      <c r="AE145" s="206"/>
      <c r="AF145" s="206"/>
      <c r="AG145" s="206"/>
      <c r="AH145" s="206"/>
      <c r="AI145" s="206"/>
      <c r="AJ145" s="206"/>
      <c r="AK145" s="206"/>
      <c r="AL145" s="206"/>
      <c r="AM145" s="206"/>
      <c r="AN145" s="206"/>
    </row>
    <row r="146" spans="2:40" x14ac:dyDescent="0.35">
      <c r="G146" s="83"/>
      <c r="H146" s="199"/>
      <c r="I146" s="200"/>
      <c r="L146" s="201"/>
      <c r="M146" s="202"/>
      <c r="N146" s="203"/>
      <c r="Q146" s="201"/>
      <c r="R146" s="204"/>
      <c r="S146" s="203"/>
      <c r="V146" s="205"/>
      <c r="W146" s="206"/>
      <c r="X146" s="206"/>
      <c r="Y146" s="206"/>
      <c r="Z146" s="206"/>
      <c r="AA146" s="206"/>
      <c r="AB146" s="206"/>
      <c r="AC146" s="206"/>
      <c r="AD146" s="206"/>
      <c r="AE146" s="206"/>
      <c r="AF146" s="206"/>
      <c r="AG146" s="206"/>
      <c r="AH146" s="206"/>
      <c r="AI146" s="206"/>
      <c r="AJ146" s="206"/>
      <c r="AK146" s="206"/>
      <c r="AL146" s="206"/>
      <c r="AM146" s="206"/>
      <c r="AN146" s="206"/>
    </row>
    <row r="147" spans="2:40" x14ac:dyDescent="0.35">
      <c r="G147" s="83"/>
      <c r="H147" s="199"/>
      <c r="I147" s="200"/>
      <c r="L147" s="201"/>
      <c r="M147" s="202"/>
      <c r="N147" s="203"/>
      <c r="Q147" s="201"/>
      <c r="R147" s="204"/>
      <c r="S147" s="203"/>
      <c r="V147" s="205"/>
      <c r="W147" s="206"/>
      <c r="X147" s="206"/>
      <c r="Y147" s="206"/>
      <c r="Z147" s="206"/>
      <c r="AA147" s="206"/>
      <c r="AB147" s="206"/>
      <c r="AC147" s="206"/>
      <c r="AD147" s="206"/>
      <c r="AE147" s="206"/>
      <c r="AF147" s="206"/>
      <c r="AG147" s="206"/>
      <c r="AH147" s="206"/>
      <c r="AI147" s="206"/>
      <c r="AJ147" s="206"/>
      <c r="AK147" s="206"/>
      <c r="AL147" s="206"/>
      <c r="AM147" s="206"/>
      <c r="AN147" s="206"/>
    </row>
    <row r="148" spans="2:40" x14ac:dyDescent="0.35">
      <c r="G148" s="83"/>
      <c r="H148" s="199"/>
      <c r="I148" s="200"/>
      <c r="L148" s="201"/>
      <c r="M148" s="202"/>
      <c r="N148" s="203"/>
      <c r="Q148" s="201"/>
      <c r="R148" s="204"/>
      <c r="S148" s="203"/>
      <c r="V148" s="205"/>
      <c r="W148" s="206"/>
      <c r="X148" s="206"/>
      <c r="Y148" s="206"/>
      <c r="Z148" s="206"/>
      <c r="AA148" s="206"/>
      <c r="AB148" s="206"/>
      <c r="AC148" s="206"/>
      <c r="AD148" s="206"/>
      <c r="AE148" s="206"/>
      <c r="AF148" s="206"/>
      <c r="AG148" s="206"/>
      <c r="AH148" s="206"/>
      <c r="AI148" s="206"/>
      <c r="AJ148" s="206"/>
      <c r="AK148" s="206"/>
      <c r="AL148" s="206"/>
      <c r="AM148" s="206"/>
      <c r="AN148" s="206"/>
    </row>
    <row r="149" spans="2:40" x14ac:dyDescent="0.35">
      <c r="G149" s="83"/>
      <c r="H149" s="199"/>
      <c r="I149" s="200"/>
      <c r="L149" s="201"/>
      <c r="M149" s="202"/>
      <c r="N149" s="203"/>
      <c r="Q149" s="201"/>
      <c r="R149" s="204"/>
      <c r="S149" s="203"/>
      <c r="V149" s="205"/>
      <c r="W149" s="206"/>
      <c r="X149" s="206"/>
      <c r="Y149" s="206"/>
      <c r="Z149" s="206"/>
      <c r="AA149" s="206"/>
      <c r="AB149" s="206"/>
      <c r="AC149" s="206"/>
      <c r="AD149" s="206"/>
      <c r="AE149" s="206"/>
      <c r="AF149" s="206"/>
      <c r="AG149" s="206"/>
      <c r="AH149" s="206"/>
      <c r="AI149" s="206"/>
      <c r="AJ149" s="206"/>
      <c r="AK149" s="206"/>
      <c r="AL149" s="206"/>
      <c r="AM149" s="206"/>
      <c r="AN149" s="206"/>
    </row>
    <row r="150" spans="2:40" x14ac:dyDescent="0.35">
      <c r="G150" s="83"/>
      <c r="H150" s="199"/>
      <c r="I150" s="200"/>
      <c r="L150" s="201"/>
      <c r="M150" s="202"/>
      <c r="N150" s="203"/>
      <c r="Q150" s="201"/>
      <c r="R150" s="204"/>
      <c r="S150" s="203"/>
      <c r="V150" s="205"/>
      <c r="W150" s="206"/>
      <c r="X150" s="206"/>
      <c r="Y150" s="206"/>
      <c r="Z150" s="206"/>
      <c r="AA150" s="206"/>
      <c r="AB150" s="206"/>
      <c r="AC150" s="206"/>
      <c r="AD150" s="206"/>
      <c r="AE150" s="206"/>
      <c r="AF150" s="206"/>
      <c r="AG150" s="206"/>
      <c r="AH150" s="206"/>
      <c r="AI150" s="206"/>
      <c r="AJ150" s="206"/>
      <c r="AK150" s="206"/>
      <c r="AL150" s="206"/>
      <c r="AM150" s="206"/>
      <c r="AN150" s="206"/>
    </row>
    <row r="151" spans="2:40" x14ac:dyDescent="0.35">
      <c r="G151" s="83"/>
      <c r="H151" s="199"/>
      <c r="I151" s="200"/>
      <c r="L151" s="201"/>
      <c r="M151" s="202"/>
      <c r="N151" s="203"/>
      <c r="Q151" s="201"/>
      <c r="R151" s="204"/>
      <c r="S151" s="203"/>
      <c r="V151" s="205"/>
      <c r="W151" s="206"/>
      <c r="X151" s="206"/>
      <c r="Y151" s="206"/>
      <c r="Z151" s="206"/>
      <c r="AA151" s="206"/>
      <c r="AB151" s="206"/>
      <c r="AC151" s="206"/>
      <c r="AD151" s="206"/>
      <c r="AE151" s="206"/>
      <c r="AF151" s="206"/>
      <c r="AG151" s="206"/>
      <c r="AH151" s="206"/>
      <c r="AI151" s="206"/>
      <c r="AJ151" s="206"/>
      <c r="AK151" s="206"/>
      <c r="AL151" s="206"/>
      <c r="AM151" s="206"/>
      <c r="AN151" s="206"/>
    </row>
    <row r="152" spans="2:40" x14ac:dyDescent="0.35">
      <c r="G152" s="83"/>
      <c r="H152" s="199"/>
      <c r="I152" s="200"/>
      <c r="L152" s="201"/>
      <c r="M152" s="202"/>
      <c r="N152" s="203"/>
      <c r="Q152" s="201"/>
      <c r="R152" s="204"/>
      <c r="S152" s="203"/>
      <c r="V152" s="205"/>
      <c r="W152" s="206"/>
      <c r="X152" s="206"/>
      <c r="Y152" s="206"/>
      <c r="Z152" s="206"/>
      <c r="AA152" s="206"/>
      <c r="AB152" s="206"/>
      <c r="AC152" s="206"/>
      <c r="AD152" s="206"/>
      <c r="AE152" s="206"/>
      <c r="AF152" s="206"/>
      <c r="AG152" s="206"/>
      <c r="AH152" s="206"/>
      <c r="AI152" s="206"/>
      <c r="AJ152" s="206"/>
      <c r="AK152" s="206"/>
      <c r="AL152" s="206"/>
      <c r="AM152" s="206"/>
      <c r="AN152" s="206"/>
    </row>
    <row r="153" spans="2:40" x14ac:dyDescent="0.35">
      <c r="G153" s="83"/>
      <c r="H153" s="199"/>
      <c r="I153" s="200"/>
      <c r="L153" s="201"/>
      <c r="M153" s="202"/>
      <c r="N153" s="203"/>
      <c r="Q153" s="201"/>
      <c r="R153" s="204"/>
      <c r="S153" s="203"/>
      <c r="V153" s="205"/>
      <c r="W153" s="206"/>
      <c r="X153" s="206"/>
      <c r="Y153" s="206"/>
      <c r="Z153" s="206"/>
      <c r="AA153" s="206"/>
      <c r="AB153" s="206"/>
      <c r="AC153" s="206"/>
      <c r="AD153" s="206"/>
      <c r="AE153" s="206"/>
      <c r="AF153" s="206"/>
      <c r="AG153" s="206"/>
      <c r="AH153" s="206"/>
      <c r="AI153" s="206"/>
      <c r="AJ153" s="206"/>
      <c r="AK153" s="206"/>
      <c r="AL153" s="206"/>
      <c r="AM153" s="206"/>
      <c r="AN153" s="206"/>
    </row>
    <row r="155" spans="2:40" x14ac:dyDescent="0.4">
      <c r="G155" s="89" t="s">
        <v>28</v>
      </c>
      <c r="H155" s="91" t="s">
        <v>27</v>
      </c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  <c r="X155" s="91"/>
    </row>
    <row r="156" spans="2:40" x14ac:dyDescent="0.4">
      <c r="B156" s="84" t="s">
        <v>3</v>
      </c>
      <c r="C156" s="84"/>
      <c r="D156" s="85">
        <v>1</v>
      </c>
      <c r="E156" s="85"/>
      <c r="G156" s="90"/>
      <c r="H156" s="92" t="s">
        <v>7</v>
      </c>
      <c r="I156" s="93"/>
      <c r="L156" s="88" t="s">
        <v>11</v>
      </c>
      <c r="M156" s="88"/>
      <c r="N156" s="88"/>
      <c r="Q156" s="88" t="s">
        <v>12</v>
      </c>
      <c r="R156" s="88"/>
      <c r="S156" s="88"/>
      <c r="V156" s="88" t="s">
        <v>13</v>
      </c>
      <c r="W156" s="88"/>
      <c r="X156" s="88"/>
    </row>
    <row r="157" spans="2:40" x14ac:dyDescent="0.4">
      <c r="B157" s="84" t="s">
        <v>4</v>
      </c>
      <c r="C157" s="84"/>
      <c r="D157" s="85">
        <v>1</v>
      </c>
      <c r="E157" s="85"/>
      <c r="G157" s="90"/>
      <c r="H157" s="94"/>
      <c r="I157" s="95"/>
      <c r="L157" s="88"/>
      <c r="M157" s="88"/>
      <c r="N157" s="88"/>
      <c r="Q157" s="88"/>
      <c r="R157" s="88"/>
      <c r="S157" s="88"/>
      <c r="V157" s="88"/>
      <c r="W157" s="88"/>
      <c r="X157" s="88"/>
    </row>
    <row r="158" spans="2:40" x14ac:dyDescent="0.4">
      <c r="B158" s="84" t="s">
        <v>1</v>
      </c>
      <c r="C158" s="84"/>
      <c r="D158" s="85">
        <v>0.01</v>
      </c>
      <c r="E158" s="85"/>
      <c r="G158" s="90"/>
      <c r="V158" s="88" t="s">
        <v>14</v>
      </c>
      <c r="W158" s="88"/>
      <c r="X158" s="5">
        <v>3</v>
      </c>
    </row>
    <row r="159" spans="2:40" x14ac:dyDescent="0.4">
      <c r="G159" s="90"/>
      <c r="H159" s="2" t="s">
        <v>8</v>
      </c>
      <c r="I159" s="3">
        <v>0.01</v>
      </c>
      <c r="Q159" s="88" t="s">
        <v>15</v>
      </c>
      <c r="R159" s="88"/>
      <c r="S159" s="5">
        <v>3</v>
      </c>
      <c r="V159" s="86" t="s">
        <v>16</v>
      </c>
      <c r="W159" s="6" t="s">
        <v>17</v>
      </c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</row>
    <row r="160" spans="2:40" x14ac:dyDescent="0.4">
      <c r="G160" s="90"/>
      <c r="H160" s="2" t="s">
        <v>9</v>
      </c>
      <c r="I160" s="2" t="s">
        <v>10</v>
      </c>
      <c r="L160" s="8" t="s">
        <v>18</v>
      </c>
      <c r="M160" s="8" t="s">
        <v>19</v>
      </c>
      <c r="N160" s="2" t="s">
        <v>72</v>
      </c>
      <c r="Q160" s="8" t="s">
        <v>18</v>
      </c>
      <c r="R160" s="8" t="s">
        <v>19</v>
      </c>
      <c r="S160" s="2" t="s">
        <v>20</v>
      </c>
      <c r="V160" s="87"/>
      <c r="W160" s="9">
        <v>1</v>
      </c>
      <c r="X160" s="9">
        <v>2</v>
      </c>
      <c r="Y160" s="9">
        <v>3</v>
      </c>
      <c r="Z160" s="9">
        <v>4</v>
      </c>
      <c r="AA160" s="9">
        <v>5</v>
      </c>
      <c r="AB160" s="9">
        <v>7</v>
      </c>
      <c r="AC160" s="9">
        <v>10</v>
      </c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</row>
    <row r="161" spans="3:40" x14ac:dyDescent="0.35">
      <c r="G161" s="90"/>
      <c r="H161" s="1">
        <v>0.5</v>
      </c>
      <c r="I161" s="4">
        <v>3.2053156339391024E-3</v>
      </c>
      <c r="L161" s="10">
        <v>1</v>
      </c>
      <c r="M161" s="11">
        <v>2.7397260273972603E-3</v>
      </c>
      <c r="N161" s="12">
        <v>1.0027029778086581E-2</v>
      </c>
      <c r="Q161" s="10">
        <v>1</v>
      </c>
      <c r="R161" s="11">
        <v>1</v>
      </c>
      <c r="S161" s="12">
        <v>0.14964285714285716</v>
      </c>
      <c r="V161" s="9">
        <v>0.5</v>
      </c>
      <c r="W161" s="13">
        <v>0.13897671938610195</v>
      </c>
      <c r="X161" s="13">
        <v>0.15092062269831474</v>
      </c>
      <c r="Y161" s="13">
        <v>0.1559973749070592</v>
      </c>
      <c r="Z161" s="13">
        <v>0.16630923987698532</v>
      </c>
      <c r="AA161" s="13">
        <v>0.174160916608498</v>
      </c>
      <c r="AB161" s="13">
        <v>0.1692372470784102</v>
      </c>
      <c r="AC161" s="13">
        <v>0.1644239476786947</v>
      </c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</row>
    <row r="162" spans="3:40" x14ac:dyDescent="0.35">
      <c r="G162" s="90"/>
      <c r="H162" s="1">
        <v>1</v>
      </c>
      <c r="I162" s="4">
        <v>3.0483727202406659E-3</v>
      </c>
      <c r="L162" s="10">
        <f>L161+1</f>
        <v>2</v>
      </c>
      <c r="M162" s="11">
        <v>0.25</v>
      </c>
      <c r="N162" s="12">
        <v>1.1065709845408186E-2</v>
      </c>
      <c r="Q162" s="10">
        <f>Q161+1</f>
        <v>2</v>
      </c>
      <c r="R162" s="11">
        <v>2</v>
      </c>
      <c r="S162" s="12">
        <v>0.15085714285714286</v>
      </c>
      <c r="V162" s="9">
        <v>1</v>
      </c>
      <c r="W162" s="13">
        <v>0.14416196920823851</v>
      </c>
      <c r="X162" s="13">
        <v>0.14719508505591927</v>
      </c>
      <c r="Y162" s="13">
        <v>0.15919579256625782</v>
      </c>
      <c r="Z162" s="13">
        <v>0.15810816045978396</v>
      </c>
      <c r="AA162" s="13">
        <v>0.16719234566275756</v>
      </c>
      <c r="AB162" s="13">
        <v>0.163020389995474</v>
      </c>
      <c r="AC162" s="13">
        <v>0.15242615535912449</v>
      </c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</row>
    <row r="163" spans="3:40" x14ac:dyDescent="0.35">
      <c r="C163" s="1" t="s">
        <v>5</v>
      </c>
      <c r="D163" s="97" t="s">
        <v>6</v>
      </c>
      <c r="E163" s="97"/>
      <c r="G163" s="90"/>
      <c r="H163" s="1">
        <v>1.5</v>
      </c>
      <c r="I163" s="4">
        <v>3.4895161762991882E-3</v>
      </c>
      <c r="L163" s="10">
        <f t="shared" ref="L163:L190" si="9">L162+1</f>
        <v>3</v>
      </c>
      <c r="M163" s="11">
        <v>0.5</v>
      </c>
      <c r="N163" s="12">
        <v>1.1370283877900454E-2</v>
      </c>
      <c r="Q163" s="10">
        <f t="shared" ref="Q163:Q190" si="10">Q162+1</f>
        <v>3</v>
      </c>
      <c r="R163" s="11">
        <v>3</v>
      </c>
      <c r="S163" s="12">
        <v>0.14971428571428572</v>
      </c>
      <c r="V163" s="9">
        <v>1.5</v>
      </c>
      <c r="W163" s="13">
        <v>0.14892168855304375</v>
      </c>
      <c r="X163" s="13">
        <v>0.15711064446863182</v>
      </c>
      <c r="Y163" s="13">
        <v>0.15737295457677644</v>
      </c>
      <c r="Z163" s="13">
        <v>0.16529437025646773</v>
      </c>
      <c r="AA163" s="13">
        <v>0.16411473899089804</v>
      </c>
      <c r="AB163" s="13">
        <v>0.15620156600799054</v>
      </c>
      <c r="AC163" s="13">
        <v>0.1544122491922835</v>
      </c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</row>
    <row r="164" spans="3:40" x14ac:dyDescent="0.35">
      <c r="D164" s="97"/>
      <c r="E164" s="97"/>
      <c r="G164" s="90"/>
      <c r="H164" s="1">
        <v>2</v>
      </c>
      <c r="I164" s="4">
        <v>3.2523202313386422E-3</v>
      </c>
      <c r="L164" s="10">
        <f t="shared" si="9"/>
        <v>4</v>
      </c>
      <c r="M164" s="11">
        <v>1</v>
      </c>
      <c r="N164" s="12">
        <v>1.1758753303254273E-2</v>
      </c>
      <c r="Q164" s="10">
        <f t="shared" si="10"/>
        <v>4</v>
      </c>
      <c r="R164" s="11">
        <v>4</v>
      </c>
      <c r="S164" s="12">
        <v>0.1472857142857143</v>
      </c>
      <c r="V164" s="9">
        <v>2</v>
      </c>
      <c r="W164" s="13">
        <v>0.16144368842833856</v>
      </c>
      <c r="X164" s="13">
        <v>0.16306673372038621</v>
      </c>
      <c r="Y164" s="13">
        <v>0.16148421974283506</v>
      </c>
      <c r="Z164" s="13">
        <v>0.15824487451813951</v>
      </c>
      <c r="AA164" s="13">
        <v>0.16292368610205285</v>
      </c>
      <c r="AB164" s="13">
        <v>0.15581016265461484</v>
      </c>
      <c r="AC164" s="13">
        <v>0.15097949637018351</v>
      </c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</row>
    <row r="165" spans="3:40" x14ac:dyDescent="0.35">
      <c r="D165" s="97"/>
      <c r="E165" s="97"/>
      <c r="G165" s="90"/>
      <c r="H165" s="1">
        <v>3</v>
      </c>
      <c r="I165" s="4">
        <v>3.6067681137543785E-3</v>
      </c>
      <c r="L165" s="10">
        <f t="shared" si="9"/>
        <v>5</v>
      </c>
      <c r="M165" s="11">
        <v>1.5</v>
      </c>
      <c r="N165" s="12">
        <v>1.1661190571769517E-2</v>
      </c>
      <c r="Q165" s="10">
        <f t="shared" si="10"/>
        <v>5</v>
      </c>
      <c r="R165" s="11">
        <v>5</v>
      </c>
      <c r="S165" s="12">
        <v>0.14885714285714285</v>
      </c>
      <c r="U165" s="15"/>
      <c r="V165" s="9">
        <v>3</v>
      </c>
      <c r="W165" s="13">
        <v>0.16583204913005625</v>
      </c>
      <c r="X165" s="13">
        <v>0.16654565890127171</v>
      </c>
      <c r="Y165" s="13">
        <v>0.16175696634586209</v>
      </c>
      <c r="Z165" s="13">
        <v>0.15536842349853694</v>
      </c>
      <c r="AA165" s="13">
        <v>0.15292907042486187</v>
      </c>
      <c r="AB165" s="13">
        <v>0.1502753076486836</v>
      </c>
      <c r="AC165" s="13">
        <v>0.14423328531268015</v>
      </c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</row>
    <row r="166" spans="3:40" x14ac:dyDescent="0.35">
      <c r="G166" s="90"/>
      <c r="H166" s="1">
        <v>4</v>
      </c>
      <c r="I166" s="4">
        <v>3.4352694045883133E-3</v>
      </c>
      <c r="L166" s="10">
        <f t="shared" si="9"/>
        <v>6</v>
      </c>
      <c r="M166" s="11">
        <v>2</v>
      </c>
      <c r="N166" s="12">
        <v>1.3153899088696243E-2</v>
      </c>
      <c r="Q166" s="10">
        <f t="shared" si="10"/>
        <v>6</v>
      </c>
      <c r="R166" s="11">
        <v>7</v>
      </c>
      <c r="S166" s="12">
        <v>0.14299999999999999</v>
      </c>
      <c r="U166" s="15"/>
      <c r="V166" s="9">
        <v>4</v>
      </c>
      <c r="W166" s="13">
        <v>0.16612291180864996</v>
      </c>
      <c r="X166" s="13">
        <v>0.16194398449969211</v>
      </c>
      <c r="Y166" s="13">
        <v>0.15644155580690108</v>
      </c>
      <c r="Z166" s="13">
        <v>0.1543128438672404</v>
      </c>
      <c r="AA166" s="13">
        <v>0.15054253101001622</v>
      </c>
      <c r="AB166" s="13">
        <v>0.15054965709325172</v>
      </c>
      <c r="AC166" s="13">
        <v>0.14827650267074671</v>
      </c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</row>
    <row r="167" spans="3:40" x14ac:dyDescent="0.35">
      <c r="D167" s="98">
        <v>44927.895069444443</v>
      </c>
      <c r="E167" s="98"/>
      <c r="G167" s="90"/>
      <c r="H167" s="1">
        <v>5</v>
      </c>
      <c r="I167" s="4">
        <v>3.2907968254661476E-3</v>
      </c>
      <c r="L167" s="10">
        <f t="shared" si="9"/>
        <v>7</v>
      </c>
      <c r="M167" s="11">
        <v>3</v>
      </c>
      <c r="N167" s="12">
        <v>1.4038279155587861E-2</v>
      </c>
      <c r="Q167" s="10">
        <f t="shared" si="10"/>
        <v>7</v>
      </c>
      <c r="R167" s="11">
        <v>10</v>
      </c>
      <c r="S167" s="12">
        <v>0.14214285714285715</v>
      </c>
      <c r="U167" s="15"/>
      <c r="V167" s="9">
        <v>5</v>
      </c>
      <c r="W167" s="13">
        <v>0.16750296688268065</v>
      </c>
      <c r="X167" s="13">
        <v>0.16221934078728109</v>
      </c>
      <c r="Y167" s="13">
        <v>0.15885461992980204</v>
      </c>
      <c r="Z167" s="13">
        <v>0.15383294258828084</v>
      </c>
      <c r="AA167" s="13">
        <v>0.15377576651517999</v>
      </c>
      <c r="AB167" s="13">
        <v>0.14609973348390001</v>
      </c>
      <c r="AC167" s="13">
        <v>0.14669478357309174</v>
      </c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</row>
    <row r="168" spans="3:40" x14ac:dyDescent="0.35">
      <c r="D168" s="98">
        <v>44927.895069444443</v>
      </c>
      <c r="E168" s="98"/>
      <c r="G168" s="90"/>
      <c r="H168" s="1">
        <v>7</v>
      </c>
      <c r="I168" s="4">
        <v>3.6311744766072494E-3</v>
      </c>
      <c r="L168" s="10">
        <f t="shared" si="9"/>
        <v>8</v>
      </c>
      <c r="M168" s="11">
        <v>4</v>
      </c>
      <c r="N168" s="12">
        <v>1.5228465405965569E-2</v>
      </c>
      <c r="Q168" s="10">
        <f t="shared" si="10"/>
        <v>8</v>
      </c>
      <c r="R168" s="11"/>
      <c r="S168" s="12"/>
      <c r="U168" s="15"/>
      <c r="V168" s="9">
        <v>7</v>
      </c>
      <c r="W168" s="13">
        <v>0.1582072453652012</v>
      </c>
      <c r="X168" s="13">
        <v>0.15545062653971484</v>
      </c>
      <c r="Y168" s="13">
        <v>0.15246850687939051</v>
      </c>
      <c r="Z168" s="13">
        <v>0.15274996615326727</v>
      </c>
      <c r="AA168" s="13">
        <v>0.14298658761876706</v>
      </c>
      <c r="AB168" s="13">
        <v>0.148180350338671</v>
      </c>
      <c r="AC168" s="13">
        <v>0.14006328979838198</v>
      </c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</row>
    <row r="169" spans="3:40" x14ac:dyDescent="0.35">
      <c r="G169" s="90"/>
      <c r="H169" s="1">
        <v>10</v>
      </c>
      <c r="I169" s="4">
        <v>2.8846308329359047E-3</v>
      </c>
      <c r="L169" s="10">
        <f t="shared" si="9"/>
        <v>9</v>
      </c>
      <c r="M169" s="11">
        <v>5</v>
      </c>
      <c r="N169" s="12">
        <v>1.6590447672740104E-2</v>
      </c>
      <c r="Q169" s="10">
        <f t="shared" si="10"/>
        <v>9</v>
      </c>
      <c r="R169" s="11"/>
      <c r="S169" s="12"/>
      <c r="U169" s="15"/>
      <c r="V169" s="9">
        <v>10</v>
      </c>
      <c r="W169" s="13">
        <v>0.15687723151672589</v>
      </c>
      <c r="X169" s="13">
        <v>0.15944147169923567</v>
      </c>
      <c r="Y169" s="13">
        <v>0.15554396777611321</v>
      </c>
      <c r="Z169" s="13">
        <v>0.15247786647944234</v>
      </c>
      <c r="AA169" s="13">
        <v>0.14736823351441977</v>
      </c>
      <c r="AB169" s="13">
        <v>0.14169063501094475</v>
      </c>
      <c r="AC169" s="13">
        <v>0.13821544950783426</v>
      </c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</row>
    <row r="170" spans="3:40" x14ac:dyDescent="0.35">
      <c r="G170" s="90"/>
      <c r="H170" s="1"/>
      <c r="I170" s="4"/>
      <c r="L170" s="10">
        <f t="shared" si="9"/>
        <v>10</v>
      </c>
      <c r="M170" s="11">
        <v>6</v>
      </c>
      <c r="N170" s="12">
        <v>1.6691768173297903E-2</v>
      </c>
      <c r="Q170" s="10">
        <f t="shared" si="10"/>
        <v>10</v>
      </c>
      <c r="R170" s="11"/>
      <c r="S170" s="12"/>
      <c r="U170" s="15"/>
      <c r="V170" s="9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</row>
    <row r="171" spans="3:40" x14ac:dyDescent="0.35">
      <c r="G171" s="90"/>
      <c r="H171" s="1"/>
      <c r="I171" s="4"/>
      <c r="L171" s="10">
        <f t="shared" si="9"/>
        <v>11</v>
      </c>
      <c r="M171" s="11">
        <v>7</v>
      </c>
      <c r="N171" s="12">
        <v>1.7631946842794257E-2</v>
      </c>
      <c r="Q171" s="10">
        <f t="shared" si="10"/>
        <v>11</v>
      </c>
      <c r="R171" s="11"/>
      <c r="S171" s="12"/>
      <c r="U171" s="16"/>
      <c r="V171" s="9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</row>
    <row r="172" spans="3:40" x14ac:dyDescent="0.35">
      <c r="G172" s="90"/>
      <c r="H172" s="1"/>
      <c r="I172" s="4"/>
      <c r="L172" s="10">
        <f t="shared" si="9"/>
        <v>12</v>
      </c>
      <c r="M172" s="11">
        <v>8</v>
      </c>
      <c r="N172" s="12">
        <v>1.8396889713374068E-2</v>
      </c>
      <c r="Q172" s="10">
        <f t="shared" si="10"/>
        <v>12</v>
      </c>
      <c r="R172" s="11"/>
      <c r="S172" s="12"/>
      <c r="U172" s="17"/>
      <c r="V172" s="9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</row>
    <row r="173" spans="3:40" x14ac:dyDescent="0.35">
      <c r="G173" s="90"/>
      <c r="H173" s="1"/>
      <c r="I173" s="4"/>
      <c r="L173" s="10">
        <f t="shared" si="9"/>
        <v>13</v>
      </c>
      <c r="M173" s="11">
        <v>9</v>
      </c>
      <c r="N173" s="12">
        <v>1.8841970262082976E-2</v>
      </c>
      <c r="Q173" s="10">
        <f t="shared" si="10"/>
        <v>13</v>
      </c>
      <c r="R173" s="11"/>
      <c r="S173" s="12"/>
      <c r="V173" s="9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</row>
    <row r="174" spans="3:40" x14ac:dyDescent="0.35">
      <c r="G174" s="90"/>
      <c r="H174" s="1"/>
      <c r="I174" s="4"/>
      <c r="L174" s="10">
        <f t="shared" si="9"/>
        <v>14</v>
      </c>
      <c r="M174" s="11">
        <v>10</v>
      </c>
      <c r="N174" s="12">
        <v>1.9635269154900388E-2</v>
      </c>
      <c r="Q174" s="10">
        <f t="shared" si="10"/>
        <v>14</v>
      </c>
      <c r="R174" s="11"/>
      <c r="S174" s="12"/>
      <c r="V174" s="9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</row>
    <row r="175" spans="3:40" x14ac:dyDescent="0.35">
      <c r="G175" s="90"/>
      <c r="H175" s="1"/>
      <c r="I175" s="4"/>
      <c r="L175" s="10">
        <f t="shared" si="9"/>
        <v>15</v>
      </c>
      <c r="M175" s="11">
        <v>12</v>
      </c>
      <c r="N175" s="12">
        <v>1.9609676088898114E-2</v>
      </c>
      <c r="Q175" s="10">
        <f t="shared" si="10"/>
        <v>15</v>
      </c>
      <c r="R175" s="11"/>
      <c r="S175" s="12"/>
      <c r="V175" s="9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</row>
    <row r="176" spans="3:40" x14ac:dyDescent="0.35">
      <c r="G176" s="90"/>
      <c r="H176" s="1"/>
      <c r="I176" s="4"/>
      <c r="L176" s="10">
        <f t="shared" si="9"/>
        <v>16</v>
      </c>
      <c r="M176" s="11">
        <v>15</v>
      </c>
      <c r="N176" s="12">
        <v>2.0188153773473286E-2</v>
      </c>
      <c r="Q176" s="10">
        <f t="shared" si="10"/>
        <v>16</v>
      </c>
      <c r="R176" s="11"/>
      <c r="S176" s="12"/>
      <c r="V176" s="9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</row>
    <row r="177" spans="7:40" x14ac:dyDescent="0.35">
      <c r="G177" s="90"/>
      <c r="H177" s="1"/>
      <c r="I177" s="4"/>
      <c r="L177" s="10">
        <f t="shared" si="9"/>
        <v>17</v>
      </c>
      <c r="M177" s="11">
        <v>20</v>
      </c>
      <c r="N177" s="12">
        <v>2.1266724635835076E-2</v>
      </c>
      <c r="Q177" s="10">
        <f t="shared" si="10"/>
        <v>17</v>
      </c>
      <c r="R177" s="11"/>
      <c r="S177" s="12"/>
      <c r="V177" s="9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</row>
    <row r="178" spans="7:40" x14ac:dyDescent="0.35">
      <c r="G178" s="90"/>
      <c r="H178" s="1"/>
      <c r="I178" s="4"/>
      <c r="L178" s="10">
        <f t="shared" si="9"/>
        <v>18</v>
      </c>
      <c r="M178" s="11"/>
      <c r="N178" s="12"/>
      <c r="Q178" s="10">
        <f t="shared" si="10"/>
        <v>18</v>
      </c>
      <c r="R178" s="11"/>
      <c r="S178" s="12"/>
      <c r="V178" s="9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</row>
    <row r="179" spans="7:40" x14ac:dyDescent="0.35">
      <c r="G179" s="90"/>
      <c r="H179" s="1"/>
      <c r="I179" s="4"/>
      <c r="L179" s="10">
        <f t="shared" si="9"/>
        <v>19</v>
      </c>
      <c r="M179" s="18"/>
      <c r="N179" s="19"/>
      <c r="Q179" s="10">
        <f t="shared" si="10"/>
        <v>19</v>
      </c>
      <c r="R179" s="20"/>
      <c r="S179" s="19"/>
      <c r="V179" s="9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</row>
    <row r="180" spans="7:40" x14ac:dyDescent="0.35">
      <c r="G180" s="90"/>
      <c r="H180" s="1"/>
      <c r="I180" s="4"/>
      <c r="L180" s="10">
        <f t="shared" si="9"/>
        <v>20</v>
      </c>
      <c r="M180" s="18"/>
      <c r="N180" s="19"/>
      <c r="Q180" s="10">
        <f t="shared" si="10"/>
        <v>20</v>
      </c>
      <c r="R180" s="20"/>
      <c r="S180" s="19"/>
      <c r="V180" s="9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</row>
    <row r="181" spans="7:40" x14ac:dyDescent="0.35">
      <c r="G181" s="90"/>
      <c r="H181" s="1"/>
      <c r="I181" s="4"/>
      <c r="L181" s="10">
        <f t="shared" si="9"/>
        <v>21</v>
      </c>
      <c r="M181" s="18"/>
      <c r="N181" s="19"/>
      <c r="Q181" s="10">
        <f t="shared" si="10"/>
        <v>21</v>
      </c>
      <c r="R181" s="20"/>
      <c r="S181" s="19"/>
      <c r="V181" s="9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</row>
    <row r="182" spans="7:40" x14ac:dyDescent="0.35">
      <c r="G182" s="90"/>
      <c r="H182" s="1"/>
      <c r="I182" s="4"/>
      <c r="L182" s="10">
        <f t="shared" si="9"/>
        <v>22</v>
      </c>
      <c r="M182" s="18"/>
      <c r="N182" s="19"/>
      <c r="Q182" s="10">
        <f t="shared" si="10"/>
        <v>22</v>
      </c>
      <c r="R182" s="20"/>
      <c r="S182" s="19"/>
      <c r="V182" s="9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</row>
    <row r="183" spans="7:40" x14ac:dyDescent="0.35">
      <c r="G183" s="90"/>
      <c r="H183" s="1"/>
      <c r="I183" s="4"/>
      <c r="L183" s="10">
        <f t="shared" si="9"/>
        <v>23</v>
      </c>
      <c r="M183" s="18"/>
      <c r="N183" s="19"/>
      <c r="Q183" s="10">
        <f t="shared" si="10"/>
        <v>23</v>
      </c>
      <c r="R183" s="20"/>
      <c r="S183" s="19"/>
      <c r="V183" s="9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</row>
    <row r="184" spans="7:40" x14ac:dyDescent="0.35">
      <c r="G184" s="90"/>
      <c r="H184" s="1"/>
      <c r="I184" s="4"/>
      <c r="L184" s="10">
        <f t="shared" si="9"/>
        <v>24</v>
      </c>
      <c r="M184" s="18"/>
      <c r="N184" s="19"/>
      <c r="Q184" s="10">
        <f t="shared" si="10"/>
        <v>24</v>
      </c>
      <c r="R184" s="20"/>
      <c r="S184" s="19"/>
      <c r="V184" s="9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</row>
    <row r="185" spans="7:40" x14ac:dyDescent="0.35">
      <c r="G185" s="90"/>
      <c r="H185" s="1"/>
      <c r="I185" s="4"/>
      <c r="L185" s="10">
        <f t="shared" si="9"/>
        <v>25</v>
      </c>
      <c r="M185" s="18"/>
      <c r="N185" s="19"/>
      <c r="Q185" s="10">
        <f t="shared" si="10"/>
        <v>25</v>
      </c>
      <c r="R185" s="20"/>
      <c r="S185" s="19"/>
      <c r="V185" s="9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</row>
    <row r="186" spans="7:40" x14ac:dyDescent="0.35">
      <c r="G186" s="90"/>
      <c r="H186" s="1"/>
      <c r="I186" s="4"/>
      <c r="L186" s="10">
        <f t="shared" si="9"/>
        <v>26</v>
      </c>
      <c r="M186" s="18"/>
      <c r="N186" s="19"/>
      <c r="Q186" s="10">
        <f t="shared" si="10"/>
        <v>26</v>
      </c>
      <c r="R186" s="20"/>
      <c r="S186" s="19"/>
      <c r="V186" s="9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</row>
    <row r="187" spans="7:40" x14ac:dyDescent="0.35">
      <c r="G187" s="90"/>
      <c r="H187" s="1"/>
      <c r="I187" s="4"/>
      <c r="L187" s="10">
        <f t="shared" si="9"/>
        <v>27</v>
      </c>
      <c r="M187" s="18"/>
      <c r="N187" s="19"/>
      <c r="Q187" s="10">
        <f t="shared" si="10"/>
        <v>27</v>
      </c>
      <c r="R187" s="20"/>
      <c r="S187" s="19"/>
      <c r="V187" s="9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</row>
    <row r="188" spans="7:40" x14ac:dyDescent="0.35">
      <c r="G188" s="90"/>
      <c r="H188" s="1"/>
      <c r="I188" s="4"/>
      <c r="L188" s="10">
        <f t="shared" si="9"/>
        <v>28</v>
      </c>
      <c r="M188" s="18"/>
      <c r="N188" s="19"/>
      <c r="Q188" s="10">
        <f t="shared" si="10"/>
        <v>28</v>
      </c>
      <c r="R188" s="20"/>
      <c r="S188" s="19"/>
      <c r="V188" s="9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</row>
    <row r="189" spans="7:40" x14ac:dyDescent="0.35">
      <c r="G189" s="90"/>
      <c r="H189" s="1"/>
      <c r="I189" s="4"/>
      <c r="L189" s="10">
        <f t="shared" si="9"/>
        <v>29</v>
      </c>
      <c r="M189" s="18"/>
      <c r="N189" s="19"/>
      <c r="Q189" s="10">
        <f t="shared" si="10"/>
        <v>29</v>
      </c>
      <c r="R189" s="20"/>
      <c r="S189" s="19"/>
      <c r="V189" s="9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</row>
    <row r="190" spans="7:40" x14ac:dyDescent="0.35">
      <c r="G190" s="90"/>
      <c r="H190" s="1"/>
      <c r="I190" s="4"/>
      <c r="L190" s="10">
        <f t="shared" si="9"/>
        <v>30</v>
      </c>
      <c r="M190" s="18"/>
      <c r="N190" s="19"/>
      <c r="Q190" s="10">
        <f t="shared" si="10"/>
        <v>30</v>
      </c>
      <c r="R190" s="20"/>
      <c r="S190" s="19"/>
      <c r="V190" s="9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</row>
    <row r="191" spans="7:40" x14ac:dyDescent="0.35">
      <c r="G191" s="83"/>
      <c r="H191" s="199"/>
      <c r="I191" s="200"/>
      <c r="L191" s="201"/>
      <c r="M191" s="202"/>
      <c r="N191" s="203"/>
      <c r="Q191" s="201"/>
      <c r="R191" s="204"/>
      <c r="S191" s="203"/>
      <c r="V191" s="205"/>
      <c r="W191" s="206"/>
      <c r="X191" s="206"/>
      <c r="Y191" s="206"/>
      <c r="Z191" s="206"/>
      <c r="AA191" s="206"/>
      <c r="AB191" s="206"/>
      <c r="AC191" s="206"/>
      <c r="AD191" s="206"/>
      <c r="AE191" s="206"/>
      <c r="AF191" s="206"/>
      <c r="AG191" s="206"/>
      <c r="AH191" s="206"/>
      <c r="AI191" s="206"/>
      <c r="AJ191" s="206"/>
      <c r="AK191" s="206"/>
      <c r="AL191" s="206"/>
      <c r="AM191" s="206"/>
      <c r="AN191" s="206"/>
    </row>
    <row r="192" spans="7:40" x14ac:dyDescent="0.35">
      <c r="G192" s="83"/>
      <c r="H192" s="199"/>
      <c r="I192" s="200"/>
      <c r="L192" s="201"/>
      <c r="M192" s="202"/>
      <c r="N192" s="203"/>
      <c r="Q192" s="201"/>
      <c r="R192" s="204"/>
      <c r="S192" s="203"/>
      <c r="V192" s="205"/>
      <c r="W192" s="206"/>
      <c r="X192" s="206"/>
      <c r="Y192" s="206"/>
      <c r="Z192" s="206"/>
      <c r="AA192" s="206"/>
      <c r="AB192" s="206"/>
      <c r="AC192" s="206"/>
      <c r="AD192" s="206"/>
      <c r="AE192" s="206"/>
      <c r="AF192" s="206"/>
      <c r="AG192" s="206"/>
      <c r="AH192" s="206"/>
      <c r="AI192" s="206"/>
      <c r="AJ192" s="206"/>
      <c r="AK192" s="206"/>
      <c r="AL192" s="206"/>
      <c r="AM192" s="206"/>
      <c r="AN192" s="206"/>
    </row>
    <row r="193" spans="7:40" x14ac:dyDescent="0.35">
      <c r="G193" s="83"/>
      <c r="H193" s="199"/>
      <c r="I193" s="200"/>
      <c r="L193" s="201"/>
      <c r="M193" s="202"/>
      <c r="N193" s="203"/>
      <c r="Q193" s="201"/>
      <c r="R193" s="204"/>
      <c r="S193" s="203"/>
      <c r="V193" s="205"/>
      <c r="W193" s="206"/>
      <c r="X193" s="206"/>
      <c r="Y193" s="206"/>
      <c r="Z193" s="206"/>
      <c r="AA193" s="206"/>
      <c r="AB193" s="206"/>
      <c r="AC193" s="206"/>
      <c r="AD193" s="206"/>
      <c r="AE193" s="206"/>
      <c r="AF193" s="206"/>
      <c r="AG193" s="206"/>
      <c r="AH193" s="206"/>
      <c r="AI193" s="206"/>
      <c r="AJ193" s="206"/>
      <c r="AK193" s="206"/>
      <c r="AL193" s="206"/>
      <c r="AM193" s="206"/>
      <c r="AN193" s="206"/>
    </row>
    <row r="194" spans="7:40" x14ac:dyDescent="0.35">
      <c r="G194" s="83"/>
      <c r="H194" s="199"/>
      <c r="I194" s="200"/>
      <c r="L194" s="201"/>
      <c r="M194" s="202"/>
      <c r="N194" s="203"/>
      <c r="Q194" s="201"/>
      <c r="R194" s="204"/>
      <c r="S194" s="203"/>
      <c r="V194" s="205"/>
      <c r="W194" s="206"/>
      <c r="X194" s="206"/>
      <c r="Y194" s="206"/>
      <c r="Z194" s="206"/>
      <c r="AA194" s="206"/>
      <c r="AB194" s="206"/>
      <c r="AC194" s="206"/>
      <c r="AD194" s="206"/>
      <c r="AE194" s="206"/>
      <c r="AF194" s="206"/>
      <c r="AG194" s="206"/>
      <c r="AH194" s="206"/>
      <c r="AI194" s="206"/>
      <c r="AJ194" s="206"/>
      <c r="AK194" s="206"/>
      <c r="AL194" s="206"/>
      <c r="AM194" s="206"/>
      <c r="AN194" s="206"/>
    </row>
    <row r="195" spans="7:40" x14ac:dyDescent="0.35">
      <c r="G195" s="83"/>
      <c r="H195" s="199"/>
      <c r="I195" s="200"/>
      <c r="L195" s="201"/>
      <c r="M195" s="202"/>
      <c r="N195" s="203"/>
      <c r="Q195" s="201"/>
      <c r="R195" s="204"/>
      <c r="S195" s="203"/>
      <c r="V195" s="205"/>
      <c r="W195" s="206"/>
      <c r="X195" s="206"/>
      <c r="Y195" s="206"/>
      <c r="Z195" s="206"/>
      <c r="AA195" s="206"/>
      <c r="AB195" s="206"/>
      <c r="AC195" s="206"/>
      <c r="AD195" s="206"/>
      <c r="AE195" s="206"/>
      <c r="AF195" s="206"/>
      <c r="AG195" s="206"/>
      <c r="AH195" s="206"/>
      <c r="AI195" s="206"/>
      <c r="AJ195" s="206"/>
      <c r="AK195" s="206"/>
      <c r="AL195" s="206"/>
      <c r="AM195" s="206"/>
      <c r="AN195" s="206"/>
    </row>
    <row r="196" spans="7:40" x14ac:dyDescent="0.35">
      <c r="G196" s="83"/>
      <c r="H196" s="199"/>
      <c r="I196" s="200"/>
      <c r="L196" s="201"/>
      <c r="M196" s="202"/>
      <c r="N196" s="203"/>
      <c r="Q196" s="201"/>
      <c r="R196" s="204"/>
      <c r="S196" s="203"/>
      <c r="V196" s="205"/>
      <c r="W196" s="206"/>
      <c r="X196" s="206"/>
      <c r="Y196" s="206"/>
      <c r="Z196" s="206"/>
      <c r="AA196" s="206"/>
      <c r="AB196" s="206"/>
      <c r="AC196" s="206"/>
      <c r="AD196" s="206"/>
      <c r="AE196" s="206"/>
      <c r="AF196" s="206"/>
      <c r="AG196" s="206"/>
      <c r="AH196" s="206"/>
      <c r="AI196" s="206"/>
      <c r="AJ196" s="206"/>
      <c r="AK196" s="206"/>
      <c r="AL196" s="206"/>
      <c r="AM196" s="206"/>
      <c r="AN196" s="206"/>
    </row>
    <row r="197" spans="7:40" x14ac:dyDescent="0.35">
      <c r="G197" s="83"/>
      <c r="H197" s="199"/>
      <c r="I197" s="200"/>
      <c r="L197" s="201"/>
      <c r="M197" s="202"/>
      <c r="N197" s="203"/>
      <c r="Q197" s="201"/>
      <c r="R197" s="204"/>
      <c r="S197" s="203"/>
      <c r="V197" s="205"/>
      <c r="W197" s="206"/>
      <c r="X197" s="206"/>
      <c r="Y197" s="206"/>
      <c r="Z197" s="206"/>
      <c r="AA197" s="206"/>
      <c r="AB197" s="206"/>
      <c r="AC197" s="206"/>
      <c r="AD197" s="206"/>
      <c r="AE197" s="206"/>
      <c r="AF197" s="206"/>
      <c r="AG197" s="206"/>
      <c r="AH197" s="206"/>
      <c r="AI197" s="206"/>
      <c r="AJ197" s="206"/>
      <c r="AK197" s="206"/>
      <c r="AL197" s="206"/>
      <c r="AM197" s="206"/>
      <c r="AN197" s="206"/>
    </row>
    <row r="198" spans="7:40" x14ac:dyDescent="0.35">
      <c r="G198" s="83"/>
      <c r="H198" s="199"/>
      <c r="I198" s="200"/>
      <c r="L198" s="201"/>
      <c r="M198" s="202"/>
      <c r="N198" s="203"/>
      <c r="Q198" s="201"/>
      <c r="R198" s="204"/>
      <c r="S198" s="203"/>
      <c r="V198" s="205"/>
      <c r="W198" s="206"/>
      <c r="X198" s="206"/>
      <c r="Y198" s="206"/>
      <c r="Z198" s="206"/>
      <c r="AA198" s="206"/>
      <c r="AB198" s="206"/>
      <c r="AC198" s="206"/>
      <c r="AD198" s="206"/>
      <c r="AE198" s="206"/>
      <c r="AF198" s="206"/>
      <c r="AG198" s="206"/>
      <c r="AH198" s="206"/>
      <c r="AI198" s="206"/>
      <c r="AJ198" s="206"/>
      <c r="AK198" s="206"/>
      <c r="AL198" s="206"/>
      <c r="AM198" s="206"/>
      <c r="AN198" s="206"/>
    </row>
    <row r="199" spans="7:40" x14ac:dyDescent="0.35">
      <c r="G199" s="83"/>
      <c r="H199" s="199"/>
      <c r="I199" s="200"/>
      <c r="L199" s="201"/>
      <c r="M199" s="202"/>
      <c r="N199" s="203"/>
      <c r="Q199" s="201"/>
      <c r="R199" s="204"/>
      <c r="S199" s="203"/>
      <c r="V199" s="205"/>
      <c r="W199" s="206"/>
      <c r="X199" s="206"/>
      <c r="Y199" s="206"/>
      <c r="Z199" s="206"/>
      <c r="AA199" s="206"/>
      <c r="AB199" s="206"/>
      <c r="AC199" s="206"/>
      <c r="AD199" s="206"/>
      <c r="AE199" s="206"/>
      <c r="AF199" s="206"/>
      <c r="AG199" s="206"/>
      <c r="AH199" s="206"/>
      <c r="AI199" s="206"/>
      <c r="AJ199" s="206"/>
      <c r="AK199" s="206"/>
      <c r="AL199" s="206"/>
      <c r="AM199" s="206"/>
      <c r="AN199" s="206"/>
    </row>
    <row r="200" spans="7:40" x14ac:dyDescent="0.35">
      <c r="G200" s="83"/>
      <c r="H200" s="199"/>
      <c r="I200" s="200"/>
      <c r="L200" s="201"/>
      <c r="M200" s="202"/>
      <c r="N200" s="203"/>
      <c r="Q200" s="201"/>
      <c r="R200" s="204"/>
      <c r="S200" s="203"/>
      <c r="V200" s="205"/>
      <c r="W200" s="206"/>
      <c r="X200" s="206"/>
      <c r="Y200" s="206"/>
      <c r="Z200" s="206"/>
      <c r="AA200" s="206"/>
      <c r="AB200" s="206"/>
      <c r="AC200" s="206"/>
      <c r="AD200" s="206"/>
      <c r="AE200" s="206"/>
      <c r="AF200" s="206"/>
      <c r="AG200" s="206"/>
      <c r="AH200" s="206"/>
      <c r="AI200" s="206"/>
      <c r="AJ200" s="206"/>
      <c r="AK200" s="206"/>
      <c r="AL200" s="206"/>
      <c r="AM200" s="206"/>
      <c r="AN200" s="206"/>
    </row>
    <row r="201" spans="7:40" x14ac:dyDescent="0.35">
      <c r="G201" s="83"/>
      <c r="H201" s="199"/>
      <c r="I201" s="200"/>
      <c r="L201" s="201"/>
      <c r="M201" s="202"/>
      <c r="N201" s="203"/>
      <c r="Q201" s="201"/>
      <c r="R201" s="204"/>
      <c r="S201" s="203"/>
      <c r="V201" s="205"/>
      <c r="W201" s="206"/>
      <c r="X201" s="206"/>
      <c r="Y201" s="206"/>
      <c r="Z201" s="206"/>
      <c r="AA201" s="206"/>
      <c r="AB201" s="206"/>
      <c r="AC201" s="206"/>
      <c r="AD201" s="206"/>
      <c r="AE201" s="206"/>
      <c r="AF201" s="206"/>
      <c r="AG201" s="206"/>
      <c r="AH201" s="206"/>
      <c r="AI201" s="206"/>
      <c r="AJ201" s="206"/>
      <c r="AK201" s="206"/>
      <c r="AL201" s="206"/>
      <c r="AM201" s="206"/>
      <c r="AN201" s="206"/>
    </row>
    <row r="202" spans="7:40" x14ac:dyDescent="0.35">
      <c r="G202" s="83"/>
      <c r="H202" s="199"/>
      <c r="I202" s="200"/>
      <c r="L202" s="201"/>
      <c r="M202" s="202"/>
      <c r="N202" s="203"/>
      <c r="Q202" s="201"/>
      <c r="R202" s="204"/>
      <c r="S202" s="203"/>
      <c r="V202" s="205"/>
      <c r="W202" s="206"/>
      <c r="X202" s="206"/>
      <c r="Y202" s="206"/>
      <c r="Z202" s="206"/>
      <c r="AA202" s="206"/>
      <c r="AB202" s="206"/>
      <c r="AC202" s="206"/>
      <c r="AD202" s="206"/>
      <c r="AE202" s="206"/>
      <c r="AF202" s="206"/>
      <c r="AG202" s="206"/>
      <c r="AH202" s="206"/>
      <c r="AI202" s="206"/>
      <c r="AJ202" s="206"/>
      <c r="AK202" s="206"/>
      <c r="AL202" s="206"/>
      <c r="AM202" s="206"/>
      <c r="AN202" s="206"/>
    </row>
    <row r="203" spans="7:40" x14ac:dyDescent="0.35">
      <c r="G203" s="83"/>
      <c r="H203" s="199"/>
      <c r="I203" s="200"/>
      <c r="L203" s="201"/>
      <c r="M203" s="202"/>
      <c r="N203" s="203"/>
      <c r="Q203" s="201"/>
      <c r="R203" s="204"/>
      <c r="S203" s="203"/>
      <c r="V203" s="205"/>
      <c r="W203" s="206"/>
      <c r="X203" s="206"/>
      <c r="Y203" s="206"/>
      <c r="Z203" s="206"/>
      <c r="AA203" s="206"/>
      <c r="AB203" s="206"/>
      <c r="AC203" s="206"/>
      <c r="AD203" s="206"/>
      <c r="AE203" s="206"/>
      <c r="AF203" s="206"/>
      <c r="AG203" s="206"/>
      <c r="AH203" s="206"/>
      <c r="AI203" s="206"/>
      <c r="AJ203" s="206"/>
      <c r="AK203" s="206"/>
      <c r="AL203" s="206"/>
      <c r="AM203" s="206"/>
      <c r="AN203" s="206"/>
    </row>
  </sheetData>
  <mergeCells count="75">
    <mergeCell ref="D117:E117"/>
    <mergeCell ref="D118:E118"/>
    <mergeCell ref="D167:E167"/>
    <mergeCell ref="D168:E168"/>
    <mergeCell ref="D17:E17"/>
    <mergeCell ref="D18:E18"/>
    <mergeCell ref="D67:E67"/>
    <mergeCell ref="D68:E68"/>
    <mergeCell ref="D63:E65"/>
    <mergeCell ref="D113:E115"/>
    <mergeCell ref="D163:E165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G55:G90"/>
    <mergeCell ref="H55:X55"/>
    <mergeCell ref="H56:I57"/>
    <mergeCell ref="L56:N57"/>
    <mergeCell ref="Q56:S57"/>
    <mergeCell ref="V56:X57"/>
    <mergeCell ref="V106:X107"/>
    <mergeCell ref="V108:W108"/>
    <mergeCell ref="Q6:S7"/>
    <mergeCell ref="V6:X7"/>
    <mergeCell ref="V8:W8"/>
    <mergeCell ref="V58:W58"/>
    <mergeCell ref="Q59:R59"/>
    <mergeCell ref="V59:V60"/>
    <mergeCell ref="V159:V160"/>
    <mergeCell ref="Q109:R109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B56:C56"/>
    <mergeCell ref="D56:E56"/>
    <mergeCell ref="B57:C57"/>
    <mergeCell ref="D57:E57"/>
    <mergeCell ref="B58:C58"/>
    <mergeCell ref="D58:E58"/>
    <mergeCell ref="B156:C156"/>
    <mergeCell ref="D156:E156"/>
    <mergeCell ref="B157:C157"/>
    <mergeCell ref="D157:E157"/>
    <mergeCell ref="B158:C158"/>
    <mergeCell ref="D158:E158"/>
    <mergeCell ref="B106:C106"/>
    <mergeCell ref="D106:E106"/>
    <mergeCell ref="B107:C107"/>
    <mergeCell ref="D107:E107"/>
    <mergeCell ref="B108:C108"/>
    <mergeCell ref="D108:E10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G29" sqref="G29:H30"/>
    </sheetView>
  </sheetViews>
  <sheetFormatPr defaultColWidth="11.3984375" defaultRowHeight="16.2" customHeight="1" x14ac:dyDescent="0.4"/>
  <cols>
    <col min="1" max="1" width="11.3984375" style="42"/>
    <col min="2" max="2" width="11.3984375" style="50"/>
    <col min="3" max="3" width="11.3984375" style="67"/>
    <col min="4" max="9" width="11.3984375" style="47"/>
    <col min="10" max="11" width="11.3984375" style="71"/>
    <col min="12" max="12" width="11.3984375" style="70"/>
    <col min="13" max="13" width="11.3984375" style="43"/>
    <col min="14" max="21" width="11.3984375" style="51"/>
    <col min="22" max="26" width="11.3984375" style="43"/>
    <col min="27" max="28" width="0" style="43" hidden="1" customWidth="1"/>
    <col min="29" max="41" width="11.3984375" style="43"/>
    <col min="42" max="43" width="11.3984375" style="51"/>
    <col min="44" max="46" width="11.3984375" style="52"/>
    <col min="47" max="48" width="11.3984375" style="53"/>
    <col min="49" max="49" width="11.3984375" style="47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68" t="s">
        <v>29</v>
      </c>
      <c r="C3" s="168"/>
      <c r="D3" s="171">
        <v>44846</v>
      </c>
      <c r="E3" s="166"/>
      <c r="F3" s="163" t="s">
        <v>31</v>
      </c>
      <c r="G3" s="163"/>
      <c r="H3" s="166">
        <v>0</v>
      </c>
      <c r="I3" s="166"/>
      <c r="J3" s="163" t="s">
        <v>67</v>
      </c>
      <c r="K3" s="163"/>
      <c r="L3" s="166">
        <v>10000000000</v>
      </c>
      <c r="M3" s="166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67" t="s">
        <v>46</v>
      </c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D5" s="167" t="s">
        <v>47</v>
      </c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</row>
    <row r="6" spans="1:57" ht="16.2" customHeight="1" x14ac:dyDescent="0.4">
      <c r="A6" s="42">
        <f t="shared" si="1"/>
        <v>6</v>
      </c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</row>
    <row r="7" spans="1:57" ht="16.2" customHeight="1" x14ac:dyDescent="0.4">
      <c r="A7" s="42">
        <f t="shared" si="1"/>
        <v>7</v>
      </c>
      <c r="B7" s="168" t="str">
        <f>IF(D7&gt;0,"레퍼런스금리 개수","기초금리는 1개 - 3개 입력가능")</f>
        <v>레퍼런스금리 개수</v>
      </c>
      <c r="C7" s="168"/>
      <c r="D7" s="165">
        <v>1</v>
      </c>
      <c r="E7" s="165"/>
      <c r="F7" s="169" t="s">
        <v>32</v>
      </c>
      <c r="G7" s="170"/>
      <c r="H7" s="166">
        <v>1</v>
      </c>
      <c r="I7" s="166"/>
      <c r="J7" s="163" t="s">
        <v>92</v>
      </c>
      <c r="K7" s="163"/>
      <c r="L7" s="166">
        <v>0</v>
      </c>
      <c r="M7" s="166"/>
      <c r="N7" s="43"/>
      <c r="O7" s="43"/>
      <c r="P7" s="43"/>
      <c r="Q7" s="43"/>
      <c r="R7" s="43"/>
      <c r="S7" s="43"/>
      <c r="T7" s="43"/>
      <c r="U7" s="43"/>
      <c r="AD7" s="168" t="str">
        <f>IF(AF7&gt;0,"레퍼런스금리 개수","기초금리는 1개 - 3개 입력가능")</f>
        <v>레퍼런스금리 개수</v>
      </c>
      <c r="AE7" s="168"/>
      <c r="AF7" s="165">
        <v>1</v>
      </c>
      <c r="AG7" s="165"/>
      <c r="AH7" s="169" t="s">
        <v>32</v>
      </c>
      <c r="AI7" s="170"/>
      <c r="AJ7" s="166">
        <v>0</v>
      </c>
      <c r="AK7" s="166"/>
      <c r="AL7" s="163" t="s">
        <v>92</v>
      </c>
      <c r="AM7" s="163"/>
      <c r="AN7" s="166">
        <v>0</v>
      </c>
      <c r="AO7" s="166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63" t="s">
        <v>50</v>
      </c>
      <c r="C8" s="163"/>
      <c r="D8" s="164">
        <v>1</v>
      </c>
      <c r="E8" s="165"/>
      <c r="F8" s="163" t="s">
        <v>51</v>
      </c>
      <c r="G8" s="163"/>
      <c r="H8" s="164">
        <v>1</v>
      </c>
      <c r="I8" s="165"/>
      <c r="J8" s="163" t="s">
        <v>42</v>
      </c>
      <c r="K8" s="163"/>
      <c r="L8" s="166">
        <v>0</v>
      </c>
      <c r="M8" s="166"/>
      <c r="N8" s="43"/>
      <c r="O8" s="43"/>
      <c r="P8" s="43"/>
      <c r="Q8" s="43"/>
      <c r="R8" s="43"/>
      <c r="S8" s="43"/>
      <c r="T8" s="43"/>
      <c r="U8" s="43"/>
      <c r="AD8" s="163" t="s">
        <v>50</v>
      </c>
      <c r="AE8" s="163"/>
      <c r="AF8" s="164">
        <v>1</v>
      </c>
      <c r="AG8" s="165"/>
      <c r="AH8" s="163" t="s">
        <v>51</v>
      </c>
      <c r="AI8" s="163"/>
      <c r="AJ8" s="164">
        <v>1</v>
      </c>
      <c r="AK8" s="165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78" t="str">
        <f>IF(D7&gt;=1,"기초금리1", "")</f>
        <v>기초금리1</v>
      </c>
      <c r="C10" s="161" t="str">
        <f>IF($D$7&gt;=1,"커브번호", "")</f>
        <v>커브번호</v>
      </c>
      <c r="D10" s="161"/>
      <c r="E10" s="126">
        <v>1</v>
      </c>
      <c r="F10" s="126"/>
      <c r="G10" s="79"/>
      <c r="H10" s="44"/>
      <c r="I10" s="139" t="str">
        <f>IF(OR(E11 = 0, E11 = 2, E11 = 4), "RefType = "&amp;E11&amp;" 이므로 Ref Swap 금리정보 사용안함", "사용")</f>
        <v>RefType = 0 이므로 Ref Swap 금리정보 사용안함</v>
      </c>
      <c r="J10" s="140"/>
      <c r="K10" s="140"/>
      <c r="L10" s="141"/>
      <c r="N10" s="155" t="s">
        <v>34</v>
      </c>
      <c r="O10" s="155"/>
      <c r="P10" s="155"/>
      <c r="Q10" s="155"/>
      <c r="R10" s="42"/>
      <c r="S10" s="42"/>
      <c r="T10" s="42"/>
      <c r="U10" s="42"/>
      <c r="W10" s="155" t="s">
        <v>52</v>
      </c>
      <c r="X10" s="155"/>
      <c r="Y10" s="155"/>
      <c r="AD10" s="129" t="str">
        <f>IF($AF$7&gt;=1,"기초금리1", "")</f>
        <v>기초금리1</v>
      </c>
      <c r="AE10" s="125" t="str">
        <f>IF($AF$7&gt;=1,"커브번호", "")</f>
        <v>커브번호</v>
      </c>
      <c r="AF10" s="125"/>
      <c r="AG10" s="126">
        <v>2</v>
      </c>
      <c r="AH10" s="126"/>
      <c r="AI10" s="79"/>
      <c r="AJ10" s="44"/>
      <c r="AK10" s="123" t="str">
        <f>IF(OR(AG11 = 0, AG11 = 2, AG11 = 4), "RefType = "&amp;AG11&amp;" 이므로 Ref Swap 금리정보 사용안함", "사용")</f>
        <v>RefType = 0 이므로 Ref Swap 금리정보 사용안함</v>
      </c>
      <c r="AL10" s="123"/>
      <c r="AM10" s="123"/>
      <c r="AN10" s="124"/>
      <c r="AP10" s="155" t="s">
        <v>54</v>
      </c>
      <c r="AQ10" s="155"/>
      <c r="AR10" s="155"/>
      <c r="AS10" s="155"/>
      <c r="AT10" s="42"/>
      <c r="AU10" s="42"/>
      <c r="AV10" s="42"/>
      <c r="AW10" s="42"/>
      <c r="AY10" s="155" t="s">
        <v>53</v>
      </c>
      <c r="AZ10" s="155"/>
      <c r="BA10" s="155"/>
    </row>
    <row r="11" spans="1:57" ht="16.2" customHeight="1" x14ac:dyDescent="0.4">
      <c r="A11" s="42">
        <f t="shared" si="1"/>
        <v>11</v>
      </c>
      <c r="B11" s="158"/>
      <c r="C11" s="147" t="str">
        <f>IF($D$7&gt;=1,"Reference Rate Type", "")</f>
        <v>Reference Rate Type</v>
      </c>
      <c r="D11" s="148"/>
      <c r="E11" s="162">
        <v>0</v>
      </c>
      <c r="F11" s="175"/>
      <c r="G11" s="139" t="str">
        <f>IF(OR(E11 = 0, E11 = 2, E11 = 4), "", "Zero/Swap 레퍼런스금리정보")</f>
        <v/>
      </c>
      <c r="H11" s="140"/>
      <c r="I11" s="131" t="str">
        <f>IF(OR(E11 = 0, E11 = 2, E11 = 4), "", "연 지급횟수")</f>
        <v/>
      </c>
      <c r="J11" s="132"/>
      <c r="K11" s="118">
        <v>4</v>
      </c>
      <c r="L11" s="119"/>
      <c r="M11" s="42"/>
      <c r="N11" s="177" t="str">
        <f>IF(OR(E11 = 0, E11 = 2, E11 = 4), "ForwardStart", "ResetStart")</f>
        <v>ForwardStart</v>
      </c>
      <c r="O11" s="177" t="str">
        <f>IF(OR(E11 = 0, E11 = 2, E11 = 4), "ForwardEnd", "ResetEnd")</f>
        <v>ForwardEnd</v>
      </c>
      <c r="P11" s="120" t="s">
        <v>35</v>
      </c>
      <c r="Q11" s="120" t="s">
        <v>36</v>
      </c>
      <c r="R11" s="120" t="s">
        <v>37</v>
      </c>
      <c r="S11" s="120" t="s">
        <v>38</v>
      </c>
      <c r="T11" s="120" t="s">
        <v>91</v>
      </c>
      <c r="U11" s="120" t="s">
        <v>71</v>
      </c>
      <c r="W11" s="45" t="s">
        <v>43</v>
      </c>
      <c r="X11" s="143">
        <v>0</v>
      </c>
      <c r="Y11" s="143"/>
      <c r="AD11" s="130"/>
      <c r="AE11" s="114" t="str">
        <f>IF($AF$7&gt;=1,"Reference Rate Type", "")</f>
        <v>Reference Rate Type</v>
      </c>
      <c r="AF11" s="127"/>
      <c r="AG11" s="162">
        <v>0</v>
      </c>
      <c r="AH11" s="162"/>
      <c r="AI11" s="116" t="str">
        <f>IF(OR(AG11 = 0, AG11 = 2, AG11 = 4), "", "Zero/Swap 레퍼런스금리정보")</f>
        <v/>
      </c>
      <c r="AJ11" s="116"/>
      <c r="AK11" s="116" t="str">
        <f>IF(OR(AG11 = 0, AG11 = 2, AG11 = 4), "", "연 지급횟수")</f>
        <v/>
      </c>
      <c r="AL11" s="117"/>
      <c r="AM11" s="118">
        <v>4</v>
      </c>
      <c r="AN11" s="119"/>
      <c r="AO11" s="42"/>
      <c r="AP11" s="120" t="str">
        <f>IF(OR(AG11 = 0, AG11 = 2, AG11 = 4), "ForwardStart", "ResetEnd")</f>
        <v>ForwardStart</v>
      </c>
      <c r="AQ11" s="120" t="str">
        <f>IF(OR(AG11 = 0, AG11 = 2, AG11 = 4), "ForwardEnd", "ResetEnd")</f>
        <v>ForwardEnd</v>
      </c>
      <c r="AR11" s="120" t="s">
        <v>35</v>
      </c>
      <c r="AS11" s="120" t="s">
        <v>36</v>
      </c>
      <c r="AT11" s="120" t="s">
        <v>37</v>
      </c>
      <c r="AU11" s="120" t="s">
        <v>38</v>
      </c>
      <c r="AV11" s="120" t="s">
        <v>91</v>
      </c>
      <c r="AW11" s="120" t="s">
        <v>71</v>
      </c>
      <c r="AY11" s="45" t="s">
        <v>43</v>
      </c>
      <c r="AZ11" s="143">
        <v>0</v>
      </c>
      <c r="BA11" s="143"/>
    </row>
    <row r="12" spans="1:57" ht="16.2" customHeight="1" x14ac:dyDescent="0.4">
      <c r="A12" s="42">
        <f t="shared" si="1"/>
        <v>12</v>
      </c>
      <c r="B12" s="158"/>
      <c r="C12" s="147" t="str">
        <f>IF($D$7&gt;=1,"DayCount", "")</f>
        <v>DayCount</v>
      </c>
      <c r="D12" s="147"/>
      <c r="E12" s="105">
        <v>0</v>
      </c>
      <c r="F12" s="176"/>
      <c r="G12" s="172"/>
      <c r="H12" s="131"/>
      <c r="I12" s="131" t="str">
        <f>IF(OR(E11 = 0, E11 = 2, E11 = 4,E14=1), "", "만기")</f>
        <v/>
      </c>
      <c r="J12" s="132"/>
      <c r="K12" s="173">
        <v>5</v>
      </c>
      <c r="L12" s="174"/>
      <c r="N12" s="120"/>
      <c r="O12" s="120"/>
      <c r="P12" s="120"/>
      <c r="Q12" s="120"/>
      <c r="R12" s="120"/>
      <c r="S12" s="120"/>
      <c r="T12" s="120"/>
      <c r="U12" s="120"/>
      <c r="W12" s="45" t="s">
        <v>44</v>
      </c>
      <c r="X12" s="143">
        <v>0</v>
      </c>
      <c r="Y12" s="143"/>
      <c r="AD12" s="130"/>
      <c r="AE12" s="114" t="str">
        <f>IF($AF$7&gt;=1,"DayCount", "")</f>
        <v>DayCount</v>
      </c>
      <c r="AF12" s="114"/>
      <c r="AG12" s="105">
        <v>0</v>
      </c>
      <c r="AH12" s="105"/>
      <c r="AI12" s="116"/>
      <c r="AJ12" s="116"/>
      <c r="AK12" s="131" t="str">
        <f>IF(OR(AG11 = 0, AG11 = 2, AG11 = 4,AG14=1), "", "만기")</f>
        <v/>
      </c>
      <c r="AL12" s="132"/>
      <c r="AM12" s="133">
        <v>0.25</v>
      </c>
      <c r="AN12" s="134"/>
      <c r="AP12" s="120"/>
      <c r="AQ12" s="120"/>
      <c r="AR12" s="120"/>
      <c r="AS12" s="120"/>
      <c r="AT12" s="120"/>
      <c r="AU12" s="120"/>
      <c r="AV12" s="120"/>
      <c r="AW12" s="120"/>
      <c r="AY12" s="45" t="s">
        <v>44</v>
      </c>
      <c r="AZ12" s="143">
        <v>0</v>
      </c>
      <c r="BA12" s="143"/>
    </row>
    <row r="13" spans="1:57" ht="16.2" customHeight="1" x14ac:dyDescent="0.4">
      <c r="A13" s="42">
        <f t="shared" si="1"/>
        <v>13</v>
      </c>
      <c r="B13" s="158"/>
      <c r="C13" s="147" t="str">
        <f>IF($D$7&gt;=1,"금리결정조건Multiple", "")</f>
        <v>금리결정조건Multiple</v>
      </c>
      <c r="D13" s="148"/>
      <c r="E13" s="104">
        <v>1</v>
      </c>
      <c r="F13" s="160"/>
      <c r="G13" s="100" t="str">
        <f>IF(OR(E11 = 0, E11 = 2, E11 = 4), "", "ex) Zero Rate 5년 -&gt; 연 지급횟수= 0, 만기= 5 // CD91일 -&gt; 연 지급횟수= 4, 만기= 0.25")</f>
        <v/>
      </c>
      <c r="H13" s="100"/>
      <c r="I13" s="100"/>
      <c r="J13" s="100"/>
      <c r="K13" s="100"/>
      <c r="L13" s="101"/>
      <c r="M13" s="42"/>
      <c r="N13" s="46">
        <v>43109</v>
      </c>
      <c r="O13" s="46">
        <f t="shared" ref="O13:O24" si="2">EDATE(N13,3)</f>
        <v>43199</v>
      </c>
      <c r="P13" s="46">
        <f>N13</f>
        <v>43109</v>
      </c>
      <c r="Q13" s="46">
        <f>O13</f>
        <v>43199</v>
      </c>
      <c r="R13" s="46">
        <f>Q13+3</f>
        <v>43202</v>
      </c>
      <c r="S13" s="47">
        <v>0</v>
      </c>
      <c r="T13" s="47">
        <v>0</v>
      </c>
      <c r="U13" s="47"/>
      <c r="W13" s="45" t="s">
        <v>45</v>
      </c>
      <c r="X13" s="143">
        <v>0</v>
      </c>
      <c r="Y13" s="143"/>
      <c r="AD13" s="130"/>
      <c r="AE13" s="114" t="str">
        <f>IF($AF$7&gt;=1,"금리결정조건Multiple", "")</f>
        <v>금리결정조건Multiple</v>
      </c>
      <c r="AF13" s="127"/>
      <c r="AG13" s="104">
        <v>1</v>
      </c>
      <c r="AH13" s="104"/>
      <c r="AI13" s="100" t="str">
        <f>IF(OR(AG11 = 0, AG11 = 2, AG11 = 4), "", "ex) Zero Rate 5년 -&gt; 연 지급횟수= 0, 만기= 5 // CD91일 -&gt; 연 지급횟수= 4, 만기= 0.25")</f>
        <v/>
      </c>
      <c r="AJ13" s="100"/>
      <c r="AK13" s="100"/>
      <c r="AL13" s="100"/>
      <c r="AM13" s="100"/>
      <c r="AN13" s="101"/>
      <c r="AO13" s="42"/>
      <c r="AP13" s="46">
        <v>43109</v>
      </c>
      <c r="AQ13" s="46">
        <v>43199</v>
      </c>
      <c r="AR13" s="46">
        <v>43109</v>
      </c>
      <c r="AS13" s="46">
        <v>43199</v>
      </c>
      <c r="AT13" s="46">
        <f>AS13+3</f>
        <v>43202</v>
      </c>
      <c r="AU13" s="47">
        <v>0</v>
      </c>
      <c r="AV13" s="47">
        <v>0</v>
      </c>
      <c r="AW13" s="47">
        <v>8.0000000000000002E-3</v>
      </c>
      <c r="AY13" s="45" t="s">
        <v>45</v>
      </c>
      <c r="AZ13" s="143">
        <v>0</v>
      </c>
      <c r="BA13" s="143"/>
    </row>
    <row r="14" spans="1:57" ht="16.2" customHeight="1" x14ac:dyDescent="0.4">
      <c r="A14" s="42">
        <f t="shared" si="1"/>
        <v>14</v>
      </c>
      <c r="B14" s="158"/>
      <c r="C14" s="146" t="str">
        <f>IF($D$7&gt;=1,"Power Spread Flag", "")</f>
        <v>Power Spread Flag</v>
      </c>
      <c r="D14" s="146"/>
      <c r="E14" s="105">
        <v>0</v>
      </c>
      <c r="F14" s="176"/>
      <c r="G14" s="153" t="str">
        <f>IF(E14&gt;0,"PowerSpreadFlag 1일때 입력","입력필요X")</f>
        <v>입력필요X</v>
      </c>
      <c r="H14" s="153"/>
      <c r="I14" s="153" t="str">
        <f>IF(E14&gt;0,"만기1","")</f>
        <v/>
      </c>
      <c r="J14" s="153"/>
      <c r="K14" s="107">
        <v>10</v>
      </c>
      <c r="L14" s="108"/>
      <c r="M14" s="42"/>
      <c r="N14" s="46">
        <f>EDATE(N13,3)</f>
        <v>43199</v>
      </c>
      <c r="O14" s="46">
        <f t="shared" si="2"/>
        <v>43290</v>
      </c>
      <c r="P14" s="46">
        <f>N14</f>
        <v>43199</v>
      </c>
      <c r="Q14" s="46">
        <f>O14</f>
        <v>43290</v>
      </c>
      <c r="R14" s="46">
        <f t="shared" ref="R14:R52" si="3">Q14+3</f>
        <v>43293</v>
      </c>
      <c r="S14" s="47">
        <v>0</v>
      </c>
      <c r="T14" s="47">
        <v>0</v>
      </c>
      <c r="U14" s="47"/>
      <c r="W14" s="48" t="s">
        <v>39</v>
      </c>
      <c r="X14" s="48" t="s">
        <v>40</v>
      </c>
      <c r="Y14" s="48" t="s">
        <v>41</v>
      </c>
      <c r="AD14" s="130"/>
      <c r="AE14" s="113" t="str">
        <f>IF($AF$7&gt;=1,"Power Spread Flag", "")</f>
        <v>Power Spread Flag</v>
      </c>
      <c r="AF14" s="113"/>
      <c r="AG14" s="105">
        <v>0</v>
      </c>
      <c r="AH14" s="105"/>
      <c r="AI14" s="106" t="str">
        <f>IF(AG14&gt;0,"PowerSpreadFlag 1일때 입력","입력필요X")</f>
        <v>입력필요X</v>
      </c>
      <c r="AJ14" s="106"/>
      <c r="AK14" s="106" t="str">
        <f>IF(AG14&gt;0,"만기1","")</f>
        <v/>
      </c>
      <c r="AL14" s="106"/>
      <c r="AM14" s="107">
        <v>10</v>
      </c>
      <c r="AN14" s="108"/>
      <c r="AP14" s="46">
        <v>43199</v>
      </c>
      <c r="AQ14" s="46">
        <v>43290</v>
      </c>
      <c r="AR14" s="46">
        <v>43199</v>
      </c>
      <c r="AS14" s="46">
        <v>43290</v>
      </c>
      <c r="AT14" s="46">
        <f t="shared" ref="AT14:AT52" si="4">AS14+3</f>
        <v>43293</v>
      </c>
      <c r="AU14" s="47">
        <v>0</v>
      </c>
      <c r="AV14" s="47">
        <v>0</v>
      </c>
      <c r="AW14" s="47">
        <v>8.0000000000000002E-3</v>
      </c>
      <c r="AY14" s="48" t="s">
        <v>39</v>
      </c>
      <c r="AZ14" s="48" t="s">
        <v>40</v>
      </c>
      <c r="BA14" s="48" t="s">
        <v>41</v>
      </c>
    </row>
    <row r="15" spans="1:57" ht="16.2" customHeight="1" x14ac:dyDescent="0.4">
      <c r="A15" s="42">
        <f t="shared" si="1"/>
        <v>15</v>
      </c>
      <c r="B15" s="158" t="str">
        <f>IF($D$7&gt;0, "사용", "커브개수"&amp;"="&amp;$D$7&amp;"이므로 사용안함")</f>
        <v>사용</v>
      </c>
      <c r="C15" s="146" t="str">
        <f>IF($D$7&gt;=1,"기초금리 Range상한", "")</f>
        <v>기초금리 Range상한</v>
      </c>
      <c r="D15" s="146"/>
      <c r="E15" s="135">
        <v>10</v>
      </c>
      <c r="F15" s="156"/>
      <c r="G15" s="153"/>
      <c r="H15" s="153"/>
      <c r="I15" s="153" t="str">
        <f>IF(E14&gt;0,"만기2","")</f>
        <v/>
      </c>
      <c r="J15" s="153"/>
      <c r="K15" s="107">
        <v>5</v>
      </c>
      <c r="L15" s="108"/>
      <c r="M15" s="42"/>
      <c r="N15" s="46">
        <f t="shared" ref="N15" si="5">EDATE(N14,3)</f>
        <v>43290</v>
      </c>
      <c r="O15" s="46">
        <f t="shared" si="2"/>
        <v>43382</v>
      </c>
      <c r="P15" s="46">
        <f t="shared" ref="P15:P16" si="6">N15</f>
        <v>43290</v>
      </c>
      <c r="Q15" s="46">
        <f t="shared" ref="Q15:Q16" si="7">O15</f>
        <v>43382</v>
      </c>
      <c r="R15" s="46">
        <f t="shared" si="3"/>
        <v>43385</v>
      </c>
      <c r="S15" s="47">
        <v>0</v>
      </c>
      <c r="T15" s="47">
        <v>0</v>
      </c>
      <c r="U15" s="47"/>
      <c r="W15" s="49">
        <v>41188</v>
      </c>
      <c r="X15" s="49">
        <v>41188</v>
      </c>
      <c r="Y15" s="49">
        <v>41188</v>
      </c>
      <c r="AD15" s="130" t="str">
        <f>IF($AF$7&gt;0, "사용", "커브개수"&amp;"="&amp;$AF$7&amp;"이므로 사용안함")</f>
        <v>사용</v>
      </c>
      <c r="AE15" s="113" t="str">
        <f>IF($AF$7&gt;=1,"기초금리 Range상한", "")</f>
        <v>기초금리 Range상한</v>
      </c>
      <c r="AF15" s="113"/>
      <c r="AG15" s="135">
        <v>10</v>
      </c>
      <c r="AH15" s="135"/>
      <c r="AI15" s="106"/>
      <c r="AJ15" s="106"/>
      <c r="AK15" s="106" t="str">
        <f>IF(AG14&gt;0,"만기2","")</f>
        <v/>
      </c>
      <c r="AL15" s="106"/>
      <c r="AM15" s="107">
        <v>5</v>
      </c>
      <c r="AN15" s="108"/>
      <c r="AP15" s="46">
        <v>43290</v>
      </c>
      <c r="AQ15" s="46">
        <v>43382</v>
      </c>
      <c r="AR15" s="46">
        <v>43290</v>
      </c>
      <c r="AS15" s="46">
        <v>43382</v>
      </c>
      <c r="AT15" s="46">
        <f t="shared" si="4"/>
        <v>43385</v>
      </c>
      <c r="AU15" s="47">
        <v>0</v>
      </c>
      <c r="AV15" s="47">
        <v>0</v>
      </c>
      <c r="AW15" s="47">
        <v>8.0000000000000002E-3</v>
      </c>
      <c r="AY15" s="49">
        <v>41188</v>
      </c>
      <c r="AZ15" s="49">
        <v>41188</v>
      </c>
      <c r="BA15" s="49">
        <v>41188</v>
      </c>
    </row>
    <row r="16" spans="1:57" ht="16.2" customHeight="1" x14ac:dyDescent="0.4">
      <c r="A16" s="42">
        <f t="shared" si="1"/>
        <v>16</v>
      </c>
      <c r="B16" s="158"/>
      <c r="C16" s="146" t="str">
        <f>IF($D$7&gt;=1,"기초금리 Range하한", "")</f>
        <v>기초금리 Range하한</v>
      </c>
      <c r="D16" s="147"/>
      <c r="E16" s="115">
        <v>-1</v>
      </c>
      <c r="F16" s="157"/>
      <c r="G16" s="159"/>
      <c r="H16" s="159"/>
      <c r="I16" s="154" t="str">
        <f>IF(E14&gt;0,"Spread1","")</f>
        <v/>
      </c>
      <c r="J16" s="154"/>
      <c r="K16" s="144" t="str">
        <f>IF(E14&gt;0, I14&amp;"-"&amp;I15, "")</f>
        <v/>
      </c>
      <c r="L16" s="145"/>
      <c r="M16" s="42"/>
      <c r="N16" s="46">
        <f>EDATE(N15,3)</f>
        <v>43382</v>
      </c>
      <c r="O16" s="46">
        <f t="shared" si="2"/>
        <v>43474</v>
      </c>
      <c r="P16" s="46">
        <f t="shared" si="6"/>
        <v>43382</v>
      </c>
      <c r="Q16" s="46">
        <f t="shared" si="7"/>
        <v>43474</v>
      </c>
      <c r="R16" s="46">
        <f t="shared" si="3"/>
        <v>43477</v>
      </c>
      <c r="S16" s="47">
        <v>0</v>
      </c>
      <c r="T16" s="47">
        <v>0</v>
      </c>
      <c r="U16" s="47"/>
      <c r="W16" s="49">
        <v>41189</v>
      </c>
      <c r="X16" s="49">
        <v>41189</v>
      </c>
      <c r="Y16" s="49">
        <v>41189</v>
      </c>
      <c r="AD16" s="130"/>
      <c r="AE16" s="113" t="str">
        <f>IF($AF$7&gt;=1,"기초금리 Range하한", "")</f>
        <v>기초금리 Range하한</v>
      </c>
      <c r="AF16" s="114"/>
      <c r="AG16" s="115">
        <v>-1</v>
      </c>
      <c r="AH16" s="115"/>
      <c r="AI16" s="112"/>
      <c r="AJ16" s="112"/>
      <c r="AK16" s="109" t="str">
        <f>IF(AG14&gt;0,"Spread1","")</f>
        <v/>
      </c>
      <c r="AL16" s="109"/>
      <c r="AM16" s="110" t="str">
        <f>IF(AG14&gt;0, AK14&amp;"-"&amp;AK15, "")</f>
        <v/>
      </c>
      <c r="AN16" s="111"/>
      <c r="AO16" s="42"/>
      <c r="AP16" s="46">
        <v>43382</v>
      </c>
      <c r="AQ16" s="46">
        <v>43474</v>
      </c>
      <c r="AR16" s="46">
        <v>43382</v>
      </c>
      <c r="AS16" s="46">
        <v>43474</v>
      </c>
      <c r="AT16" s="46">
        <f t="shared" si="4"/>
        <v>43477</v>
      </c>
      <c r="AU16" s="47">
        <v>0</v>
      </c>
      <c r="AV16" s="47">
        <v>0</v>
      </c>
      <c r="AW16" s="47">
        <v>8.0000000000000002E-3</v>
      </c>
      <c r="AY16" s="49">
        <v>41189</v>
      </c>
      <c r="AZ16" s="49">
        <v>41189</v>
      </c>
      <c r="BA16" s="49">
        <v>41189</v>
      </c>
    </row>
    <row r="17" spans="1:53" ht="16.2" customHeight="1" x14ac:dyDescent="0.4">
      <c r="A17" s="42">
        <f t="shared" si="1"/>
        <v>17</v>
      </c>
      <c r="B17" s="41"/>
      <c r="C17" s="136" t="str">
        <f>IF($D$7&gt;=1,"Payoff조건Multiple", "")</f>
        <v>Payoff조건Multiple</v>
      </c>
      <c r="D17" s="136"/>
      <c r="E17" s="121">
        <v>1</v>
      </c>
      <c r="F17" s="142"/>
      <c r="G17" s="102" t="str">
        <f>IF(E14&gt;0,"예시) 10년-5년 스왑: 연 지급횟수=4, 만기1=10, 만기2=5","")</f>
        <v/>
      </c>
      <c r="H17" s="102"/>
      <c r="I17" s="102"/>
      <c r="J17" s="102"/>
      <c r="K17" s="102"/>
      <c r="L17" s="103"/>
      <c r="M17" s="42"/>
      <c r="N17" s="46">
        <f>EDATE(N16,3)</f>
        <v>43474</v>
      </c>
      <c r="O17" s="46">
        <f t="shared" si="2"/>
        <v>43564</v>
      </c>
      <c r="P17" s="46">
        <f>N17</f>
        <v>43474</v>
      </c>
      <c r="Q17" s="46">
        <f>O17</f>
        <v>43564</v>
      </c>
      <c r="R17" s="46">
        <f t="shared" si="3"/>
        <v>43567</v>
      </c>
      <c r="S17" s="47">
        <v>0</v>
      </c>
      <c r="T17" s="47">
        <v>0</v>
      </c>
      <c r="U17" s="47"/>
      <c r="W17" s="49">
        <v>41195</v>
      </c>
      <c r="X17" s="49">
        <v>41195</v>
      </c>
      <c r="Y17" s="49">
        <v>41195</v>
      </c>
      <c r="AD17" s="40"/>
      <c r="AE17" s="122" t="str">
        <f>IF($AF$7&gt;=1,"Payoff조건Multiple", "")</f>
        <v>Payoff조건Multiple</v>
      </c>
      <c r="AF17" s="122"/>
      <c r="AG17" s="121">
        <v>1</v>
      </c>
      <c r="AH17" s="121"/>
      <c r="AI17" s="102" t="str">
        <f>IF(AG14&gt;0,"예시) 10년-5년 스왑: 연 지급횟수=4, 만기1=10, 만기2=5","")</f>
        <v/>
      </c>
      <c r="AJ17" s="102"/>
      <c r="AK17" s="102"/>
      <c r="AL17" s="102"/>
      <c r="AM17" s="102"/>
      <c r="AN17" s="103"/>
      <c r="AO17" s="42"/>
      <c r="AP17" s="46">
        <v>43474</v>
      </c>
      <c r="AQ17" s="46">
        <v>43564</v>
      </c>
      <c r="AR17" s="46">
        <v>43474</v>
      </c>
      <c r="AS17" s="46">
        <v>43564</v>
      </c>
      <c r="AT17" s="46">
        <f t="shared" si="4"/>
        <v>43567</v>
      </c>
      <c r="AU17" s="47">
        <v>0</v>
      </c>
      <c r="AV17" s="47">
        <v>0</v>
      </c>
      <c r="AW17" s="47">
        <v>8.0000000000000002E-3</v>
      </c>
      <c r="AY17" s="49">
        <v>41195</v>
      </c>
      <c r="AZ17" s="49">
        <v>41195</v>
      </c>
      <c r="BA17" s="49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6">
        <f t="shared" ref="N18:N52" si="8">EDATE(N17,3)</f>
        <v>43564</v>
      </c>
      <c r="O18" s="46">
        <f t="shared" si="2"/>
        <v>43655</v>
      </c>
      <c r="P18" s="46">
        <f t="shared" ref="P18:P24" si="9">N18</f>
        <v>43564</v>
      </c>
      <c r="Q18" s="46">
        <f t="shared" ref="Q18:Q24" si="10">O18</f>
        <v>43655</v>
      </c>
      <c r="R18" s="46">
        <f t="shared" si="3"/>
        <v>43658</v>
      </c>
      <c r="S18" s="47">
        <v>0</v>
      </c>
      <c r="T18" s="47">
        <v>0</v>
      </c>
      <c r="U18" s="47"/>
      <c r="W18" s="49">
        <v>41196</v>
      </c>
      <c r="X18" s="49">
        <v>41196</v>
      </c>
      <c r="Y18" s="49">
        <v>41196</v>
      </c>
      <c r="AP18" s="46">
        <v>43564</v>
      </c>
      <c r="AQ18" s="46">
        <v>43655</v>
      </c>
      <c r="AR18" s="46">
        <v>43564</v>
      </c>
      <c r="AS18" s="46">
        <v>43655</v>
      </c>
      <c r="AT18" s="46">
        <f t="shared" si="4"/>
        <v>43658</v>
      </c>
      <c r="AU18" s="47">
        <v>0</v>
      </c>
      <c r="AV18" s="47">
        <v>0</v>
      </c>
      <c r="AW18" s="47">
        <v>8.0000000000000002E-3</v>
      </c>
      <c r="AY18" s="49">
        <v>41196</v>
      </c>
      <c r="AZ18" s="49">
        <v>41196</v>
      </c>
      <c r="BA18" s="49">
        <v>41196</v>
      </c>
    </row>
    <row r="19" spans="1:53" ht="16.2" customHeight="1" thickBot="1" x14ac:dyDescent="0.45">
      <c r="A19" s="42">
        <f t="shared" si="1"/>
        <v>19</v>
      </c>
      <c r="B19" s="178" t="str">
        <f>IF(D7&gt;=2,"기초금리2", "")</f>
        <v/>
      </c>
      <c r="C19" s="161" t="str">
        <f>IF($D$7&gt;=2,"커브번호", "")</f>
        <v/>
      </c>
      <c r="D19" s="161"/>
      <c r="E19" s="126">
        <v>2</v>
      </c>
      <c r="F19" s="126"/>
      <c r="G19" s="79"/>
      <c r="H19" s="44"/>
      <c r="I19" s="140" t="str">
        <f>IF(OR(E20 = 0, E20 = 2, E20 = 4), "RefType = "&amp;E20&amp;" 이므로 Ref Swap 금리정보 사용안함", "사용")</f>
        <v>RefType = 0 이므로 Ref Swap 금리정보 사용안함</v>
      </c>
      <c r="J19" s="140"/>
      <c r="K19" s="140"/>
      <c r="L19" s="141"/>
      <c r="M19" s="42"/>
      <c r="N19" s="46">
        <f t="shared" si="8"/>
        <v>43655</v>
      </c>
      <c r="O19" s="46">
        <f t="shared" si="2"/>
        <v>43747</v>
      </c>
      <c r="P19" s="46">
        <f t="shared" si="9"/>
        <v>43655</v>
      </c>
      <c r="Q19" s="46">
        <f t="shared" si="10"/>
        <v>43747</v>
      </c>
      <c r="R19" s="46">
        <f t="shared" si="3"/>
        <v>43750</v>
      </c>
      <c r="S19" s="47">
        <v>0</v>
      </c>
      <c r="T19" s="47">
        <v>0</v>
      </c>
      <c r="U19" s="47"/>
      <c r="W19" s="49">
        <v>41202</v>
      </c>
      <c r="X19" s="49">
        <v>41202</v>
      </c>
      <c r="Y19" s="49">
        <v>41202</v>
      </c>
      <c r="AD19" s="129" t="str">
        <f>IF($AF$7&gt;=2,"기초금리2", "")</f>
        <v/>
      </c>
      <c r="AE19" s="125" t="str">
        <f>IF($AF$7&gt;=2,"커브번호", "")</f>
        <v/>
      </c>
      <c r="AF19" s="125"/>
      <c r="AG19" s="126">
        <v>2</v>
      </c>
      <c r="AH19" s="126"/>
      <c r="AI19" s="79"/>
      <c r="AJ19" s="44"/>
      <c r="AK19" s="123" t="str">
        <f>IF(OR(AG20 = 0, AG20 = 2, AG20 = 4), "RefType = "&amp;AG20&amp;" 이므로 Ref Swap 금리정보 사용안함", "사용")</f>
        <v>RefType = 0 이므로 Ref Swap 금리정보 사용안함</v>
      </c>
      <c r="AL19" s="123"/>
      <c r="AM19" s="123"/>
      <c r="AN19" s="124"/>
      <c r="AP19" s="46">
        <v>43655</v>
      </c>
      <c r="AQ19" s="46">
        <v>43747</v>
      </c>
      <c r="AR19" s="46">
        <v>43655</v>
      </c>
      <c r="AS19" s="46">
        <v>43747</v>
      </c>
      <c r="AT19" s="46">
        <f t="shared" si="4"/>
        <v>43750</v>
      </c>
      <c r="AU19" s="47">
        <v>0</v>
      </c>
      <c r="AV19" s="47">
        <v>0</v>
      </c>
      <c r="AW19" s="47">
        <v>8.0000000000000002E-3</v>
      </c>
      <c r="AY19" s="49">
        <v>41202</v>
      </c>
      <c r="AZ19" s="49">
        <v>41202</v>
      </c>
      <c r="BA19" s="49">
        <v>41202</v>
      </c>
    </row>
    <row r="20" spans="1:53" ht="16.2" customHeight="1" thickBot="1" x14ac:dyDescent="0.45">
      <c r="A20" s="42">
        <f t="shared" si="1"/>
        <v>20</v>
      </c>
      <c r="B20" s="158"/>
      <c r="C20" s="147" t="str">
        <f>IF($D$7&gt;=2,"Reference Rate Type", "")</f>
        <v/>
      </c>
      <c r="D20" s="148"/>
      <c r="E20" s="128">
        <v>0</v>
      </c>
      <c r="F20" s="128"/>
      <c r="G20" s="131" t="str">
        <f>IF(OR(E20 = 0, E20 = 2, E20 = 4), "", "Zero/Swap 레퍼런스금리정보")</f>
        <v/>
      </c>
      <c r="H20" s="131"/>
      <c r="I20" s="131" t="str">
        <f>IF(OR(E20 = 0, E20 = 2, E20 = 4), "", "연 지급횟수")</f>
        <v/>
      </c>
      <c r="J20" s="132"/>
      <c r="K20" s="118">
        <v>4</v>
      </c>
      <c r="L20" s="119"/>
      <c r="M20" s="42"/>
      <c r="N20" s="46">
        <f t="shared" si="8"/>
        <v>43747</v>
      </c>
      <c r="O20" s="46">
        <f t="shared" si="2"/>
        <v>43839</v>
      </c>
      <c r="P20" s="46">
        <f t="shared" si="9"/>
        <v>43747</v>
      </c>
      <c r="Q20" s="46">
        <f t="shared" si="10"/>
        <v>43839</v>
      </c>
      <c r="R20" s="46">
        <f t="shared" si="3"/>
        <v>43842</v>
      </c>
      <c r="S20" s="47">
        <v>0</v>
      </c>
      <c r="T20" s="47">
        <v>0</v>
      </c>
      <c r="U20" s="47"/>
      <c r="W20" s="49">
        <v>41203</v>
      </c>
      <c r="X20" s="49">
        <v>41203</v>
      </c>
      <c r="Y20" s="49">
        <v>41203</v>
      </c>
      <c r="AD20" s="130"/>
      <c r="AE20" s="114" t="str">
        <f>IF($AF$7&gt;=2,"Reference Rate Type", "")</f>
        <v/>
      </c>
      <c r="AF20" s="127"/>
      <c r="AG20" s="128">
        <v>0</v>
      </c>
      <c r="AH20" s="128"/>
      <c r="AI20" s="116" t="str">
        <f>IF(OR(AG20 = 0, AG20 = 2, AG20 = 4), "", "Zero/Swap 레퍼런스금리정보")</f>
        <v/>
      </c>
      <c r="AJ20" s="116"/>
      <c r="AK20" s="116" t="str">
        <f>IF(OR(AG20 = 0, AG20 = 2, AG20 = 4), "", "연 지급횟수")</f>
        <v/>
      </c>
      <c r="AL20" s="117"/>
      <c r="AM20" s="118">
        <v>4</v>
      </c>
      <c r="AN20" s="119"/>
      <c r="AP20" s="46">
        <v>43747</v>
      </c>
      <c r="AQ20" s="46">
        <v>43839</v>
      </c>
      <c r="AR20" s="46">
        <v>43747</v>
      </c>
      <c r="AS20" s="46">
        <v>43839</v>
      </c>
      <c r="AT20" s="46">
        <f t="shared" si="4"/>
        <v>43842</v>
      </c>
      <c r="AU20" s="47">
        <v>0</v>
      </c>
      <c r="AV20" s="47">
        <v>0</v>
      </c>
      <c r="AW20" s="47">
        <v>8.0000000000000002E-3</v>
      </c>
      <c r="AY20" s="49">
        <v>41203</v>
      </c>
      <c r="AZ20" s="49">
        <v>41203</v>
      </c>
      <c r="BA20" s="49">
        <v>41203</v>
      </c>
    </row>
    <row r="21" spans="1:53" ht="16.2" customHeight="1" x14ac:dyDescent="0.4">
      <c r="A21" s="42">
        <f t="shared" si="1"/>
        <v>21</v>
      </c>
      <c r="B21" s="158"/>
      <c r="C21" s="147" t="str">
        <f>IF($D$7&gt;=2,"DayCount", "")</f>
        <v/>
      </c>
      <c r="D21" s="147"/>
      <c r="E21" s="105">
        <v>0</v>
      </c>
      <c r="F21" s="105"/>
      <c r="G21" s="131"/>
      <c r="H21" s="131"/>
      <c r="I21" s="131" t="str">
        <f>IF(OR(E20 = 0, E20 = 2, E20 = 4,E23=1), "", "만기")</f>
        <v/>
      </c>
      <c r="J21" s="132"/>
      <c r="K21" s="133">
        <v>1</v>
      </c>
      <c r="L21" s="134"/>
      <c r="M21" s="42"/>
      <c r="N21" s="46">
        <f t="shared" si="8"/>
        <v>43839</v>
      </c>
      <c r="O21" s="46">
        <f t="shared" si="2"/>
        <v>43930</v>
      </c>
      <c r="P21" s="46">
        <f t="shared" si="9"/>
        <v>43839</v>
      </c>
      <c r="Q21" s="46">
        <f t="shared" si="10"/>
        <v>43930</v>
      </c>
      <c r="R21" s="46">
        <f t="shared" si="3"/>
        <v>43933</v>
      </c>
      <c r="S21" s="47">
        <v>0</v>
      </c>
      <c r="T21" s="47">
        <v>0</v>
      </c>
      <c r="U21" s="47"/>
      <c r="W21" s="49">
        <v>41209</v>
      </c>
      <c r="X21" s="49">
        <v>41209</v>
      </c>
      <c r="Y21" s="49">
        <v>41209</v>
      </c>
      <c r="AD21" s="130"/>
      <c r="AE21" s="114" t="str">
        <f>IF($AF$7&gt;=2,"DayCount", "")</f>
        <v/>
      </c>
      <c r="AF21" s="114"/>
      <c r="AG21" s="105">
        <v>0</v>
      </c>
      <c r="AH21" s="105"/>
      <c r="AI21" s="116"/>
      <c r="AJ21" s="116"/>
      <c r="AK21" s="131" t="str">
        <f>IF(OR(AG20 = 0, AG20 = 2, AG20 = 4,AG23=1), "", "만기")</f>
        <v/>
      </c>
      <c r="AL21" s="132"/>
      <c r="AM21" s="133">
        <v>5</v>
      </c>
      <c r="AN21" s="134"/>
      <c r="AP21" s="46">
        <v>43839</v>
      </c>
      <c r="AQ21" s="46">
        <v>43930</v>
      </c>
      <c r="AR21" s="46">
        <v>43839</v>
      </c>
      <c r="AS21" s="46">
        <v>43930</v>
      </c>
      <c r="AT21" s="46">
        <f t="shared" si="4"/>
        <v>43933</v>
      </c>
      <c r="AU21" s="47">
        <v>0</v>
      </c>
      <c r="AV21" s="47">
        <v>0</v>
      </c>
      <c r="AW21" s="47">
        <v>8.0000000000000002E-3</v>
      </c>
      <c r="AY21" s="49">
        <v>41209</v>
      </c>
      <c r="AZ21" s="49">
        <v>41209</v>
      </c>
      <c r="BA21" s="49">
        <v>41209</v>
      </c>
    </row>
    <row r="22" spans="1:53" ht="16.2" customHeight="1" x14ac:dyDescent="0.4">
      <c r="A22" s="42">
        <f t="shared" si="1"/>
        <v>22</v>
      </c>
      <c r="B22" s="158"/>
      <c r="C22" s="147" t="str">
        <f>IF($D$7&gt;=2,"금리결정조건Multiple", "")</f>
        <v/>
      </c>
      <c r="D22" s="148"/>
      <c r="E22" s="104">
        <v>1</v>
      </c>
      <c r="F22" s="104"/>
      <c r="G22" s="100" t="str">
        <f>IF(OR(E20 = 0, E20 = 2, E20 = 4), "", "ex) Zero Rate 5년 -&gt; 연 지급횟수= 0, 만기= 5 // CD91일 -&gt; 연 지급횟수= 4, 만기= 0.25")</f>
        <v/>
      </c>
      <c r="H22" s="100"/>
      <c r="I22" s="100"/>
      <c r="J22" s="100"/>
      <c r="K22" s="100"/>
      <c r="L22" s="101"/>
      <c r="M22" s="42"/>
      <c r="N22" s="46">
        <f t="shared" si="8"/>
        <v>43930</v>
      </c>
      <c r="O22" s="46">
        <f t="shared" si="2"/>
        <v>44021</v>
      </c>
      <c r="P22" s="46">
        <f t="shared" si="9"/>
        <v>43930</v>
      </c>
      <c r="Q22" s="46">
        <f t="shared" si="10"/>
        <v>44021</v>
      </c>
      <c r="R22" s="46">
        <f t="shared" si="3"/>
        <v>44024</v>
      </c>
      <c r="S22" s="47">
        <v>0</v>
      </c>
      <c r="T22" s="47">
        <v>0</v>
      </c>
      <c r="U22" s="47"/>
      <c r="W22" s="49">
        <v>41210</v>
      </c>
      <c r="X22" s="49">
        <v>41210</v>
      </c>
      <c r="Y22" s="49">
        <v>41210</v>
      </c>
      <c r="AD22" s="130"/>
      <c r="AE22" s="114" t="str">
        <f>IF($AF$7&gt;=2,"금리결정조건Multiple", "")</f>
        <v/>
      </c>
      <c r="AF22" s="127"/>
      <c r="AG22" s="104">
        <v>1</v>
      </c>
      <c r="AH22" s="104"/>
      <c r="AI22" s="100" t="str">
        <f>IF(OR(AG20 = 0, AG20 = 2, AG20 = 4), "", "ex) Zero Rate 5년 -&gt; 연 지급횟수= 0, 만기= 5 // CD91일 -&gt; 연 지급횟수= 4, 만기= 0.25")</f>
        <v/>
      </c>
      <c r="AJ22" s="100"/>
      <c r="AK22" s="100"/>
      <c r="AL22" s="100"/>
      <c r="AM22" s="100"/>
      <c r="AN22" s="101"/>
      <c r="AP22" s="46">
        <v>43930</v>
      </c>
      <c r="AQ22" s="46">
        <v>44021</v>
      </c>
      <c r="AR22" s="46">
        <v>43930</v>
      </c>
      <c r="AS22" s="46">
        <v>44021</v>
      </c>
      <c r="AT22" s="46">
        <f t="shared" si="4"/>
        <v>44024</v>
      </c>
      <c r="AU22" s="47">
        <v>0</v>
      </c>
      <c r="AV22" s="47">
        <v>0</v>
      </c>
      <c r="AW22" s="47">
        <v>8.0000000000000002E-3</v>
      </c>
      <c r="AY22" s="49">
        <v>41210</v>
      </c>
      <c r="AZ22" s="49">
        <v>41210</v>
      </c>
      <c r="BA22" s="49">
        <v>41210</v>
      </c>
    </row>
    <row r="23" spans="1:53" ht="16.2" customHeight="1" x14ac:dyDescent="0.4">
      <c r="A23" s="42">
        <f t="shared" si="1"/>
        <v>23</v>
      </c>
      <c r="B23" s="158"/>
      <c r="C23" s="146" t="str">
        <f>IF($D$7&gt;=2,"Power Spread Flag", "")</f>
        <v/>
      </c>
      <c r="D23" s="146"/>
      <c r="E23" s="105">
        <v>0</v>
      </c>
      <c r="F23" s="105"/>
      <c r="G23" s="153" t="str">
        <f>IF(E23&gt;0,"PowerSpreadFlag 1일때 입력","입력필요X")</f>
        <v>입력필요X</v>
      </c>
      <c r="H23" s="153"/>
      <c r="I23" s="153" t="str">
        <f>IF(E23&gt;0,"만기1","")</f>
        <v/>
      </c>
      <c r="J23" s="153"/>
      <c r="K23" s="107">
        <v>10</v>
      </c>
      <c r="L23" s="108"/>
      <c r="M23" s="42"/>
      <c r="N23" s="46">
        <f t="shared" si="8"/>
        <v>44021</v>
      </c>
      <c r="O23" s="46">
        <f t="shared" si="2"/>
        <v>44113</v>
      </c>
      <c r="P23" s="46">
        <f t="shared" si="9"/>
        <v>44021</v>
      </c>
      <c r="Q23" s="46">
        <f t="shared" si="10"/>
        <v>44113</v>
      </c>
      <c r="R23" s="46">
        <f t="shared" si="3"/>
        <v>44116</v>
      </c>
      <c r="S23" s="47">
        <v>0</v>
      </c>
      <c r="T23" s="47">
        <v>0</v>
      </c>
      <c r="U23" s="47"/>
      <c r="W23" s="49">
        <v>41216</v>
      </c>
      <c r="X23" s="49">
        <v>41216</v>
      </c>
      <c r="Y23" s="49">
        <v>41216</v>
      </c>
      <c r="AD23" s="130"/>
      <c r="AE23" s="113" t="str">
        <f>IF($AF$7&gt;=2,"Power Spread Flag", "")</f>
        <v/>
      </c>
      <c r="AF23" s="113"/>
      <c r="AG23" s="105">
        <v>0</v>
      </c>
      <c r="AH23" s="105"/>
      <c r="AI23" s="106" t="str">
        <f>IF(AG23&gt;0,"PowerSpreadFlag 1일때 입력","입력필요X")</f>
        <v>입력필요X</v>
      </c>
      <c r="AJ23" s="106"/>
      <c r="AK23" s="106" t="str">
        <f>IF(AG23&gt;0,"만기1","")</f>
        <v/>
      </c>
      <c r="AL23" s="106"/>
      <c r="AM23" s="107">
        <v>10</v>
      </c>
      <c r="AN23" s="108"/>
      <c r="AP23" s="46">
        <v>44021</v>
      </c>
      <c r="AQ23" s="46">
        <v>44113</v>
      </c>
      <c r="AR23" s="46">
        <v>44021</v>
      </c>
      <c r="AS23" s="46">
        <v>44113</v>
      </c>
      <c r="AT23" s="46">
        <f t="shared" si="4"/>
        <v>44116</v>
      </c>
      <c r="AU23" s="47">
        <v>0</v>
      </c>
      <c r="AV23" s="47">
        <v>0</v>
      </c>
      <c r="AW23" s="47">
        <v>8.0000000000000002E-3</v>
      </c>
      <c r="AY23" s="49">
        <v>41216</v>
      </c>
      <c r="AZ23" s="49">
        <v>41216</v>
      </c>
      <c r="BA23" s="49">
        <v>41216</v>
      </c>
    </row>
    <row r="24" spans="1:53" ht="16.2" customHeight="1" x14ac:dyDescent="0.4">
      <c r="A24" s="42">
        <f t="shared" si="1"/>
        <v>24</v>
      </c>
      <c r="B24" s="158" t="str">
        <f>IF($D$7&gt;1, "사용", "커브개수"&amp;"="&amp;$D$7&amp;"이므로 사용안함")</f>
        <v>커브개수=1이므로 사용안함</v>
      </c>
      <c r="C24" s="146" t="str">
        <f>IF($D$7&gt;=2,"기초금리 Range상한", "")</f>
        <v/>
      </c>
      <c r="D24" s="146"/>
      <c r="E24" s="135">
        <v>10</v>
      </c>
      <c r="F24" s="135"/>
      <c r="G24" s="153"/>
      <c r="H24" s="153"/>
      <c r="I24" s="153" t="str">
        <f>IF(E23&gt;0,"만기2","")</f>
        <v/>
      </c>
      <c r="J24" s="153"/>
      <c r="K24" s="107">
        <v>5</v>
      </c>
      <c r="L24" s="108"/>
      <c r="M24" s="42"/>
      <c r="N24" s="46">
        <f t="shared" si="8"/>
        <v>44113</v>
      </c>
      <c r="O24" s="46">
        <f t="shared" si="2"/>
        <v>44205</v>
      </c>
      <c r="P24" s="46">
        <f t="shared" si="9"/>
        <v>44113</v>
      </c>
      <c r="Q24" s="46">
        <f t="shared" si="10"/>
        <v>44205</v>
      </c>
      <c r="R24" s="46">
        <f t="shared" si="3"/>
        <v>44208</v>
      </c>
      <c r="S24" s="47">
        <v>0</v>
      </c>
      <c r="T24" s="47">
        <v>0</v>
      </c>
      <c r="U24" s="47"/>
      <c r="W24" s="49">
        <v>41217</v>
      </c>
      <c r="X24" s="49">
        <v>41217</v>
      </c>
      <c r="Y24" s="49">
        <v>41217</v>
      </c>
      <c r="AD24" s="130" t="str">
        <f>IF($AF$7&gt;1, "사용", "커브개수"&amp;"="&amp;$AF$7&amp;"이므로 사용안함")</f>
        <v>커브개수=1이므로 사용안함</v>
      </c>
      <c r="AE24" s="113" t="str">
        <f>IF($AF$7&gt;=2,"기초금리 Range상한", "")</f>
        <v/>
      </c>
      <c r="AF24" s="113"/>
      <c r="AG24" s="135">
        <v>0.5</v>
      </c>
      <c r="AH24" s="135"/>
      <c r="AI24" s="106"/>
      <c r="AJ24" s="106"/>
      <c r="AK24" s="106" t="str">
        <f>IF(AG23&gt;0,"만기2","")</f>
        <v/>
      </c>
      <c r="AL24" s="106"/>
      <c r="AM24" s="107">
        <v>5</v>
      </c>
      <c r="AN24" s="108"/>
      <c r="AP24" s="46">
        <v>44113</v>
      </c>
      <c r="AQ24" s="46">
        <v>44205</v>
      </c>
      <c r="AR24" s="46">
        <v>44113</v>
      </c>
      <c r="AS24" s="46">
        <v>44205</v>
      </c>
      <c r="AT24" s="46">
        <f t="shared" si="4"/>
        <v>44208</v>
      </c>
      <c r="AU24" s="47">
        <v>0</v>
      </c>
      <c r="AV24" s="47">
        <v>0</v>
      </c>
      <c r="AW24" s="47">
        <v>8.0000000000000002E-3</v>
      </c>
      <c r="AY24" s="49">
        <v>41217</v>
      </c>
      <c r="AZ24" s="49">
        <v>41217</v>
      </c>
      <c r="BA24" s="49">
        <v>41217</v>
      </c>
    </row>
    <row r="25" spans="1:53" ht="16.2" customHeight="1" x14ac:dyDescent="0.4">
      <c r="A25" s="42">
        <f t="shared" si="1"/>
        <v>25</v>
      </c>
      <c r="B25" s="158"/>
      <c r="C25" s="146" t="str">
        <f>IF($D$7&gt;=2,"기초금리 Range하한", "")</f>
        <v/>
      </c>
      <c r="D25" s="147"/>
      <c r="E25" s="115">
        <v>-1</v>
      </c>
      <c r="F25" s="115"/>
      <c r="G25" s="159"/>
      <c r="H25" s="159"/>
      <c r="I25" s="154" t="str">
        <f>IF(E23&gt;0,"Spread1","")</f>
        <v/>
      </c>
      <c r="J25" s="154"/>
      <c r="K25" s="144" t="str">
        <f>IF(E23&gt;0, I23&amp;"-"&amp;I24, "")</f>
        <v/>
      </c>
      <c r="L25" s="145"/>
      <c r="N25" s="46">
        <f t="shared" si="8"/>
        <v>44205</v>
      </c>
      <c r="O25" s="46">
        <f t="shared" ref="O25:O40" si="11">EDATE(N25,3)</f>
        <v>44295</v>
      </c>
      <c r="P25" s="46">
        <f t="shared" ref="P25:P40" si="12">N25</f>
        <v>44205</v>
      </c>
      <c r="Q25" s="46">
        <f t="shared" ref="Q25:Q40" si="13">O25</f>
        <v>44295</v>
      </c>
      <c r="R25" s="46">
        <f t="shared" si="3"/>
        <v>44298</v>
      </c>
      <c r="S25" s="47">
        <v>0</v>
      </c>
      <c r="T25" s="47">
        <v>0</v>
      </c>
      <c r="U25" s="47"/>
      <c r="W25" s="49">
        <v>41223</v>
      </c>
      <c r="X25" s="49">
        <v>41223</v>
      </c>
      <c r="Y25" s="49">
        <v>41223</v>
      </c>
      <c r="AD25" s="130"/>
      <c r="AE25" s="113" t="str">
        <f>IF($AF$7&gt;=2,"기초금리 Range하한", "")</f>
        <v/>
      </c>
      <c r="AF25" s="114"/>
      <c r="AG25" s="115">
        <v>-0.1</v>
      </c>
      <c r="AH25" s="115"/>
      <c r="AI25" s="112"/>
      <c r="AJ25" s="112"/>
      <c r="AK25" s="109" t="str">
        <f>IF(AG23&gt;0,"Spread1","")</f>
        <v/>
      </c>
      <c r="AL25" s="109"/>
      <c r="AM25" s="110" t="str">
        <f>IF(AG23&gt;0, AK23&amp;"-"&amp;AK24, "")</f>
        <v/>
      </c>
      <c r="AN25" s="111"/>
      <c r="AP25" s="46">
        <v>44205</v>
      </c>
      <c r="AQ25" s="46">
        <v>44295</v>
      </c>
      <c r="AR25" s="46">
        <v>44205</v>
      </c>
      <c r="AS25" s="46">
        <v>44295</v>
      </c>
      <c r="AT25" s="46">
        <f t="shared" si="4"/>
        <v>44298</v>
      </c>
      <c r="AU25" s="47">
        <v>0</v>
      </c>
      <c r="AV25" s="47">
        <v>0</v>
      </c>
      <c r="AW25" s="47">
        <v>8.0000000000000002E-3</v>
      </c>
      <c r="AY25" s="49">
        <v>41223</v>
      </c>
      <c r="AZ25" s="49">
        <v>41223</v>
      </c>
      <c r="BA25" s="49">
        <v>41223</v>
      </c>
    </row>
    <row r="26" spans="1:53" ht="16.2" customHeight="1" x14ac:dyDescent="0.4">
      <c r="A26" s="42">
        <f t="shared" si="1"/>
        <v>26</v>
      </c>
      <c r="B26" s="41"/>
      <c r="C26" s="136" t="str">
        <f>IF($D$7&gt;=2,"Payoff조건Multiple", "")</f>
        <v/>
      </c>
      <c r="D26" s="136"/>
      <c r="E26" s="121">
        <v>0</v>
      </c>
      <c r="F26" s="121"/>
      <c r="G26" s="102" t="str">
        <f>IF(E23&gt;0,"예시) 10년-5년 스왑: 연 지급횟수=4, 만기1=10, 만기2=5","")</f>
        <v/>
      </c>
      <c r="H26" s="102"/>
      <c r="I26" s="102"/>
      <c r="J26" s="102"/>
      <c r="K26" s="102"/>
      <c r="L26" s="103"/>
      <c r="N26" s="46">
        <f t="shared" si="8"/>
        <v>44295</v>
      </c>
      <c r="O26" s="46">
        <f t="shared" si="11"/>
        <v>44386</v>
      </c>
      <c r="P26" s="46">
        <f t="shared" si="12"/>
        <v>44295</v>
      </c>
      <c r="Q26" s="46">
        <f t="shared" si="13"/>
        <v>44386</v>
      </c>
      <c r="R26" s="46">
        <f t="shared" si="3"/>
        <v>44389</v>
      </c>
      <c r="S26" s="47">
        <v>0</v>
      </c>
      <c r="T26" s="47">
        <v>0</v>
      </c>
      <c r="U26" s="47"/>
      <c r="W26" s="49">
        <v>41224</v>
      </c>
      <c r="X26" s="49">
        <v>41224</v>
      </c>
      <c r="Y26" s="49">
        <v>41224</v>
      </c>
      <c r="AD26" s="40"/>
      <c r="AE26" s="122" t="str">
        <f>IF($AF$7&gt;=2,"Payoff조건Multiple", "")</f>
        <v/>
      </c>
      <c r="AF26" s="122"/>
      <c r="AG26" s="121">
        <v>0</v>
      </c>
      <c r="AH26" s="121"/>
      <c r="AI26" s="102" t="str">
        <f>IF(AG23&gt;0,"예시) 10년-5년 스왑: 연 지급횟수=4, 만기1=10, 만기2=5","")</f>
        <v/>
      </c>
      <c r="AJ26" s="102"/>
      <c r="AK26" s="102"/>
      <c r="AL26" s="102"/>
      <c r="AM26" s="102"/>
      <c r="AN26" s="103"/>
      <c r="AP26" s="46">
        <v>44295</v>
      </c>
      <c r="AQ26" s="46">
        <v>44386</v>
      </c>
      <c r="AR26" s="46">
        <v>44295</v>
      </c>
      <c r="AS26" s="46">
        <v>44386</v>
      </c>
      <c r="AT26" s="46">
        <f t="shared" si="4"/>
        <v>44389</v>
      </c>
      <c r="AU26" s="47">
        <v>0</v>
      </c>
      <c r="AV26" s="47">
        <v>0</v>
      </c>
      <c r="AW26" s="47">
        <v>8.0000000000000002E-3</v>
      </c>
      <c r="AY26" s="49">
        <v>41224</v>
      </c>
      <c r="AZ26" s="49">
        <v>41224</v>
      </c>
      <c r="BA26" s="49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6">
        <f t="shared" si="8"/>
        <v>44386</v>
      </c>
      <c r="O27" s="46">
        <f t="shared" si="11"/>
        <v>44478</v>
      </c>
      <c r="P27" s="46">
        <f t="shared" si="12"/>
        <v>44386</v>
      </c>
      <c r="Q27" s="46">
        <f t="shared" si="13"/>
        <v>44478</v>
      </c>
      <c r="R27" s="46">
        <f t="shared" si="3"/>
        <v>44481</v>
      </c>
      <c r="S27" s="47">
        <v>0</v>
      </c>
      <c r="T27" s="47">
        <v>0</v>
      </c>
      <c r="U27" s="47"/>
      <c r="W27" s="49">
        <v>41230</v>
      </c>
      <c r="X27" s="49">
        <v>41230</v>
      </c>
      <c r="Y27" s="49">
        <v>41230</v>
      </c>
      <c r="AP27" s="46">
        <v>44386</v>
      </c>
      <c r="AQ27" s="46">
        <v>44478</v>
      </c>
      <c r="AR27" s="46">
        <v>44386</v>
      </c>
      <c r="AS27" s="46">
        <v>44478</v>
      </c>
      <c r="AT27" s="46">
        <f t="shared" si="4"/>
        <v>44481</v>
      </c>
      <c r="AU27" s="47">
        <v>0</v>
      </c>
      <c r="AV27" s="47">
        <v>0</v>
      </c>
      <c r="AW27" s="47">
        <v>8.0000000000000002E-3</v>
      </c>
      <c r="AY27" s="49">
        <v>41230</v>
      </c>
      <c r="AZ27" s="49">
        <v>41230</v>
      </c>
      <c r="BA27" s="49">
        <v>41230</v>
      </c>
    </row>
    <row r="28" spans="1:53" ht="16.2" customHeight="1" thickBot="1" x14ac:dyDescent="0.45">
      <c r="A28" s="42">
        <f t="shared" si="1"/>
        <v>28</v>
      </c>
      <c r="B28" s="178" t="str">
        <f>IF($D$7&gt;=3,"기초금리3", "")</f>
        <v/>
      </c>
      <c r="C28" s="161" t="str">
        <f>IF($D$7&gt;=3,"커브번호", "")</f>
        <v/>
      </c>
      <c r="D28" s="161"/>
      <c r="E28" s="126">
        <v>3</v>
      </c>
      <c r="F28" s="126"/>
      <c r="G28" s="79"/>
      <c r="H28" s="44"/>
      <c r="I28" s="140" t="str">
        <f>IF(OR(E29 = 0, E29 = 2, E29 = 4), "RefType = "&amp;E29&amp;" 이므로 Ref Swap 금리정보 사용안함", "사용")</f>
        <v>RefType = 0 이므로 Ref Swap 금리정보 사용안함</v>
      </c>
      <c r="J28" s="140"/>
      <c r="K28" s="140"/>
      <c r="L28" s="141"/>
      <c r="N28" s="46">
        <f t="shared" si="8"/>
        <v>44478</v>
      </c>
      <c r="O28" s="46">
        <f t="shared" si="11"/>
        <v>44570</v>
      </c>
      <c r="P28" s="46">
        <f t="shared" si="12"/>
        <v>44478</v>
      </c>
      <c r="Q28" s="46">
        <f t="shared" si="13"/>
        <v>44570</v>
      </c>
      <c r="R28" s="46">
        <f t="shared" si="3"/>
        <v>44573</v>
      </c>
      <c r="S28" s="47">
        <v>0</v>
      </c>
      <c r="T28" s="47">
        <v>0</v>
      </c>
      <c r="U28" s="47"/>
      <c r="W28" s="49">
        <v>41231</v>
      </c>
      <c r="X28" s="49">
        <v>41231</v>
      </c>
      <c r="Y28" s="49">
        <v>41231</v>
      </c>
      <c r="AD28" s="129" t="str">
        <f>IF($AF$7&gt;=3,"기초금리3", "")</f>
        <v/>
      </c>
      <c r="AE28" s="125" t="str">
        <f>IF($AF$7&gt;=3,"커브번호", "")</f>
        <v/>
      </c>
      <c r="AF28" s="125"/>
      <c r="AG28" s="126">
        <v>3</v>
      </c>
      <c r="AH28" s="126"/>
      <c r="AI28" s="79"/>
      <c r="AJ28" s="44"/>
      <c r="AK28" s="123" t="str">
        <f>IF(OR(AG29 = 0, AG29 = 2, AG29 = 4), "RefType = "&amp;AG29&amp;" 이므로 Ref Swap 금리정보 사용안함", "사용")</f>
        <v>RefType = 0 이므로 Ref Swap 금리정보 사용안함</v>
      </c>
      <c r="AL28" s="123"/>
      <c r="AM28" s="123"/>
      <c r="AN28" s="124"/>
      <c r="AP28" s="46">
        <v>44478</v>
      </c>
      <c r="AQ28" s="46">
        <v>44570</v>
      </c>
      <c r="AR28" s="46">
        <v>44478</v>
      </c>
      <c r="AS28" s="46">
        <v>44570</v>
      </c>
      <c r="AT28" s="46">
        <f t="shared" si="4"/>
        <v>44573</v>
      </c>
      <c r="AU28" s="47">
        <v>0</v>
      </c>
      <c r="AV28" s="47">
        <v>0</v>
      </c>
      <c r="AW28" s="47">
        <v>8.0000000000000002E-3</v>
      </c>
      <c r="AY28" s="49">
        <v>41231</v>
      </c>
      <c r="AZ28" s="49">
        <v>41231</v>
      </c>
      <c r="BA28" s="49">
        <v>41231</v>
      </c>
    </row>
    <row r="29" spans="1:53" ht="16.2" customHeight="1" thickBot="1" x14ac:dyDescent="0.45">
      <c r="A29" s="42">
        <f t="shared" si="1"/>
        <v>29</v>
      </c>
      <c r="B29" s="158"/>
      <c r="C29" s="147" t="str">
        <f>IF($D$7&gt;=3,"Reference Rate Type", "")</f>
        <v/>
      </c>
      <c r="D29" s="148"/>
      <c r="E29" s="128">
        <v>0</v>
      </c>
      <c r="F29" s="128"/>
      <c r="G29" s="131" t="str">
        <f>IF(OR(E29 = 0, E29 = 2, E29 = 4), "", "Zero/Swap 레퍼런스금리정보")</f>
        <v/>
      </c>
      <c r="H29" s="131"/>
      <c r="I29" s="131" t="str">
        <f>IF(OR(E29 = 0, E29 = 2, E29 = 4), "", "연 지급횟수")</f>
        <v/>
      </c>
      <c r="J29" s="132"/>
      <c r="K29" s="118">
        <v>4</v>
      </c>
      <c r="L29" s="119"/>
      <c r="N29" s="46">
        <f t="shared" si="8"/>
        <v>44570</v>
      </c>
      <c r="O29" s="46">
        <f t="shared" si="11"/>
        <v>44660</v>
      </c>
      <c r="P29" s="46">
        <f t="shared" si="12"/>
        <v>44570</v>
      </c>
      <c r="Q29" s="46">
        <f t="shared" si="13"/>
        <v>44660</v>
      </c>
      <c r="R29" s="46">
        <f t="shared" si="3"/>
        <v>44663</v>
      </c>
      <c r="S29" s="47">
        <v>0</v>
      </c>
      <c r="T29" s="47">
        <v>0</v>
      </c>
      <c r="U29" s="47"/>
      <c r="W29" s="49">
        <v>41237</v>
      </c>
      <c r="X29" s="49">
        <v>41237</v>
      </c>
      <c r="Y29" s="49">
        <v>41237</v>
      </c>
      <c r="AD29" s="130"/>
      <c r="AE29" s="114" t="str">
        <f>IF($AF$7&gt;=3,"Reference Rate Type", "")</f>
        <v/>
      </c>
      <c r="AF29" s="127"/>
      <c r="AG29" s="128">
        <v>0</v>
      </c>
      <c r="AH29" s="128"/>
      <c r="AI29" s="116" t="str">
        <f>IF(OR(AG29 = 0, AG29 = 2, AG29 = 4), "", "Zero/Swap 레퍼런스금리정보")</f>
        <v/>
      </c>
      <c r="AJ29" s="116"/>
      <c r="AK29" s="116" t="str">
        <f>IF(OR(AG29 = 0, AG29 = 2, AG29 = 4), "", "연 지급횟수")</f>
        <v/>
      </c>
      <c r="AL29" s="117"/>
      <c r="AM29" s="118">
        <v>4</v>
      </c>
      <c r="AN29" s="119"/>
      <c r="AP29" s="46">
        <v>44570</v>
      </c>
      <c r="AQ29" s="46">
        <v>44660</v>
      </c>
      <c r="AR29" s="46">
        <v>44570</v>
      </c>
      <c r="AS29" s="46">
        <v>44660</v>
      </c>
      <c r="AT29" s="46">
        <f t="shared" si="4"/>
        <v>44663</v>
      </c>
      <c r="AU29" s="47">
        <v>0</v>
      </c>
      <c r="AV29" s="47">
        <v>0</v>
      </c>
      <c r="AW29" s="47">
        <v>8.0000000000000002E-3</v>
      </c>
      <c r="AY29" s="49">
        <v>41237</v>
      </c>
      <c r="AZ29" s="49">
        <v>41237</v>
      </c>
      <c r="BA29" s="49">
        <v>41237</v>
      </c>
    </row>
    <row r="30" spans="1:53" ht="16.2" customHeight="1" x14ac:dyDescent="0.4">
      <c r="A30" s="42">
        <f t="shared" si="1"/>
        <v>30</v>
      </c>
      <c r="B30" s="158"/>
      <c r="C30" s="147" t="str">
        <f>IF($D$7&gt;=3,"DayCount", "")</f>
        <v/>
      </c>
      <c r="D30" s="147"/>
      <c r="E30" s="105">
        <v>0</v>
      </c>
      <c r="F30" s="105"/>
      <c r="G30" s="131"/>
      <c r="H30" s="131"/>
      <c r="I30" s="131" t="str">
        <f>IF(OR(E29 = 0, E29 = 2, E29 = 4,E32=1), "", "만기")</f>
        <v/>
      </c>
      <c r="J30" s="132"/>
      <c r="K30" s="133">
        <v>5</v>
      </c>
      <c r="L30" s="134"/>
      <c r="N30" s="46">
        <f t="shared" si="8"/>
        <v>44660</v>
      </c>
      <c r="O30" s="46">
        <f t="shared" si="11"/>
        <v>44751</v>
      </c>
      <c r="P30" s="46">
        <f t="shared" si="12"/>
        <v>44660</v>
      </c>
      <c r="Q30" s="46">
        <f t="shared" si="13"/>
        <v>44751</v>
      </c>
      <c r="R30" s="46">
        <f t="shared" si="3"/>
        <v>44754</v>
      </c>
      <c r="S30" s="47">
        <v>0</v>
      </c>
      <c r="T30" s="47">
        <v>0</v>
      </c>
      <c r="U30" s="47"/>
      <c r="W30" s="49">
        <v>41238</v>
      </c>
      <c r="X30" s="49">
        <v>41238</v>
      </c>
      <c r="Y30" s="49">
        <v>41238</v>
      </c>
      <c r="AD30" s="130"/>
      <c r="AE30" s="114" t="str">
        <f>IF($AF$7&gt;=3,"DayCount", "")</f>
        <v/>
      </c>
      <c r="AF30" s="114"/>
      <c r="AG30" s="105">
        <v>0</v>
      </c>
      <c r="AH30" s="105"/>
      <c r="AI30" s="116"/>
      <c r="AJ30" s="116"/>
      <c r="AK30" s="131" t="str">
        <f>IF(OR(AG29 = 0, AG29 = 2, AG29 = 4,AG32=1), "", "만기")</f>
        <v/>
      </c>
      <c r="AL30" s="132"/>
      <c r="AM30" s="133">
        <v>5</v>
      </c>
      <c r="AN30" s="134"/>
      <c r="AP30" s="46">
        <v>44660</v>
      </c>
      <c r="AQ30" s="46">
        <v>44751</v>
      </c>
      <c r="AR30" s="46">
        <v>44660</v>
      </c>
      <c r="AS30" s="46">
        <v>44751</v>
      </c>
      <c r="AT30" s="46">
        <f t="shared" si="4"/>
        <v>44754</v>
      </c>
      <c r="AU30" s="47">
        <v>0</v>
      </c>
      <c r="AV30" s="47">
        <v>0</v>
      </c>
      <c r="AW30" s="47">
        <v>8.0000000000000002E-3</v>
      </c>
      <c r="AY30" s="49">
        <v>41238</v>
      </c>
      <c r="AZ30" s="49">
        <v>41238</v>
      </c>
      <c r="BA30" s="49">
        <v>41238</v>
      </c>
    </row>
    <row r="31" spans="1:53" ht="16.2" customHeight="1" x14ac:dyDescent="0.4">
      <c r="A31" s="42">
        <f t="shared" si="1"/>
        <v>31</v>
      </c>
      <c r="B31" s="158"/>
      <c r="C31" s="147" t="str">
        <f>IF($D$7&gt;=3,"금리결정조건Multiple", "")</f>
        <v/>
      </c>
      <c r="D31" s="148"/>
      <c r="E31" s="104">
        <v>1</v>
      </c>
      <c r="F31" s="104"/>
      <c r="G31" s="100" t="str">
        <f>IF(OR(E29 = 0, E29 = 2, E29 = 4), "", "ex) Zero Rate 5년 -&gt; 연 지급횟수= 0, 만기= 5 // CD91일 -&gt; 연 지급횟수= 4, 만기= 0.25")</f>
        <v/>
      </c>
      <c r="H31" s="100"/>
      <c r="I31" s="100"/>
      <c r="J31" s="100"/>
      <c r="K31" s="100"/>
      <c r="L31" s="101"/>
      <c r="N31" s="46">
        <f t="shared" si="8"/>
        <v>44751</v>
      </c>
      <c r="O31" s="46">
        <f t="shared" si="11"/>
        <v>44843</v>
      </c>
      <c r="P31" s="46">
        <f t="shared" si="12"/>
        <v>44751</v>
      </c>
      <c r="Q31" s="46">
        <f t="shared" si="13"/>
        <v>44843</v>
      </c>
      <c r="R31" s="46">
        <f t="shared" si="3"/>
        <v>44846</v>
      </c>
      <c r="S31" s="47">
        <v>0</v>
      </c>
      <c r="T31" s="47">
        <v>0</v>
      </c>
      <c r="U31" s="47"/>
      <c r="W31" s="49">
        <v>41244</v>
      </c>
      <c r="X31" s="49">
        <v>41244</v>
      </c>
      <c r="Y31" s="49">
        <v>41244</v>
      </c>
      <c r="AD31" s="130"/>
      <c r="AE31" s="114" t="str">
        <f>IF($AF$7&gt;=3,"금리결정조건Multiple", "")</f>
        <v/>
      </c>
      <c r="AF31" s="127"/>
      <c r="AG31" s="104">
        <v>1</v>
      </c>
      <c r="AH31" s="104"/>
      <c r="AI31" s="100" t="str">
        <f>IF(OR(AG29 = 0, AG29 = 2, AG29 = 4), "", "ex) Zero Rate 5년 -&gt; 연 지급횟수= 0, 만기= 5 // CD91일 -&gt; 연 지급횟수= 4, 만기= 0.25")</f>
        <v/>
      </c>
      <c r="AJ31" s="100"/>
      <c r="AK31" s="100"/>
      <c r="AL31" s="100"/>
      <c r="AM31" s="100"/>
      <c r="AN31" s="101"/>
      <c r="AP31" s="46">
        <v>44751</v>
      </c>
      <c r="AQ31" s="46">
        <v>44843</v>
      </c>
      <c r="AR31" s="46">
        <v>44751</v>
      </c>
      <c r="AS31" s="46">
        <v>44843</v>
      </c>
      <c r="AT31" s="46">
        <f t="shared" si="4"/>
        <v>44846</v>
      </c>
      <c r="AU31" s="47">
        <v>0</v>
      </c>
      <c r="AV31" s="47">
        <v>0</v>
      </c>
      <c r="AW31" s="47">
        <v>8.0000000000000002E-3</v>
      </c>
      <c r="AY31" s="49">
        <v>41244</v>
      </c>
      <c r="AZ31" s="49">
        <v>41244</v>
      </c>
      <c r="BA31" s="49">
        <v>41244</v>
      </c>
    </row>
    <row r="32" spans="1:53" ht="16.2" customHeight="1" x14ac:dyDescent="0.4">
      <c r="A32" s="42">
        <f t="shared" si="1"/>
        <v>32</v>
      </c>
      <c r="B32" s="158"/>
      <c r="C32" s="146" t="str">
        <f>IF($D$7&gt;=3,"Power Spread Flag", "")</f>
        <v/>
      </c>
      <c r="D32" s="146"/>
      <c r="E32" s="105">
        <v>0</v>
      </c>
      <c r="F32" s="105"/>
      <c r="G32" s="153" t="str">
        <f>IF(E32&gt;0,"PowerSpreadFlag 1일때 입력","입력필요X")</f>
        <v>입력필요X</v>
      </c>
      <c r="H32" s="153"/>
      <c r="I32" s="153" t="str">
        <f>IF(E32&gt;0,"만기1","")</f>
        <v/>
      </c>
      <c r="J32" s="153"/>
      <c r="K32" s="107">
        <v>10</v>
      </c>
      <c r="L32" s="108"/>
      <c r="N32" s="46">
        <f t="shared" si="8"/>
        <v>44843</v>
      </c>
      <c r="O32" s="46">
        <f t="shared" si="11"/>
        <v>44935</v>
      </c>
      <c r="P32" s="46">
        <f t="shared" si="12"/>
        <v>44843</v>
      </c>
      <c r="Q32" s="46">
        <f t="shared" si="13"/>
        <v>44935</v>
      </c>
      <c r="R32" s="46">
        <f t="shared" si="3"/>
        <v>44938</v>
      </c>
      <c r="S32" s="47">
        <v>0</v>
      </c>
      <c r="T32" s="47">
        <v>0</v>
      </c>
      <c r="U32" s="47"/>
      <c r="W32" s="49">
        <v>41245</v>
      </c>
      <c r="X32" s="49">
        <v>41245</v>
      </c>
      <c r="Y32" s="49">
        <v>41245</v>
      </c>
      <c r="AD32" s="130"/>
      <c r="AE32" s="113" t="str">
        <f>IF($AF$7&gt;=3,"Power Spread Flag", "")</f>
        <v/>
      </c>
      <c r="AF32" s="113"/>
      <c r="AG32" s="105">
        <v>0</v>
      </c>
      <c r="AH32" s="105"/>
      <c r="AI32" s="106" t="str">
        <f>IF(AG32&gt;0,"PowerSpreadFlag 1일때 입력","입력필요X")</f>
        <v>입력필요X</v>
      </c>
      <c r="AJ32" s="106"/>
      <c r="AK32" s="106" t="str">
        <f>IF(AG32&gt;0,"만기1","")</f>
        <v/>
      </c>
      <c r="AL32" s="106"/>
      <c r="AM32" s="107">
        <v>10</v>
      </c>
      <c r="AN32" s="108"/>
      <c r="AP32" s="46">
        <v>44843</v>
      </c>
      <c r="AQ32" s="46">
        <v>44935</v>
      </c>
      <c r="AR32" s="46">
        <v>44843</v>
      </c>
      <c r="AS32" s="46">
        <v>44935</v>
      </c>
      <c r="AT32" s="46">
        <f t="shared" si="4"/>
        <v>44938</v>
      </c>
      <c r="AU32" s="47">
        <v>0</v>
      </c>
      <c r="AV32" s="47">
        <v>0</v>
      </c>
      <c r="AW32" s="47">
        <v>8.0000000000000002E-3</v>
      </c>
      <c r="AY32" s="49">
        <v>41245</v>
      </c>
      <c r="AZ32" s="49">
        <v>41245</v>
      </c>
      <c r="BA32" s="49">
        <v>41245</v>
      </c>
    </row>
    <row r="33" spans="1:53" ht="16.2" customHeight="1" x14ac:dyDescent="0.4">
      <c r="A33" s="42">
        <f t="shared" si="1"/>
        <v>33</v>
      </c>
      <c r="B33" s="158" t="str">
        <f>IF($D$7&gt;2, "사용", "커브개수"&amp;"="&amp;$D$7&amp;"이므로 사용안함")</f>
        <v>커브개수=1이므로 사용안함</v>
      </c>
      <c r="C33" s="146" t="str">
        <f>IF($D$7&gt;=3,"기초금리 Range상한", "")</f>
        <v/>
      </c>
      <c r="D33" s="146"/>
      <c r="E33" s="135">
        <v>0.5</v>
      </c>
      <c r="F33" s="135"/>
      <c r="G33" s="153"/>
      <c r="H33" s="153"/>
      <c r="I33" s="153" t="str">
        <f>IF(E32&gt;0,"만기2","")</f>
        <v/>
      </c>
      <c r="J33" s="153"/>
      <c r="K33" s="107">
        <v>5</v>
      </c>
      <c r="L33" s="108"/>
      <c r="N33" s="46">
        <f t="shared" si="8"/>
        <v>44935</v>
      </c>
      <c r="O33" s="46">
        <f t="shared" si="11"/>
        <v>45025</v>
      </c>
      <c r="P33" s="46">
        <f t="shared" si="12"/>
        <v>44935</v>
      </c>
      <c r="Q33" s="46">
        <f t="shared" si="13"/>
        <v>45025</v>
      </c>
      <c r="R33" s="46">
        <f t="shared" si="3"/>
        <v>45028</v>
      </c>
      <c r="S33" s="47">
        <v>0</v>
      </c>
      <c r="T33" s="47">
        <v>0</v>
      </c>
      <c r="U33" s="47"/>
      <c r="W33" s="49">
        <v>41251</v>
      </c>
      <c r="X33" s="49">
        <v>41251</v>
      </c>
      <c r="Y33" s="49">
        <v>41251</v>
      </c>
      <c r="AD33" s="130" t="str">
        <f>IF($AF$7&gt;2, "사용", "커브개수"&amp;"="&amp;$AF$7&amp;"이므로 사용안함")</f>
        <v>커브개수=1이므로 사용안함</v>
      </c>
      <c r="AE33" s="113" t="str">
        <f>IF($AF$7&gt;=3,"기초금리 Range상한", "")</f>
        <v/>
      </c>
      <c r="AF33" s="113"/>
      <c r="AG33" s="135">
        <v>0.5</v>
      </c>
      <c r="AH33" s="135"/>
      <c r="AI33" s="106"/>
      <c r="AJ33" s="106"/>
      <c r="AK33" s="106" t="str">
        <f>IF(AG32&gt;0,"만기2","")</f>
        <v/>
      </c>
      <c r="AL33" s="106"/>
      <c r="AM33" s="107">
        <v>5</v>
      </c>
      <c r="AN33" s="108"/>
      <c r="AP33" s="46">
        <v>44935</v>
      </c>
      <c r="AQ33" s="46">
        <v>45025</v>
      </c>
      <c r="AR33" s="46">
        <v>44935</v>
      </c>
      <c r="AS33" s="46">
        <v>45025</v>
      </c>
      <c r="AT33" s="46">
        <f t="shared" si="4"/>
        <v>45028</v>
      </c>
      <c r="AU33" s="47">
        <v>0</v>
      </c>
      <c r="AV33" s="47">
        <v>0</v>
      </c>
      <c r="AW33" s="47">
        <v>8.0000000000000002E-3</v>
      </c>
      <c r="AY33" s="49">
        <v>41251</v>
      </c>
      <c r="AZ33" s="49">
        <v>41251</v>
      </c>
      <c r="BA33" s="49">
        <v>41251</v>
      </c>
    </row>
    <row r="34" spans="1:53" ht="16.2" customHeight="1" x14ac:dyDescent="0.4">
      <c r="A34" s="42">
        <f t="shared" si="1"/>
        <v>34</v>
      </c>
      <c r="B34" s="158"/>
      <c r="C34" s="146" t="str">
        <f>IF($D$7&gt;=3,"기초금리 Range하한", "")</f>
        <v/>
      </c>
      <c r="D34" s="147"/>
      <c r="E34" s="115">
        <v>-0.1</v>
      </c>
      <c r="F34" s="115"/>
      <c r="G34" s="159"/>
      <c r="H34" s="159"/>
      <c r="I34" s="154" t="str">
        <f>IF(E32&gt;0,"Spread1","")</f>
        <v/>
      </c>
      <c r="J34" s="154"/>
      <c r="K34" s="144" t="str">
        <f>IF(E32&gt;0, I32&amp;"-"&amp;I33, "")</f>
        <v/>
      </c>
      <c r="L34" s="145"/>
      <c r="N34" s="46">
        <f t="shared" si="8"/>
        <v>45025</v>
      </c>
      <c r="O34" s="46">
        <f t="shared" si="11"/>
        <v>45116</v>
      </c>
      <c r="P34" s="46">
        <f t="shared" si="12"/>
        <v>45025</v>
      </c>
      <c r="Q34" s="46">
        <f t="shared" si="13"/>
        <v>45116</v>
      </c>
      <c r="R34" s="46">
        <f t="shared" si="3"/>
        <v>45119</v>
      </c>
      <c r="S34" s="47">
        <v>0</v>
      </c>
      <c r="T34" s="47">
        <v>0</v>
      </c>
      <c r="U34" s="47"/>
      <c r="W34" s="49">
        <v>41252</v>
      </c>
      <c r="X34" s="49">
        <v>41252</v>
      </c>
      <c r="Y34" s="49">
        <v>41252</v>
      </c>
      <c r="AD34" s="130"/>
      <c r="AE34" s="113" t="str">
        <f>IF($AF$7&gt;=3,"기초금리 Range하한", "")</f>
        <v/>
      </c>
      <c r="AF34" s="114"/>
      <c r="AG34" s="115">
        <v>-0.1</v>
      </c>
      <c r="AH34" s="115"/>
      <c r="AI34" s="112"/>
      <c r="AJ34" s="112"/>
      <c r="AK34" s="109" t="str">
        <f>IF(AG32&gt;0,"Spread1","")</f>
        <v/>
      </c>
      <c r="AL34" s="109"/>
      <c r="AM34" s="110" t="str">
        <f>IF(AG32&gt;0, AK32&amp;"-"&amp;AK33, "")</f>
        <v/>
      </c>
      <c r="AN34" s="111"/>
      <c r="AP34" s="46">
        <v>45025</v>
      </c>
      <c r="AQ34" s="46">
        <v>45116</v>
      </c>
      <c r="AR34" s="46">
        <v>45025</v>
      </c>
      <c r="AS34" s="46">
        <v>45116</v>
      </c>
      <c r="AT34" s="46">
        <f t="shared" si="4"/>
        <v>45119</v>
      </c>
      <c r="AU34" s="47">
        <v>0</v>
      </c>
      <c r="AV34" s="47">
        <v>0</v>
      </c>
      <c r="AW34" s="47">
        <v>8.0000000000000002E-3</v>
      </c>
      <c r="AY34" s="49">
        <v>41252</v>
      </c>
      <c r="AZ34" s="49">
        <v>41252</v>
      </c>
      <c r="BA34" s="49">
        <v>41252</v>
      </c>
    </row>
    <row r="35" spans="1:53" ht="16.2" customHeight="1" x14ac:dyDescent="0.4">
      <c r="A35" s="42">
        <f t="shared" si="1"/>
        <v>35</v>
      </c>
      <c r="B35" s="41"/>
      <c r="C35" s="136" t="str">
        <f>IF($D$7&gt;=3,"Payoff조건Multiple", "")</f>
        <v/>
      </c>
      <c r="D35" s="136"/>
      <c r="E35" s="121">
        <v>0</v>
      </c>
      <c r="F35" s="121"/>
      <c r="G35" s="102" t="str">
        <f>IF(E32&gt;0,"예시) 10년-5년 스왑: 연 지급횟수=4, 만기1=10, 만기2=5","")</f>
        <v/>
      </c>
      <c r="H35" s="102"/>
      <c r="I35" s="102"/>
      <c r="J35" s="102"/>
      <c r="K35" s="102"/>
      <c r="L35" s="103"/>
      <c r="N35" s="46">
        <f t="shared" si="8"/>
        <v>45116</v>
      </c>
      <c r="O35" s="46">
        <f t="shared" si="11"/>
        <v>45208</v>
      </c>
      <c r="P35" s="46">
        <f t="shared" si="12"/>
        <v>45116</v>
      </c>
      <c r="Q35" s="46">
        <f t="shared" si="13"/>
        <v>45208</v>
      </c>
      <c r="R35" s="46">
        <f t="shared" si="3"/>
        <v>45211</v>
      </c>
      <c r="S35" s="47">
        <v>0</v>
      </c>
      <c r="T35" s="47">
        <v>0</v>
      </c>
      <c r="U35" s="47"/>
      <c r="W35" s="49">
        <v>41258</v>
      </c>
      <c r="X35" s="49">
        <v>41258</v>
      </c>
      <c r="Y35" s="49">
        <v>41258</v>
      </c>
      <c r="AD35" s="40"/>
      <c r="AE35" s="122" t="str">
        <f>IF($AF$7&gt;=3,"Payoff조건Multiple", "")</f>
        <v/>
      </c>
      <c r="AF35" s="122"/>
      <c r="AG35" s="121">
        <v>0</v>
      </c>
      <c r="AH35" s="121"/>
      <c r="AI35" s="102" t="str">
        <f>IF(AG32&gt;0,"예시) 10년-5년 스왑: 연 지급횟수=4, 만기1=10, 만기2=5","")</f>
        <v/>
      </c>
      <c r="AJ35" s="102"/>
      <c r="AK35" s="102"/>
      <c r="AL35" s="102"/>
      <c r="AM35" s="102"/>
      <c r="AN35" s="103"/>
      <c r="AP35" s="46">
        <v>45116</v>
      </c>
      <c r="AQ35" s="46">
        <v>45208</v>
      </c>
      <c r="AR35" s="46">
        <v>45116</v>
      </c>
      <c r="AS35" s="46">
        <v>45208</v>
      </c>
      <c r="AT35" s="46">
        <f t="shared" si="4"/>
        <v>45211</v>
      </c>
      <c r="AU35" s="47">
        <v>0</v>
      </c>
      <c r="AV35" s="47">
        <v>0</v>
      </c>
      <c r="AW35" s="47">
        <v>8.0000000000000002E-3</v>
      </c>
      <c r="AY35" s="49">
        <v>41258</v>
      </c>
      <c r="AZ35" s="49">
        <v>41258</v>
      </c>
      <c r="BA35" s="49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6">
        <f t="shared" si="8"/>
        <v>45208</v>
      </c>
      <c r="O36" s="46">
        <f t="shared" si="11"/>
        <v>45300</v>
      </c>
      <c r="P36" s="46">
        <f t="shared" si="12"/>
        <v>45208</v>
      </c>
      <c r="Q36" s="46">
        <f t="shared" si="13"/>
        <v>45300</v>
      </c>
      <c r="R36" s="46">
        <f t="shared" si="3"/>
        <v>45303</v>
      </c>
      <c r="S36" s="47">
        <v>0</v>
      </c>
      <c r="T36" s="47">
        <v>0</v>
      </c>
      <c r="U36" s="47"/>
      <c r="W36" s="49">
        <v>41259</v>
      </c>
      <c r="X36" s="49">
        <v>41259</v>
      </c>
      <c r="Y36" s="49">
        <v>41259</v>
      </c>
      <c r="AP36" s="46">
        <v>45208</v>
      </c>
      <c r="AQ36" s="46">
        <v>45300</v>
      </c>
      <c r="AR36" s="46">
        <v>45208</v>
      </c>
      <c r="AS36" s="46">
        <v>45300</v>
      </c>
      <c r="AT36" s="46">
        <f t="shared" si="4"/>
        <v>45303</v>
      </c>
      <c r="AU36" s="47">
        <v>0</v>
      </c>
      <c r="AV36" s="47">
        <v>0</v>
      </c>
      <c r="AW36" s="47">
        <v>8.0000000000000002E-3</v>
      </c>
      <c r="AY36" s="49">
        <v>41259</v>
      </c>
      <c r="AZ36" s="49">
        <v>41259</v>
      </c>
      <c r="BA36" s="49">
        <v>41259</v>
      </c>
    </row>
    <row r="37" spans="1:53" ht="16.2" customHeight="1" x14ac:dyDescent="0.4">
      <c r="A37" s="42">
        <f t="shared" si="1"/>
        <v>37</v>
      </c>
      <c r="B37" s="149" t="s">
        <v>94</v>
      </c>
      <c r="C37" s="125" t="s">
        <v>33</v>
      </c>
      <c r="D37" s="125"/>
      <c r="E37" s="187">
        <v>1</v>
      </c>
      <c r="F37" s="188"/>
      <c r="G37" s="43"/>
      <c r="H37" s="129" t="s">
        <v>48</v>
      </c>
      <c r="I37" s="149"/>
      <c r="J37" s="137">
        <v>0</v>
      </c>
      <c r="K37" s="137"/>
      <c r="L37" s="138"/>
      <c r="N37" s="46">
        <f t="shared" si="8"/>
        <v>45300</v>
      </c>
      <c r="O37" s="46">
        <f t="shared" si="11"/>
        <v>45391</v>
      </c>
      <c r="P37" s="46">
        <f t="shared" si="12"/>
        <v>45300</v>
      </c>
      <c r="Q37" s="46">
        <f t="shared" si="13"/>
        <v>45391</v>
      </c>
      <c r="R37" s="46">
        <f t="shared" si="3"/>
        <v>45394</v>
      </c>
      <c r="S37" s="47">
        <v>0</v>
      </c>
      <c r="T37" s="47">
        <v>0</v>
      </c>
      <c r="U37" s="47"/>
      <c r="W37" s="49">
        <v>41262</v>
      </c>
      <c r="X37" s="49">
        <v>41262</v>
      </c>
      <c r="Y37" s="49">
        <v>41262</v>
      </c>
      <c r="AD37" s="149" t="s">
        <v>94</v>
      </c>
      <c r="AE37" s="125" t="s">
        <v>33</v>
      </c>
      <c r="AF37" s="125"/>
      <c r="AG37" s="187">
        <v>1</v>
      </c>
      <c r="AH37" s="188"/>
      <c r="AJ37" s="129" t="s">
        <v>48</v>
      </c>
      <c r="AK37" s="149"/>
      <c r="AL37" s="137">
        <v>0</v>
      </c>
      <c r="AM37" s="137"/>
      <c r="AN37" s="138"/>
      <c r="AP37" s="46">
        <v>45300</v>
      </c>
      <c r="AQ37" s="46">
        <v>45391</v>
      </c>
      <c r="AR37" s="46">
        <v>45300</v>
      </c>
      <c r="AS37" s="46">
        <v>45391</v>
      </c>
      <c r="AT37" s="46">
        <f t="shared" si="4"/>
        <v>45394</v>
      </c>
      <c r="AU37" s="47">
        <v>0</v>
      </c>
      <c r="AV37" s="47">
        <v>0</v>
      </c>
      <c r="AW37" s="47">
        <v>8.0000000000000002E-3</v>
      </c>
      <c r="AY37" s="49">
        <v>41262</v>
      </c>
      <c r="AZ37" s="49">
        <v>41262</v>
      </c>
      <c r="BA37" s="49">
        <v>41262</v>
      </c>
    </row>
    <row r="38" spans="1:53" ht="16.2" customHeight="1" x14ac:dyDescent="0.4">
      <c r="A38" s="42">
        <f t="shared" si="1"/>
        <v>38</v>
      </c>
      <c r="B38" s="185"/>
      <c r="C38" s="122"/>
      <c r="D38" s="122"/>
      <c r="E38" s="189"/>
      <c r="F38" s="190"/>
      <c r="G38" s="43"/>
      <c r="H38" s="150" t="s">
        <v>49</v>
      </c>
      <c r="I38" s="151"/>
      <c r="J38" s="151"/>
      <c r="K38" s="151"/>
      <c r="L38" s="152"/>
      <c r="N38" s="46">
        <f t="shared" si="8"/>
        <v>45391</v>
      </c>
      <c r="O38" s="46">
        <f t="shared" si="11"/>
        <v>45482</v>
      </c>
      <c r="P38" s="46">
        <f t="shared" si="12"/>
        <v>45391</v>
      </c>
      <c r="Q38" s="46">
        <f t="shared" si="13"/>
        <v>45482</v>
      </c>
      <c r="R38" s="46">
        <f t="shared" si="3"/>
        <v>45485</v>
      </c>
      <c r="S38" s="47">
        <v>0</v>
      </c>
      <c r="T38" s="47">
        <v>0</v>
      </c>
      <c r="U38" s="47"/>
      <c r="W38" s="49">
        <v>41265</v>
      </c>
      <c r="X38" s="49">
        <v>41265</v>
      </c>
      <c r="Y38" s="49">
        <v>41265</v>
      </c>
      <c r="AD38" s="185"/>
      <c r="AE38" s="122"/>
      <c r="AF38" s="122"/>
      <c r="AG38" s="189"/>
      <c r="AH38" s="190"/>
      <c r="AJ38" s="150" t="s">
        <v>49</v>
      </c>
      <c r="AK38" s="151"/>
      <c r="AL38" s="151"/>
      <c r="AM38" s="151"/>
      <c r="AN38" s="152"/>
      <c r="AP38" s="46">
        <v>45391</v>
      </c>
      <c r="AQ38" s="46">
        <v>45482</v>
      </c>
      <c r="AR38" s="46">
        <v>45391</v>
      </c>
      <c r="AS38" s="46">
        <v>45482</v>
      </c>
      <c r="AT38" s="46">
        <f t="shared" si="4"/>
        <v>45485</v>
      </c>
      <c r="AU38" s="47">
        <v>0</v>
      </c>
      <c r="AV38" s="47">
        <v>0</v>
      </c>
      <c r="AW38" s="47">
        <v>8.0000000000000002E-3</v>
      </c>
      <c r="AY38" s="49">
        <v>41265</v>
      </c>
      <c r="AZ38" s="49">
        <v>41265</v>
      </c>
      <c r="BA38" s="49">
        <v>41265</v>
      </c>
    </row>
    <row r="39" spans="1:53" ht="16.2" customHeight="1" x14ac:dyDescent="0.4">
      <c r="A39" s="42">
        <f t="shared" si="1"/>
        <v>39</v>
      </c>
      <c r="B39" s="185"/>
      <c r="C39" s="186"/>
      <c r="D39" s="186"/>
      <c r="E39" s="186"/>
      <c r="F39" s="186"/>
      <c r="G39" s="43"/>
      <c r="H39" s="182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3"/>
      <c r="J39" s="183"/>
      <c r="K39" s="183"/>
      <c r="L39" s="184"/>
      <c r="N39" s="46">
        <f t="shared" si="8"/>
        <v>45482</v>
      </c>
      <c r="O39" s="46">
        <f t="shared" si="11"/>
        <v>45574</v>
      </c>
      <c r="P39" s="46">
        <f t="shared" si="12"/>
        <v>45482</v>
      </c>
      <c r="Q39" s="46">
        <f t="shared" si="13"/>
        <v>45574</v>
      </c>
      <c r="R39" s="46">
        <f t="shared" si="3"/>
        <v>45577</v>
      </c>
      <c r="S39" s="47">
        <v>0</v>
      </c>
      <c r="T39" s="47">
        <v>0</v>
      </c>
      <c r="U39" s="47"/>
      <c r="W39" s="49">
        <v>41266</v>
      </c>
      <c r="X39" s="49">
        <v>41266</v>
      </c>
      <c r="Y39" s="49">
        <v>41266</v>
      </c>
      <c r="AD39" s="185"/>
      <c r="AE39" s="186"/>
      <c r="AF39" s="186"/>
      <c r="AG39" s="186"/>
      <c r="AH39" s="186"/>
      <c r="AJ39" s="179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0"/>
      <c r="AL39" s="180"/>
      <c r="AM39" s="180"/>
      <c r="AN39" s="181"/>
      <c r="AP39" s="46">
        <v>45482</v>
      </c>
      <c r="AQ39" s="46">
        <v>45574</v>
      </c>
      <c r="AR39" s="46">
        <v>45482</v>
      </c>
      <c r="AS39" s="46">
        <v>45574</v>
      </c>
      <c r="AT39" s="46">
        <f t="shared" si="4"/>
        <v>45577</v>
      </c>
      <c r="AU39" s="47">
        <v>0</v>
      </c>
      <c r="AV39" s="47">
        <v>0</v>
      </c>
      <c r="AW39" s="47">
        <v>8.0000000000000002E-3</v>
      </c>
      <c r="AY39" s="49">
        <v>41266</v>
      </c>
      <c r="AZ39" s="49">
        <v>41266</v>
      </c>
      <c r="BA39" s="49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N40" s="46">
        <f t="shared" si="8"/>
        <v>45574</v>
      </c>
      <c r="O40" s="46">
        <f t="shared" si="11"/>
        <v>45666</v>
      </c>
      <c r="P40" s="46">
        <f t="shared" si="12"/>
        <v>45574</v>
      </c>
      <c r="Q40" s="46">
        <f t="shared" si="13"/>
        <v>45666</v>
      </c>
      <c r="R40" s="46">
        <f t="shared" si="3"/>
        <v>45669</v>
      </c>
      <c r="S40" s="47">
        <v>0</v>
      </c>
      <c r="T40" s="47">
        <v>0</v>
      </c>
      <c r="U40" s="47"/>
      <c r="W40" s="49">
        <v>41268</v>
      </c>
      <c r="X40" s="49">
        <v>41268</v>
      </c>
      <c r="Y40" s="49">
        <v>41268</v>
      </c>
      <c r="AP40" s="46">
        <v>45574</v>
      </c>
      <c r="AQ40" s="46">
        <v>45666</v>
      </c>
      <c r="AR40" s="46">
        <v>45574</v>
      </c>
      <c r="AS40" s="46">
        <v>45666</v>
      </c>
      <c r="AT40" s="46">
        <f t="shared" si="4"/>
        <v>45669</v>
      </c>
      <c r="AU40" s="47">
        <v>0</v>
      </c>
      <c r="AV40" s="47">
        <v>0</v>
      </c>
      <c r="AW40" s="47">
        <v>8.0000000000000002E-3</v>
      </c>
      <c r="AY40" s="49">
        <v>41268</v>
      </c>
      <c r="AZ40" s="49">
        <v>41268</v>
      </c>
      <c r="BA40" s="49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6">
        <f t="shared" si="8"/>
        <v>45666</v>
      </c>
      <c r="O41" s="46">
        <f t="shared" ref="O41:O52" si="14">EDATE(N41,3)</f>
        <v>45756</v>
      </c>
      <c r="P41" s="46">
        <f t="shared" ref="P41:P52" si="15">N41</f>
        <v>45666</v>
      </c>
      <c r="Q41" s="46">
        <f t="shared" ref="Q41:Q52" si="16">O41</f>
        <v>45756</v>
      </c>
      <c r="R41" s="46">
        <f t="shared" si="3"/>
        <v>45759</v>
      </c>
      <c r="S41" s="47">
        <v>0</v>
      </c>
      <c r="T41" s="47">
        <v>0</v>
      </c>
      <c r="U41" s="47"/>
      <c r="W41" s="49">
        <v>41272</v>
      </c>
      <c r="X41" s="49">
        <v>41272</v>
      </c>
      <c r="Y41" s="49">
        <v>41272</v>
      </c>
      <c r="AP41" s="46">
        <v>45666</v>
      </c>
      <c r="AQ41" s="46">
        <v>45756</v>
      </c>
      <c r="AR41" s="46">
        <v>45666</v>
      </c>
      <c r="AS41" s="46">
        <v>45756</v>
      </c>
      <c r="AT41" s="46">
        <f t="shared" si="4"/>
        <v>45759</v>
      </c>
      <c r="AU41" s="47">
        <v>0</v>
      </c>
      <c r="AV41" s="47">
        <v>0</v>
      </c>
      <c r="AW41" s="47">
        <v>8.0000000000000002E-3</v>
      </c>
      <c r="AY41" s="49">
        <v>41272</v>
      </c>
      <c r="AZ41" s="49">
        <v>41272</v>
      </c>
      <c r="BA41" s="49">
        <v>41272</v>
      </c>
    </row>
    <row r="42" spans="1:53" ht="16.2" customHeight="1" x14ac:dyDescent="0.4">
      <c r="A42" s="42">
        <f t="shared" si="1"/>
        <v>42</v>
      </c>
      <c r="B42" s="99" t="s">
        <v>89</v>
      </c>
      <c r="C42" s="99"/>
      <c r="D42" s="99"/>
      <c r="E42" s="99"/>
      <c r="F42" s="99"/>
      <c r="G42" s="99"/>
      <c r="H42" s="99"/>
      <c r="I42" s="99"/>
      <c r="J42" s="99"/>
      <c r="K42" s="99"/>
      <c r="L42" s="99"/>
      <c r="N42" s="46">
        <f t="shared" si="8"/>
        <v>45756</v>
      </c>
      <c r="O42" s="46">
        <f t="shared" si="14"/>
        <v>45847</v>
      </c>
      <c r="P42" s="46">
        <f t="shared" si="15"/>
        <v>45756</v>
      </c>
      <c r="Q42" s="46">
        <f t="shared" si="16"/>
        <v>45847</v>
      </c>
      <c r="R42" s="46">
        <f t="shared" si="3"/>
        <v>45850</v>
      </c>
      <c r="S42" s="47">
        <v>0</v>
      </c>
      <c r="T42" s="47">
        <v>0</v>
      </c>
      <c r="U42" s="47"/>
      <c r="W42" s="49">
        <v>41273</v>
      </c>
      <c r="X42" s="49">
        <v>41273</v>
      </c>
      <c r="Y42" s="49">
        <v>41273</v>
      </c>
      <c r="AP42" s="46">
        <v>45756</v>
      </c>
      <c r="AQ42" s="46">
        <v>45847</v>
      </c>
      <c r="AR42" s="46">
        <v>45756</v>
      </c>
      <c r="AS42" s="46">
        <v>45847</v>
      </c>
      <c r="AT42" s="46">
        <f t="shared" si="4"/>
        <v>45850</v>
      </c>
      <c r="AU42" s="47">
        <v>0</v>
      </c>
      <c r="AV42" s="47">
        <v>0</v>
      </c>
      <c r="AW42" s="47">
        <v>8.0000000000000002E-3</v>
      </c>
      <c r="AY42" s="49">
        <v>41273</v>
      </c>
      <c r="AZ42" s="49">
        <v>41273</v>
      </c>
      <c r="BA42" s="49">
        <v>41273</v>
      </c>
    </row>
    <row r="43" spans="1:53" ht="16.2" customHeight="1" x14ac:dyDescent="0.4">
      <c r="A43" s="42">
        <f t="shared" si="1"/>
        <v>43</v>
      </c>
      <c r="B43" s="66" t="s">
        <v>78</v>
      </c>
      <c r="C43" s="66" t="s">
        <v>90</v>
      </c>
      <c r="D43" s="66" t="s">
        <v>79</v>
      </c>
      <c r="E43" s="66" t="s">
        <v>80</v>
      </c>
      <c r="F43" s="66" t="s">
        <v>81</v>
      </c>
      <c r="G43" s="66" t="s">
        <v>82</v>
      </c>
      <c r="H43" s="66" t="s">
        <v>83</v>
      </c>
      <c r="I43" s="66" t="s">
        <v>87</v>
      </c>
      <c r="J43" s="66" t="s">
        <v>84</v>
      </c>
      <c r="K43" s="66" t="s">
        <v>85</v>
      </c>
      <c r="L43" s="66" t="s">
        <v>86</v>
      </c>
      <c r="N43" s="46">
        <f t="shared" si="8"/>
        <v>45847</v>
      </c>
      <c r="O43" s="46">
        <f t="shared" si="14"/>
        <v>45939</v>
      </c>
      <c r="P43" s="46">
        <f t="shared" si="15"/>
        <v>45847</v>
      </c>
      <c r="Q43" s="46">
        <f t="shared" si="16"/>
        <v>45939</v>
      </c>
      <c r="R43" s="46">
        <f t="shared" si="3"/>
        <v>45942</v>
      </c>
      <c r="S43" s="47">
        <v>0</v>
      </c>
      <c r="T43" s="47">
        <v>0</v>
      </c>
      <c r="U43" s="47"/>
      <c r="W43" s="49">
        <v>41275</v>
      </c>
      <c r="X43" s="49">
        <v>41275</v>
      </c>
      <c r="Y43" s="49">
        <v>41275</v>
      </c>
      <c r="AP43" s="46">
        <v>45847</v>
      </c>
      <c r="AQ43" s="46">
        <v>45939</v>
      </c>
      <c r="AR43" s="46">
        <v>45847</v>
      </c>
      <c r="AS43" s="46">
        <v>45939</v>
      </c>
      <c r="AT43" s="46">
        <f t="shared" si="4"/>
        <v>45942</v>
      </c>
      <c r="AU43" s="47">
        <v>0</v>
      </c>
      <c r="AV43" s="47">
        <v>0</v>
      </c>
      <c r="AW43" s="47">
        <v>8.0000000000000002E-3</v>
      </c>
      <c r="AY43" s="49">
        <v>41275</v>
      </c>
      <c r="AZ43" s="49">
        <v>41275</v>
      </c>
      <c r="BA43" s="49">
        <v>41275</v>
      </c>
    </row>
    <row r="44" spans="1:53" ht="16.2" customHeight="1" x14ac:dyDescent="0.4">
      <c r="A44" s="42">
        <f t="shared" si="1"/>
        <v>44</v>
      </c>
      <c r="B44" s="46">
        <f>R13-15</f>
        <v>43187</v>
      </c>
      <c r="C44" s="67">
        <v>1</v>
      </c>
      <c r="D44" s="47">
        <v>1</v>
      </c>
      <c r="E44" s="47">
        <v>-0.1</v>
      </c>
      <c r="F44" s="47">
        <v>1</v>
      </c>
      <c r="G44" s="47">
        <v>-0.1</v>
      </c>
      <c r="H44" s="47">
        <v>1</v>
      </c>
      <c r="I44" s="47">
        <v>-0.1</v>
      </c>
      <c r="J44" s="68">
        <v>2</v>
      </c>
      <c r="K44" s="50">
        <v>1</v>
      </c>
      <c r="L44" s="50">
        <f>COUNT(B44:B1048576)</f>
        <v>40</v>
      </c>
      <c r="N44" s="46">
        <f t="shared" si="8"/>
        <v>45939</v>
      </c>
      <c r="O44" s="46">
        <f t="shared" si="14"/>
        <v>46031</v>
      </c>
      <c r="P44" s="46">
        <f t="shared" si="15"/>
        <v>45939</v>
      </c>
      <c r="Q44" s="46">
        <f t="shared" si="16"/>
        <v>46031</v>
      </c>
      <c r="R44" s="46">
        <f t="shared" si="3"/>
        <v>46034</v>
      </c>
      <c r="S44" s="47">
        <v>0</v>
      </c>
      <c r="T44" s="47">
        <v>0</v>
      </c>
      <c r="U44" s="47"/>
      <c r="W44" s="49">
        <v>41279</v>
      </c>
      <c r="X44" s="49">
        <v>41279</v>
      </c>
      <c r="Y44" s="49">
        <v>41279</v>
      </c>
      <c r="AD44" s="69"/>
      <c r="AE44" s="69"/>
      <c r="AF44" s="69"/>
      <c r="AG44" s="69"/>
      <c r="AH44" s="69"/>
      <c r="AI44" s="69"/>
      <c r="AJ44" s="69"/>
      <c r="AK44" s="69"/>
      <c r="AL44" s="69"/>
      <c r="AP44" s="46">
        <v>45939</v>
      </c>
      <c r="AQ44" s="46">
        <v>46031</v>
      </c>
      <c r="AR44" s="46">
        <v>45939</v>
      </c>
      <c r="AS44" s="46">
        <v>46031</v>
      </c>
      <c r="AT44" s="46">
        <f t="shared" si="4"/>
        <v>46034</v>
      </c>
      <c r="AU44" s="47">
        <v>0</v>
      </c>
      <c r="AV44" s="47">
        <v>0</v>
      </c>
      <c r="AW44" s="47">
        <v>8.0000000000000002E-3</v>
      </c>
      <c r="AY44" s="49">
        <v>41279</v>
      </c>
      <c r="AZ44" s="49">
        <v>41279</v>
      </c>
      <c r="BA44" s="49">
        <v>41279</v>
      </c>
    </row>
    <row r="45" spans="1:53" ht="16.2" customHeight="1" x14ac:dyDescent="0.4">
      <c r="A45" s="42">
        <f t="shared" si="1"/>
        <v>45</v>
      </c>
      <c r="B45" s="46">
        <f t="shared" ref="B45:B83" si="17">R14-15</f>
        <v>43278</v>
      </c>
      <c r="C45" s="67">
        <v>1</v>
      </c>
      <c r="D45" s="47">
        <v>1</v>
      </c>
      <c r="E45" s="47">
        <v>-0.1</v>
      </c>
      <c r="F45" s="47">
        <v>1</v>
      </c>
      <c r="G45" s="47">
        <v>-0.1</v>
      </c>
      <c r="H45" s="47">
        <v>1</v>
      </c>
      <c r="I45" s="47">
        <v>-0.1</v>
      </c>
      <c r="N45" s="46">
        <f t="shared" si="8"/>
        <v>46031</v>
      </c>
      <c r="O45" s="46">
        <f t="shared" si="14"/>
        <v>46121</v>
      </c>
      <c r="P45" s="46">
        <f t="shared" si="15"/>
        <v>46031</v>
      </c>
      <c r="Q45" s="46">
        <f t="shared" si="16"/>
        <v>46121</v>
      </c>
      <c r="R45" s="46">
        <f t="shared" si="3"/>
        <v>46124</v>
      </c>
      <c r="S45" s="47">
        <v>0</v>
      </c>
      <c r="T45" s="47">
        <v>0</v>
      </c>
      <c r="U45" s="47"/>
      <c r="W45" s="49">
        <v>41280</v>
      </c>
      <c r="X45" s="49">
        <v>41280</v>
      </c>
      <c r="Y45" s="49">
        <v>41280</v>
      </c>
      <c r="AP45" s="46">
        <v>46031</v>
      </c>
      <c r="AQ45" s="46">
        <v>46121</v>
      </c>
      <c r="AR45" s="46">
        <v>46031</v>
      </c>
      <c r="AS45" s="46">
        <v>46121</v>
      </c>
      <c r="AT45" s="46">
        <f t="shared" si="4"/>
        <v>46124</v>
      </c>
      <c r="AU45" s="47">
        <v>0</v>
      </c>
      <c r="AV45" s="47">
        <v>0</v>
      </c>
      <c r="AW45" s="47">
        <v>8.0000000000000002E-3</v>
      </c>
      <c r="AY45" s="49">
        <v>41280</v>
      </c>
      <c r="AZ45" s="49">
        <v>41280</v>
      </c>
      <c r="BA45" s="49">
        <v>41280</v>
      </c>
    </row>
    <row r="46" spans="1:53" ht="16.2" customHeight="1" x14ac:dyDescent="0.4">
      <c r="A46" s="42">
        <f t="shared" si="1"/>
        <v>46</v>
      </c>
      <c r="B46" s="46">
        <f t="shared" si="17"/>
        <v>43370</v>
      </c>
      <c r="C46" s="67">
        <v>1</v>
      </c>
      <c r="D46" s="47">
        <v>1</v>
      </c>
      <c r="E46" s="47">
        <v>-0.1</v>
      </c>
      <c r="F46" s="47">
        <v>1</v>
      </c>
      <c r="G46" s="47">
        <v>-0.1</v>
      </c>
      <c r="H46" s="47">
        <v>1</v>
      </c>
      <c r="I46" s="47">
        <v>-0.1</v>
      </c>
      <c r="N46" s="46">
        <f t="shared" si="8"/>
        <v>46121</v>
      </c>
      <c r="O46" s="46">
        <f t="shared" si="14"/>
        <v>46212</v>
      </c>
      <c r="P46" s="46">
        <f t="shared" si="15"/>
        <v>46121</v>
      </c>
      <c r="Q46" s="46">
        <f t="shared" si="16"/>
        <v>46212</v>
      </c>
      <c r="R46" s="46">
        <f t="shared" si="3"/>
        <v>46215</v>
      </c>
      <c r="S46" s="47">
        <v>0</v>
      </c>
      <c r="T46" s="47">
        <v>0</v>
      </c>
      <c r="U46" s="47"/>
      <c r="W46" s="49">
        <v>41286</v>
      </c>
      <c r="X46" s="49">
        <v>41286</v>
      </c>
      <c r="Y46" s="49">
        <v>41286</v>
      </c>
      <c r="AP46" s="51">
        <v>46121</v>
      </c>
      <c r="AQ46" s="51">
        <v>46212</v>
      </c>
      <c r="AR46" s="52">
        <v>46121</v>
      </c>
      <c r="AS46" s="52">
        <v>46212</v>
      </c>
      <c r="AT46" s="46">
        <f t="shared" si="4"/>
        <v>46215</v>
      </c>
      <c r="AU46" s="53">
        <v>0</v>
      </c>
      <c r="AV46" s="47">
        <v>0</v>
      </c>
      <c r="AW46" s="47">
        <v>8.0000000000000002E-3</v>
      </c>
      <c r="AY46" s="49">
        <v>41286</v>
      </c>
      <c r="AZ46" s="49">
        <v>41286</v>
      </c>
      <c r="BA46" s="49">
        <v>41286</v>
      </c>
    </row>
    <row r="47" spans="1:53" ht="16.2" customHeight="1" x14ac:dyDescent="0.4">
      <c r="A47" s="42">
        <f t="shared" si="1"/>
        <v>47</v>
      </c>
      <c r="B47" s="46">
        <f t="shared" si="17"/>
        <v>43462</v>
      </c>
      <c r="C47" s="67">
        <v>1</v>
      </c>
      <c r="D47" s="47">
        <v>1</v>
      </c>
      <c r="E47" s="47">
        <v>-0.1</v>
      </c>
      <c r="F47" s="47">
        <v>1</v>
      </c>
      <c r="G47" s="47">
        <v>-0.1</v>
      </c>
      <c r="H47" s="47">
        <v>1</v>
      </c>
      <c r="I47" s="47">
        <v>-0.1</v>
      </c>
      <c r="N47" s="46">
        <f t="shared" si="8"/>
        <v>46212</v>
      </c>
      <c r="O47" s="46">
        <f t="shared" si="14"/>
        <v>46304</v>
      </c>
      <c r="P47" s="46">
        <f t="shared" si="15"/>
        <v>46212</v>
      </c>
      <c r="Q47" s="46">
        <f t="shared" si="16"/>
        <v>46304</v>
      </c>
      <c r="R47" s="46">
        <f t="shared" si="3"/>
        <v>46307</v>
      </c>
      <c r="S47" s="47">
        <v>0</v>
      </c>
      <c r="T47" s="47">
        <v>0</v>
      </c>
      <c r="U47" s="47"/>
      <c r="W47" s="49">
        <v>41287</v>
      </c>
      <c r="X47" s="49">
        <v>41287</v>
      </c>
      <c r="Y47" s="49">
        <v>41287</v>
      </c>
      <c r="AP47" s="51">
        <v>46212</v>
      </c>
      <c r="AQ47" s="51">
        <v>46304</v>
      </c>
      <c r="AR47" s="52">
        <v>46212</v>
      </c>
      <c r="AS47" s="52">
        <v>46304</v>
      </c>
      <c r="AT47" s="46">
        <f t="shared" si="4"/>
        <v>46307</v>
      </c>
      <c r="AU47" s="53">
        <v>0</v>
      </c>
      <c r="AV47" s="47">
        <v>0</v>
      </c>
      <c r="AW47" s="47">
        <v>8.0000000000000002E-3</v>
      </c>
      <c r="AY47" s="49">
        <v>41287</v>
      </c>
      <c r="AZ47" s="49">
        <v>41287</v>
      </c>
      <c r="BA47" s="49">
        <v>41287</v>
      </c>
    </row>
    <row r="48" spans="1:53" ht="16.2" customHeight="1" x14ac:dyDescent="0.4">
      <c r="A48" s="42">
        <f t="shared" si="1"/>
        <v>48</v>
      </c>
      <c r="B48" s="46">
        <f t="shared" si="17"/>
        <v>43552</v>
      </c>
      <c r="C48" s="67">
        <v>1</v>
      </c>
      <c r="D48" s="47">
        <v>1</v>
      </c>
      <c r="E48" s="47">
        <v>-0.1</v>
      </c>
      <c r="F48" s="47">
        <v>1</v>
      </c>
      <c r="G48" s="47">
        <v>-0.1</v>
      </c>
      <c r="H48" s="47">
        <v>1</v>
      </c>
      <c r="I48" s="47">
        <v>-0.1</v>
      </c>
      <c r="N48" s="46">
        <f t="shared" si="8"/>
        <v>46304</v>
      </c>
      <c r="O48" s="46">
        <f t="shared" si="14"/>
        <v>46396</v>
      </c>
      <c r="P48" s="46">
        <f t="shared" si="15"/>
        <v>46304</v>
      </c>
      <c r="Q48" s="46">
        <f t="shared" si="16"/>
        <v>46396</v>
      </c>
      <c r="R48" s="46">
        <f t="shared" si="3"/>
        <v>46399</v>
      </c>
      <c r="S48" s="47">
        <v>0</v>
      </c>
      <c r="T48" s="47">
        <v>0</v>
      </c>
      <c r="U48" s="47"/>
      <c r="W48" s="49">
        <v>41293</v>
      </c>
      <c r="X48" s="49">
        <v>41293</v>
      </c>
      <c r="Y48" s="49">
        <v>41293</v>
      </c>
      <c r="AP48" s="51">
        <v>46304</v>
      </c>
      <c r="AQ48" s="51">
        <v>46396</v>
      </c>
      <c r="AR48" s="52">
        <v>46304</v>
      </c>
      <c r="AS48" s="52">
        <v>46396</v>
      </c>
      <c r="AT48" s="46">
        <f t="shared" si="4"/>
        <v>46399</v>
      </c>
      <c r="AU48" s="53">
        <v>0</v>
      </c>
      <c r="AV48" s="47">
        <v>0</v>
      </c>
      <c r="AW48" s="47">
        <v>8.0000000000000002E-3</v>
      </c>
      <c r="AY48" s="49">
        <v>41293</v>
      </c>
      <c r="AZ48" s="49">
        <v>41293</v>
      </c>
      <c r="BA48" s="49">
        <v>41293</v>
      </c>
    </row>
    <row r="49" spans="1:53" ht="16.2" customHeight="1" x14ac:dyDescent="0.4">
      <c r="A49" s="42">
        <f t="shared" si="1"/>
        <v>49</v>
      </c>
      <c r="B49" s="46">
        <f t="shared" si="17"/>
        <v>43643</v>
      </c>
      <c r="C49" s="67">
        <v>1</v>
      </c>
      <c r="D49" s="47">
        <v>1</v>
      </c>
      <c r="E49" s="47">
        <v>-0.1</v>
      </c>
      <c r="F49" s="47">
        <v>1</v>
      </c>
      <c r="G49" s="47">
        <v>-0.1</v>
      </c>
      <c r="H49" s="47">
        <v>1</v>
      </c>
      <c r="I49" s="47">
        <v>-0.1</v>
      </c>
      <c r="N49" s="46">
        <f t="shared" si="8"/>
        <v>46396</v>
      </c>
      <c r="O49" s="46">
        <f t="shared" si="14"/>
        <v>46486</v>
      </c>
      <c r="P49" s="46">
        <f t="shared" si="15"/>
        <v>46396</v>
      </c>
      <c r="Q49" s="46">
        <f t="shared" si="16"/>
        <v>46486</v>
      </c>
      <c r="R49" s="46">
        <f t="shared" si="3"/>
        <v>46489</v>
      </c>
      <c r="S49" s="47">
        <v>0</v>
      </c>
      <c r="T49" s="47">
        <v>0</v>
      </c>
      <c r="U49" s="47"/>
      <c r="W49" s="49">
        <v>41294</v>
      </c>
      <c r="X49" s="49">
        <v>41294</v>
      </c>
      <c r="Y49" s="49">
        <v>41294</v>
      </c>
      <c r="AP49" s="51">
        <v>46396</v>
      </c>
      <c r="AQ49" s="51">
        <v>46486</v>
      </c>
      <c r="AR49" s="52">
        <v>46396</v>
      </c>
      <c r="AS49" s="52">
        <v>46486</v>
      </c>
      <c r="AT49" s="46">
        <f t="shared" si="4"/>
        <v>46489</v>
      </c>
      <c r="AU49" s="53">
        <v>0</v>
      </c>
      <c r="AV49" s="47">
        <v>0</v>
      </c>
      <c r="AW49" s="47">
        <v>8.0000000000000002E-3</v>
      </c>
      <c r="AY49" s="49">
        <v>41294</v>
      </c>
      <c r="AZ49" s="49">
        <v>41294</v>
      </c>
      <c r="BA49" s="49">
        <v>41294</v>
      </c>
    </row>
    <row r="50" spans="1:53" ht="16.2" customHeight="1" x14ac:dyDescent="0.4">
      <c r="A50" s="42">
        <f t="shared" si="1"/>
        <v>50</v>
      </c>
      <c r="B50" s="46">
        <f t="shared" si="17"/>
        <v>43735</v>
      </c>
      <c r="C50" s="67">
        <v>1</v>
      </c>
      <c r="D50" s="47">
        <v>1</v>
      </c>
      <c r="E50" s="47">
        <v>-0.1</v>
      </c>
      <c r="F50" s="47">
        <v>1</v>
      </c>
      <c r="G50" s="47">
        <v>-0.1</v>
      </c>
      <c r="H50" s="47">
        <v>1</v>
      </c>
      <c r="I50" s="47">
        <v>-0.1</v>
      </c>
      <c r="N50" s="46">
        <f t="shared" si="8"/>
        <v>46486</v>
      </c>
      <c r="O50" s="46">
        <f t="shared" si="14"/>
        <v>46577</v>
      </c>
      <c r="P50" s="46">
        <f t="shared" si="15"/>
        <v>46486</v>
      </c>
      <c r="Q50" s="46">
        <f t="shared" si="16"/>
        <v>46577</v>
      </c>
      <c r="R50" s="46">
        <f t="shared" si="3"/>
        <v>46580</v>
      </c>
      <c r="S50" s="47">
        <v>0</v>
      </c>
      <c r="T50" s="47">
        <v>0</v>
      </c>
      <c r="U50" s="47"/>
      <c r="W50" s="49">
        <v>41300</v>
      </c>
      <c r="X50" s="49">
        <v>41300</v>
      </c>
      <c r="Y50" s="49">
        <v>41300</v>
      </c>
      <c r="AP50" s="51">
        <v>46486</v>
      </c>
      <c r="AQ50" s="51">
        <v>46577</v>
      </c>
      <c r="AR50" s="52">
        <v>46486</v>
      </c>
      <c r="AS50" s="52">
        <v>46577</v>
      </c>
      <c r="AT50" s="46">
        <f t="shared" si="4"/>
        <v>46580</v>
      </c>
      <c r="AU50" s="53">
        <v>0</v>
      </c>
      <c r="AV50" s="47">
        <v>0</v>
      </c>
      <c r="AW50" s="47">
        <v>8.0000000000000002E-3</v>
      </c>
      <c r="AY50" s="49">
        <v>41300</v>
      </c>
      <c r="AZ50" s="49">
        <v>41300</v>
      </c>
      <c r="BA50" s="49">
        <v>41300</v>
      </c>
    </row>
    <row r="51" spans="1:53" ht="16.2" customHeight="1" x14ac:dyDescent="0.4">
      <c r="A51" s="42">
        <f t="shared" si="1"/>
        <v>51</v>
      </c>
      <c r="B51" s="46">
        <f t="shared" si="17"/>
        <v>43827</v>
      </c>
      <c r="C51" s="67">
        <v>1</v>
      </c>
      <c r="D51" s="47">
        <v>1</v>
      </c>
      <c r="E51" s="47">
        <v>-0.1</v>
      </c>
      <c r="F51" s="47">
        <v>1</v>
      </c>
      <c r="G51" s="47">
        <v>-0.1</v>
      </c>
      <c r="H51" s="47">
        <v>1</v>
      </c>
      <c r="I51" s="47">
        <v>-0.1</v>
      </c>
      <c r="N51" s="46">
        <f t="shared" si="8"/>
        <v>46577</v>
      </c>
      <c r="O51" s="46">
        <f t="shared" si="14"/>
        <v>46669</v>
      </c>
      <c r="P51" s="46">
        <f t="shared" si="15"/>
        <v>46577</v>
      </c>
      <c r="Q51" s="46">
        <f t="shared" si="16"/>
        <v>46669</v>
      </c>
      <c r="R51" s="46">
        <f t="shared" si="3"/>
        <v>46672</v>
      </c>
      <c r="S51" s="47">
        <v>0</v>
      </c>
      <c r="T51" s="47">
        <v>0</v>
      </c>
      <c r="U51" s="47"/>
      <c r="W51" s="49">
        <v>41301</v>
      </c>
      <c r="X51" s="49">
        <v>41301</v>
      </c>
      <c r="Y51" s="49">
        <v>41301</v>
      </c>
      <c r="AP51" s="51">
        <v>46577</v>
      </c>
      <c r="AQ51" s="51">
        <v>46669</v>
      </c>
      <c r="AR51" s="52">
        <v>46577</v>
      </c>
      <c r="AS51" s="52">
        <v>46669</v>
      </c>
      <c r="AT51" s="46">
        <f t="shared" si="4"/>
        <v>46672</v>
      </c>
      <c r="AU51" s="53">
        <v>0</v>
      </c>
      <c r="AV51" s="47">
        <v>0</v>
      </c>
      <c r="AW51" s="47">
        <v>8.0000000000000002E-3</v>
      </c>
      <c r="AY51" s="49">
        <v>41301</v>
      </c>
      <c r="AZ51" s="49">
        <v>41301</v>
      </c>
      <c r="BA51" s="49">
        <v>41301</v>
      </c>
    </row>
    <row r="52" spans="1:53" ht="16.2" customHeight="1" x14ac:dyDescent="0.4">
      <c r="A52" s="42">
        <f t="shared" si="1"/>
        <v>52</v>
      </c>
      <c r="B52" s="46">
        <f t="shared" si="17"/>
        <v>43918</v>
      </c>
      <c r="C52" s="67">
        <v>1</v>
      </c>
      <c r="D52" s="47">
        <v>1</v>
      </c>
      <c r="E52" s="47">
        <v>-0.1</v>
      </c>
      <c r="F52" s="47">
        <v>1</v>
      </c>
      <c r="G52" s="47">
        <v>-0.1</v>
      </c>
      <c r="H52" s="47">
        <v>1</v>
      </c>
      <c r="I52" s="47">
        <v>-0.1</v>
      </c>
      <c r="N52" s="46">
        <f t="shared" si="8"/>
        <v>46669</v>
      </c>
      <c r="O52" s="46">
        <f t="shared" si="14"/>
        <v>46761</v>
      </c>
      <c r="P52" s="46">
        <f t="shared" si="15"/>
        <v>46669</v>
      </c>
      <c r="Q52" s="46">
        <f t="shared" si="16"/>
        <v>46761</v>
      </c>
      <c r="R52" s="46">
        <f t="shared" si="3"/>
        <v>46764</v>
      </c>
      <c r="S52" s="47">
        <v>0</v>
      </c>
      <c r="T52" s="47">
        <v>0</v>
      </c>
      <c r="U52" s="47"/>
      <c r="W52" s="49">
        <v>41307</v>
      </c>
      <c r="X52" s="49">
        <v>41307</v>
      </c>
      <c r="Y52" s="49">
        <v>41307</v>
      </c>
      <c r="AP52" s="51">
        <v>46669</v>
      </c>
      <c r="AQ52" s="51">
        <v>46761</v>
      </c>
      <c r="AR52" s="52">
        <v>46669</v>
      </c>
      <c r="AS52" s="52">
        <v>46761</v>
      </c>
      <c r="AT52" s="46">
        <f t="shared" si="4"/>
        <v>46764</v>
      </c>
      <c r="AU52" s="53">
        <v>0</v>
      </c>
      <c r="AV52" s="47">
        <v>0</v>
      </c>
      <c r="AW52" s="47">
        <v>8.0000000000000002E-3</v>
      </c>
      <c r="AY52" s="49">
        <v>41307</v>
      </c>
      <c r="AZ52" s="49">
        <v>41307</v>
      </c>
      <c r="BA52" s="49">
        <v>41307</v>
      </c>
    </row>
    <row r="53" spans="1:53" ht="16.2" customHeight="1" x14ac:dyDescent="0.4">
      <c r="A53" s="42">
        <f t="shared" si="1"/>
        <v>53</v>
      </c>
      <c r="B53" s="46">
        <f t="shared" si="17"/>
        <v>44009</v>
      </c>
      <c r="C53" s="67">
        <v>1</v>
      </c>
      <c r="D53" s="47">
        <v>1</v>
      </c>
      <c r="E53" s="47">
        <v>-0.1</v>
      </c>
      <c r="F53" s="47">
        <v>1</v>
      </c>
      <c r="G53" s="47">
        <v>-0.1</v>
      </c>
      <c r="H53" s="47">
        <v>1</v>
      </c>
      <c r="I53" s="47">
        <v>-0.1</v>
      </c>
      <c r="N53" s="46"/>
      <c r="O53" s="46"/>
      <c r="P53" s="46"/>
      <c r="Q53" s="46"/>
      <c r="R53" s="46"/>
      <c r="S53" s="47"/>
      <c r="T53" s="47"/>
      <c r="W53" s="49">
        <v>41308</v>
      </c>
      <c r="X53" s="49">
        <v>41308</v>
      </c>
      <c r="Y53" s="49">
        <v>41308</v>
      </c>
      <c r="AY53" s="49">
        <v>41308</v>
      </c>
      <c r="AZ53" s="49">
        <v>41308</v>
      </c>
      <c r="BA53" s="49">
        <v>41308</v>
      </c>
    </row>
    <row r="54" spans="1:53" ht="16.2" customHeight="1" x14ac:dyDescent="0.4">
      <c r="A54" s="42">
        <f t="shared" si="1"/>
        <v>54</v>
      </c>
      <c r="B54" s="46">
        <f t="shared" si="17"/>
        <v>44101</v>
      </c>
      <c r="C54" s="67">
        <v>1</v>
      </c>
      <c r="D54" s="47">
        <v>1</v>
      </c>
      <c r="E54" s="47">
        <v>-0.1</v>
      </c>
      <c r="F54" s="47">
        <v>1</v>
      </c>
      <c r="G54" s="47">
        <v>-0.1</v>
      </c>
      <c r="H54" s="47">
        <v>1</v>
      </c>
      <c r="I54" s="47">
        <v>-0.1</v>
      </c>
      <c r="W54" s="49">
        <v>41315</v>
      </c>
      <c r="X54" s="49">
        <v>41315</v>
      </c>
      <c r="Y54" s="49">
        <v>41315</v>
      </c>
      <c r="AY54" s="49">
        <v>41315</v>
      </c>
      <c r="AZ54" s="49">
        <v>41315</v>
      </c>
      <c r="BA54" s="49">
        <v>41315</v>
      </c>
    </row>
    <row r="55" spans="1:53" ht="16.2" customHeight="1" x14ac:dyDescent="0.4">
      <c r="A55" s="42">
        <f t="shared" si="1"/>
        <v>55</v>
      </c>
      <c r="B55" s="46">
        <f t="shared" si="17"/>
        <v>44193</v>
      </c>
      <c r="C55" s="67">
        <v>1</v>
      </c>
      <c r="D55" s="47">
        <v>1</v>
      </c>
      <c r="E55" s="47">
        <v>-0.1</v>
      </c>
      <c r="F55" s="47">
        <v>1</v>
      </c>
      <c r="G55" s="47">
        <v>-0.1</v>
      </c>
      <c r="H55" s="47">
        <v>1</v>
      </c>
      <c r="I55" s="47">
        <v>-0.1</v>
      </c>
      <c r="W55" s="49">
        <v>41316</v>
      </c>
      <c r="X55" s="49">
        <v>41316</v>
      </c>
      <c r="Y55" s="49">
        <v>41316</v>
      </c>
      <c r="AY55" s="49">
        <v>41316</v>
      </c>
      <c r="AZ55" s="49">
        <v>41316</v>
      </c>
      <c r="BA55" s="49">
        <v>41316</v>
      </c>
    </row>
    <row r="56" spans="1:53" ht="16.2" customHeight="1" x14ac:dyDescent="0.4">
      <c r="A56" s="42">
        <f t="shared" si="1"/>
        <v>56</v>
      </c>
      <c r="B56" s="46">
        <f t="shared" si="17"/>
        <v>44283</v>
      </c>
      <c r="C56" s="67">
        <v>1</v>
      </c>
      <c r="D56" s="47">
        <v>1</v>
      </c>
      <c r="E56" s="47">
        <v>-0.1</v>
      </c>
      <c r="F56" s="47">
        <v>1</v>
      </c>
      <c r="G56" s="47">
        <v>-0.1</v>
      </c>
      <c r="H56" s="47">
        <v>1</v>
      </c>
      <c r="I56" s="47">
        <v>-0.1</v>
      </c>
      <c r="W56" s="49">
        <v>41321</v>
      </c>
      <c r="X56" s="49">
        <v>41321</v>
      </c>
      <c r="Y56" s="49">
        <v>41321</v>
      </c>
      <c r="AY56" s="49">
        <v>41321</v>
      </c>
      <c r="AZ56" s="49">
        <v>41321</v>
      </c>
      <c r="BA56" s="49">
        <v>41321</v>
      </c>
    </row>
    <row r="57" spans="1:53" ht="16.2" customHeight="1" x14ac:dyDescent="0.4">
      <c r="A57" s="42">
        <f t="shared" si="1"/>
        <v>57</v>
      </c>
      <c r="B57" s="46">
        <f t="shared" si="17"/>
        <v>44374</v>
      </c>
      <c r="C57" s="67">
        <v>1</v>
      </c>
      <c r="D57" s="47">
        <v>1</v>
      </c>
      <c r="E57" s="47">
        <v>-0.1</v>
      </c>
      <c r="F57" s="47">
        <v>1</v>
      </c>
      <c r="G57" s="47">
        <v>-0.1</v>
      </c>
      <c r="H57" s="47">
        <v>1</v>
      </c>
      <c r="I57" s="47">
        <v>-0.1</v>
      </c>
      <c r="W57" s="49">
        <v>41322</v>
      </c>
      <c r="X57" s="49">
        <v>41322</v>
      </c>
      <c r="Y57" s="49">
        <v>41322</v>
      </c>
      <c r="AY57" s="49">
        <v>41322</v>
      </c>
      <c r="AZ57" s="49">
        <v>41322</v>
      </c>
      <c r="BA57" s="49">
        <v>41322</v>
      </c>
    </row>
    <row r="58" spans="1:53" ht="16.2" customHeight="1" x14ac:dyDescent="0.4">
      <c r="A58" s="42">
        <f t="shared" si="1"/>
        <v>58</v>
      </c>
      <c r="B58" s="46">
        <f t="shared" si="17"/>
        <v>44466</v>
      </c>
      <c r="C58" s="67">
        <v>1</v>
      </c>
      <c r="D58" s="47">
        <v>1</v>
      </c>
      <c r="E58" s="47">
        <v>-0.1</v>
      </c>
      <c r="F58" s="47">
        <v>1</v>
      </c>
      <c r="G58" s="47">
        <v>-0.1</v>
      </c>
      <c r="H58" s="47">
        <v>1</v>
      </c>
      <c r="I58" s="47">
        <v>-0.1</v>
      </c>
      <c r="W58" s="49">
        <v>41328</v>
      </c>
      <c r="X58" s="49">
        <v>41328</v>
      </c>
      <c r="Y58" s="49">
        <v>41328</v>
      </c>
      <c r="AY58" s="49">
        <v>41328</v>
      </c>
      <c r="AZ58" s="49">
        <v>41328</v>
      </c>
      <c r="BA58" s="49">
        <v>41328</v>
      </c>
    </row>
    <row r="59" spans="1:53" ht="16.2" customHeight="1" x14ac:dyDescent="0.4">
      <c r="A59" s="42">
        <f t="shared" si="1"/>
        <v>59</v>
      </c>
      <c r="B59" s="46">
        <f t="shared" si="17"/>
        <v>44558</v>
      </c>
      <c r="C59" s="67">
        <v>1</v>
      </c>
      <c r="D59" s="47">
        <v>1</v>
      </c>
      <c r="E59" s="47">
        <v>-0.1</v>
      </c>
      <c r="F59" s="47">
        <v>1</v>
      </c>
      <c r="G59" s="47">
        <v>-0.1</v>
      </c>
      <c r="H59" s="47">
        <v>1</v>
      </c>
      <c r="I59" s="47">
        <v>-0.1</v>
      </c>
      <c r="W59" s="49">
        <v>41329</v>
      </c>
      <c r="X59" s="49">
        <v>41329</v>
      </c>
      <c r="Y59" s="49">
        <v>41329</v>
      </c>
      <c r="AY59" s="49">
        <v>41329</v>
      </c>
      <c r="AZ59" s="49">
        <v>41329</v>
      </c>
      <c r="BA59" s="49">
        <v>41329</v>
      </c>
    </row>
    <row r="60" spans="1:53" ht="16.2" customHeight="1" x14ac:dyDescent="0.4">
      <c r="A60" s="42">
        <f t="shared" si="1"/>
        <v>60</v>
      </c>
      <c r="B60" s="46">
        <f t="shared" si="17"/>
        <v>44648</v>
      </c>
      <c r="C60" s="67">
        <v>1</v>
      </c>
      <c r="D60" s="47">
        <v>1</v>
      </c>
      <c r="E60" s="47">
        <v>-0.1</v>
      </c>
      <c r="F60" s="47">
        <v>1</v>
      </c>
      <c r="G60" s="47">
        <v>-0.1</v>
      </c>
      <c r="H60" s="47">
        <v>1</v>
      </c>
      <c r="I60" s="47">
        <v>-0.1</v>
      </c>
      <c r="W60" s="49">
        <v>41334</v>
      </c>
      <c r="X60" s="49">
        <v>41334</v>
      </c>
      <c r="Y60" s="49">
        <v>41334</v>
      </c>
      <c r="AY60" s="49">
        <v>41334</v>
      </c>
      <c r="AZ60" s="49">
        <v>41334</v>
      </c>
      <c r="BA60" s="49">
        <v>41334</v>
      </c>
    </row>
    <row r="61" spans="1:53" ht="16.2" customHeight="1" x14ac:dyDescent="0.4">
      <c r="A61" s="42">
        <f t="shared" si="1"/>
        <v>61</v>
      </c>
      <c r="B61" s="46">
        <f t="shared" si="17"/>
        <v>44739</v>
      </c>
      <c r="C61" s="67">
        <v>1</v>
      </c>
      <c r="D61" s="47">
        <v>1</v>
      </c>
      <c r="E61" s="47">
        <v>-0.1</v>
      </c>
      <c r="F61" s="47">
        <v>1</v>
      </c>
      <c r="G61" s="47">
        <v>-0.1</v>
      </c>
      <c r="H61" s="47">
        <v>1</v>
      </c>
      <c r="I61" s="47">
        <v>-0.1</v>
      </c>
      <c r="W61" s="49">
        <v>41335</v>
      </c>
      <c r="X61" s="49">
        <v>41335</v>
      </c>
      <c r="Y61" s="49">
        <v>41335</v>
      </c>
      <c r="AY61" s="49">
        <v>41335</v>
      </c>
      <c r="AZ61" s="49">
        <v>41335</v>
      </c>
      <c r="BA61" s="49">
        <v>41335</v>
      </c>
    </row>
    <row r="62" spans="1:53" ht="16.2" customHeight="1" x14ac:dyDescent="0.4">
      <c r="B62" s="46">
        <f t="shared" si="17"/>
        <v>44831</v>
      </c>
      <c r="C62" s="67">
        <v>1</v>
      </c>
      <c r="D62" s="47">
        <v>1</v>
      </c>
      <c r="E62" s="47">
        <v>-0.1</v>
      </c>
      <c r="F62" s="47">
        <v>1</v>
      </c>
      <c r="G62" s="47">
        <v>-0.1</v>
      </c>
      <c r="H62" s="47">
        <v>1</v>
      </c>
      <c r="I62" s="47">
        <v>-0.1</v>
      </c>
      <c r="W62" s="49">
        <v>41336</v>
      </c>
      <c r="X62" s="49">
        <v>41336</v>
      </c>
      <c r="Y62" s="49">
        <v>41336</v>
      </c>
      <c r="AY62" s="49">
        <v>41336</v>
      </c>
      <c r="AZ62" s="49">
        <v>41336</v>
      </c>
      <c r="BA62" s="49">
        <v>41336</v>
      </c>
    </row>
    <row r="63" spans="1:53" ht="16.2" customHeight="1" x14ac:dyDescent="0.4">
      <c r="B63" s="46">
        <f t="shared" si="17"/>
        <v>44923</v>
      </c>
      <c r="C63" s="67">
        <v>1</v>
      </c>
      <c r="D63" s="47">
        <v>1</v>
      </c>
      <c r="E63" s="47">
        <v>-0.1</v>
      </c>
      <c r="F63" s="47">
        <v>1</v>
      </c>
      <c r="G63" s="47">
        <v>-0.1</v>
      </c>
      <c r="H63" s="47">
        <v>1</v>
      </c>
      <c r="I63" s="47">
        <v>-0.1</v>
      </c>
      <c r="W63" s="49">
        <v>41342</v>
      </c>
      <c r="X63" s="49">
        <v>41342</v>
      </c>
      <c r="Y63" s="49">
        <v>41342</v>
      </c>
      <c r="AY63" s="49">
        <v>41342</v>
      </c>
      <c r="AZ63" s="49">
        <v>41342</v>
      </c>
      <c r="BA63" s="49">
        <v>41342</v>
      </c>
    </row>
    <row r="64" spans="1:53" ht="16.2" customHeight="1" x14ac:dyDescent="0.4">
      <c r="B64" s="46">
        <f t="shared" si="17"/>
        <v>45013</v>
      </c>
      <c r="C64" s="67">
        <v>1</v>
      </c>
      <c r="D64" s="47">
        <v>1</v>
      </c>
      <c r="E64" s="47">
        <v>-0.1</v>
      </c>
      <c r="F64" s="47">
        <v>1</v>
      </c>
      <c r="G64" s="47">
        <v>-0.1</v>
      </c>
      <c r="H64" s="47">
        <v>1</v>
      </c>
      <c r="I64" s="47">
        <v>-0.1</v>
      </c>
      <c r="W64" s="49">
        <v>41343</v>
      </c>
      <c r="X64" s="49">
        <v>41343</v>
      </c>
      <c r="Y64" s="49">
        <v>41343</v>
      </c>
      <c r="AY64" s="49">
        <v>41343</v>
      </c>
      <c r="AZ64" s="49">
        <v>41343</v>
      </c>
      <c r="BA64" s="49">
        <v>41343</v>
      </c>
    </row>
    <row r="65" spans="2:53" ht="16.2" customHeight="1" x14ac:dyDescent="0.4">
      <c r="B65" s="46">
        <f t="shared" si="17"/>
        <v>45104</v>
      </c>
      <c r="C65" s="67">
        <v>1</v>
      </c>
      <c r="D65" s="47">
        <v>1</v>
      </c>
      <c r="E65" s="47">
        <v>-0.1</v>
      </c>
      <c r="F65" s="47">
        <v>1</v>
      </c>
      <c r="G65" s="47">
        <v>-0.1</v>
      </c>
      <c r="H65" s="47">
        <v>1</v>
      </c>
      <c r="I65" s="47">
        <v>-0.1</v>
      </c>
      <c r="W65" s="49">
        <v>41349</v>
      </c>
      <c r="X65" s="49">
        <v>41349</v>
      </c>
      <c r="Y65" s="49">
        <v>41349</v>
      </c>
      <c r="AY65" s="49">
        <v>41349</v>
      </c>
      <c r="AZ65" s="49">
        <v>41349</v>
      </c>
      <c r="BA65" s="49">
        <v>41349</v>
      </c>
    </row>
    <row r="66" spans="2:53" ht="16.2" customHeight="1" x14ac:dyDescent="0.4">
      <c r="B66" s="46">
        <f t="shared" si="17"/>
        <v>45196</v>
      </c>
      <c r="C66" s="67">
        <v>1</v>
      </c>
      <c r="D66" s="47">
        <v>1</v>
      </c>
      <c r="E66" s="47">
        <v>-0.1</v>
      </c>
      <c r="F66" s="47">
        <v>1</v>
      </c>
      <c r="G66" s="47">
        <v>-0.1</v>
      </c>
      <c r="H66" s="47">
        <v>1</v>
      </c>
      <c r="I66" s="47">
        <v>-0.1</v>
      </c>
      <c r="W66" s="49">
        <v>41350</v>
      </c>
      <c r="X66" s="49">
        <v>41350</v>
      </c>
      <c r="Y66" s="49">
        <v>41350</v>
      </c>
      <c r="AY66" s="49">
        <v>41350</v>
      </c>
      <c r="AZ66" s="49">
        <v>41350</v>
      </c>
      <c r="BA66" s="49">
        <v>41350</v>
      </c>
    </row>
    <row r="67" spans="2:53" ht="16.2" customHeight="1" x14ac:dyDescent="0.4">
      <c r="B67" s="46">
        <f t="shared" si="17"/>
        <v>45288</v>
      </c>
      <c r="C67" s="67">
        <v>1</v>
      </c>
      <c r="D67" s="47">
        <v>1</v>
      </c>
      <c r="E67" s="47">
        <v>-0.1</v>
      </c>
      <c r="F67" s="47">
        <v>1</v>
      </c>
      <c r="G67" s="47">
        <v>-0.1</v>
      </c>
      <c r="H67" s="47">
        <v>1</v>
      </c>
      <c r="I67" s="47">
        <v>-0.1</v>
      </c>
      <c r="W67" s="49">
        <v>41356</v>
      </c>
      <c r="X67" s="49">
        <v>41356</v>
      </c>
      <c r="Y67" s="49">
        <v>41356</v>
      </c>
      <c r="AY67" s="49">
        <v>41356</v>
      </c>
      <c r="AZ67" s="49">
        <v>41356</v>
      </c>
      <c r="BA67" s="49">
        <v>41356</v>
      </c>
    </row>
    <row r="68" spans="2:53" ht="16.2" customHeight="1" x14ac:dyDescent="0.4">
      <c r="B68" s="46">
        <f t="shared" si="17"/>
        <v>45379</v>
      </c>
      <c r="C68" s="67">
        <v>1</v>
      </c>
      <c r="D68" s="47">
        <v>1</v>
      </c>
      <c r="E68" s="47">
        <v>-0.1</v>
      </c>
      <c r="F68" s="47">
        <v>1</v>
      </c>
      <c r="G68" s="47">
        <v>-0.1</v>
      </c>
      <c r="H68" s="47">
        <v>1</v>
      </c>
      <c r="I68" s="47">
        <v>-0.1</v>
      </c>
      <c r="W68" s="49">
        <v>41357</v>
      </c>
      <c r="X68" s="49">
        <v>41357</v>
      </c>
      <c r="Y68" s="49">
        <v>41357</v>
      </c>
      <c r="AY68" s="49">
        <v>41357</v>
      </c>
      <c r="AZ68" s="49">
        <v>41357</v>
      </c>
      <c r="BA68" s="49">
        <v>41357</v>
      </c>
    </row>
    <row r="69" spans="2:53" ht="16.2" customHeight="1" x14ac:dyDescent="0.4">
      <c r="B69" s="46">
        <f t="shared" si="17"/>
        <v>45470</v>
      </c>
      <c r="C69" s="67">
        <v>1</v>
      </c>
      <c r="D69" s="47">
        <v>1</v>
      </c>
      <c r="E69" s="47">
        <v>-0.1</v>
      </c>
      <c r="F69" s="47">
        <v>1</v>
      </c>
      <c r="G69" s="47">
        <v>-0.1</v>
      </c>
      <c r="H69" s="47">
        <v>1</v>
      </c>
      <c r="I69" s="47">
        <v>-0.1</v>
      </c>
      <c r="W69" s="49">
        <v>41363</v>
      </c>
      <c r="X69" s="49">
        <v>41363</v>
      </c>
      <c r="Y69" s="49">
        <v>41363</v>
      </c>
      <c r="AY69" s="49">
        <v>41363</v>
      </c>
      <c r="AZ69" s="49">
        <v>41363</v>
      </c>
      <c r="BA69" s="49">
        <v>41363</v>
      </c>
    </row>
    <row r="70" spans="2:53" ht="16.2" customHeight="1" x14ac:dyDescent="0.4">
      <c r="B70" s="46">
        <f t="shared" si="17"/>
        <v>45562</v>
      </c>
      <c r="C70" s="67">
        <v>1</v>
      </c>
      <c r="D70" s="47">
        <v>1</v>
      </c>
      <c r="E70" s="47">
        <v>-0.1</v>
      </c>
      <c r="F70" s="47">
        <v>1</v>
      </c>
      <c r="G70" s="47">
        <v>-0.1</v>
      </c>
      <c r="H70" s="47">
        <v>1</v>
      </c>
      <c r="I70" s="47">
        <v>-0.1</v>
      </c>
      <c r="W70" s="49">
        <v>41364</v>
      </c>
      <c r="X70" s="49">
        <v>41364</v>
      </c>
      <c r="Y70" s="49">
        <v>41364</v>
      </c>
      <c r="AY70" s="49">
        <v>41364</v>
      </c>
      <c r="AZ70" s="49">
        <v>41364</v>
      </c>
      <c r="BA70" s="49">
        <v>41364</v>
      </c>
    </row>
    <row r="71" spans="2:53" ht="16.2" customHeight="1" x14ac:dyDescent="0.4">
      <c r="B71" s="46">
        <f t="shared" si="17"/>
        <v>45654</v>
      </c>
      <c r="C71" s="67">
        <v>1</v>
      </c>
      <c r="D71" s="47">
        <v>1</v>
      </c>
      <c r="E71" s="47">
        <v>-0.1</v>
      </c>
      <c r="F71" s="47">
        <v>1</v>
      </c>
      <c r="G71" s="47">
        <v>-0.1</v>
      </c>
      <c r="H71" s="47">
        <v>1</v>
      </c>
      <c r="I71" s="47">
        <v>-0.1</v>
      </c>
      <c r="W71" s="49">
        <v>41370</v>
      </c>
      <c r="X71" s="49">
        <v>41370</v>
      </c>
      <c r="Y71" s="49">
        <v>41370</v>
      </c>
      <c r="AY71" s="49">
        <v>41370</v>
      </c>
      <c r="AZ71" s="49">
        <v>41370</v>
      </c>
      <c r="BA71" s="49">
        <v>41370</v>
      </c>
    </row>
    <row r="72" spans="2:53" ht="16.2" customHeight="1" x14ac:dyDescent="0.4">
      <c r="B72" s="46">
        <f t="shared" si="17"/>
        <v>45744</v>
      </c>
      <c r="C72" s="67">
        <v>1</v>
      </c>
      <c r="D72" s="47">
        <v>1</v>
      </c>
      <c r="E72" s="47">
        <v>-0.1</v>
      </c>
      <c r="F72" s="47">
        <v>1</v>
      </c>
      <c r="G72" s="47">
        <v>-0.1</v>
      </c>
      <c r="H72" s="47">
        <v>1</v>
      </c>
      <c r="I72" s="47">
        <v>-0.1</v>
      </c>
      <c r="W72" s="49">
        <v>41371</v>
      </c>
      <c r="X72" s="49">
        <v>41371</v>
      </c>
      <c r="Y72" s="49">
        <v>41371</v>
      </c>
      <c r="AY72" s="49">
        <v>41371</v>
      </c>
      <c r="AZ72" s="49">
        <v>41371</v>
      </c>
      <c r="BA72" s="49">
        <v>41371</v>
      </c>
    </row>
    <row r="73" spans="2:53" ht="16.2" customHeight="1" x14ac:dyDescent="0.4">
      <c r="B73" s="46">
        <f t="shared" si="17"/>
        <v>45835</v>
      </c>
      <c r="C73" s="67">
        <v>1</v>
      </c>
      <c r="D73" s="47">
        <v>1</v>
      </c>
      <c r="E73" s="47">
        <v>-0.1</v>
      </c>
      <c r="F73" s="47">
        <v>1</v>
      </c>
      <c r="G73" s="47">
        <v>-0.1</v>
      </c>
      <c r="H73" s="47">
        <v>1</v>
      </c>
      <c r="I73" s="47">
        <v>-0.1</v>
      </c>
      <c r="W73" s="49">
        <v>41377</v>
      </c>
      <c r="X73" s="49">
        <v>41377</v>
      </c>
      <c r="Y73" s="49">
        <v>41377</v>
      </c>
      <c r="AY73" s="49">
        <v>41377</v>
      </c>
      <c r="AZ73" s="49">
        <v>41377</v>
      </c>
      <c r="BA73" s="49">
        <v>41377</v>
      </c>
    </row>
    <row r="74" spans="2:53" ht="16.2" customHeight="1" x14ac:dyDescent="0.4">
      <c r="B74" s="46">
        <f t="shared" si="17"/>
        <v>45927</v>
      </c>
      <c r="C74" s="67">
        <v>1</v>
      </c>
      <c r="D74" s="47">
        <v>1</v>
      </c>
      <c r="E74" s="47">
        <v>-0.1</v>
      </c>
      <c r="F74" s="47">
        <v>1</v>
      </c>
      <c r="G74" s="47">
        <v>-0.1</v>
      </c>
      <c r="H74" s="47">
        <v>1</v>
      </c>
      <c r="I74" s="47">
        <v>-0.1</v>
      </c>
      <c r="W74" s="49">
        <v>41378</v>
      </c>
      <c r="X74" s="49">
        <v>41378</v>
      </c>
      <c r="Y74" s="49">
        <v>41378</v>
      </c>
      <c r="AY74" s="49">
        <v>41378</v>
      </c>
      <c r="AZ74" s="49">
        <v>41378</v>
      </c>
      <c r="BA74" s="49">
        <v>41378</v>
      </c>
    </row>
    <row r="75" spans="2:53" ht="16.2" customHeight="1" x14ac:dyDescent="0.4">
      <c r="B75" s="46">
        <f t="shared" si="17"/>
        <v>46019</v>
      </c>
      <c r="C75" s="67">
        <v>1</v>
      </c>
      <c r="D75" s="47">
        <v>1</v>
      </c>
      <c r="E75" s="47">
        <v>-0.1</v>
      </c>
      <c r="F75" s="47">
        <v>1</v>
      </c>
      <c r="G75" s="47">
        <v>-0.1</v>
      </c>
      <c r="H75" s="47">
        <v>1</v>
      </c>
      <c r="I75" s="47">
        <v>-0.1</v>
      </c>
      <c r="W75" s="49">
        <v>41384</v>
      </c>
      <c r="X75" s="49">
        <v>41384</v>
      </c>
      <c r="Y75" s="49">
        <v>41384</v>
      </c>
      <c r="AY75" s="49">
        <v>41384</v>
      </c>
      <c r="AZ75" s="49">
        <v>41384</v>
      </c>
      <c r="BA75" s="49">
        <v>41384</v>
      </c>
    </row>
    <row r="76" spans="2:53" ht="16.2" customHeight="1" x14ac:dyDescent="0.4">
      <c r="B76" s="46">
        <f t="shared" si="17"/>
        <v>46109</v>
      </c>
      <c r="C76" s="67">
        <v>1</v>
      </c>
      <c r="D76" s="47">
        <v>1</v>
      </c>
      <c r="E76" s="47">
        <v>-0.1</v>
      </c>
      <c r="F76" s="47">
        <v>1</v>
      </c>
      <c r="G76" s="47">
        <v>-0.1</v>
      </c>
      <c r="H76" s="47">
        <v>1</v>
      </c>
      <c r="I76" s="47">
        <v>-0.1</v>
      </c>
      <c r="W76" s="49">
        <v>41385</v>
      </c>
      <c r="X76" s="49">
        <v>41385</v>
      </c>
      <c r="Y76" s="49">
        <v>41385</v>
      </c>
      <c r="AY76" s="49">
        <v>41385</v>
      </c>
      <c r="AZ76" s="49">
        <v>41385</v>
      </c>
      <c r="BA76" s="49">
        <v>41385</v>
      </c>
    </row>
    <row r="77" spans="2:53" ht="16.2" customHeight="1" x14ac:dyDescent="0.4">
      <c r="B77" s="46">
        <f t="shared" si="17"/>
        <v>46200</v>
      </c>
      <c r="C77" s="67">
        <v>1</v>
      </c>
      <c r="D77" s="47">
        <v>1</v>
      </c>
      <c r="E77" s="47">
        <v>-0.1</v>
      </c>
      <c r="F77" s="47">
        <v>1</v>
      </c>
      <c r="G77" s="47">
        <v>-0.1</v>
      </c>
      <c r="H77" s="47">
        <v>1</v>
      </c>
      <c r="I77" s="47">
        <v>-0.1</v>
      </c>
      <c r="W77" s="49">
        <v>41391</v>
      </c>
      <c r="X77" s="49">
        <v>41391</v>
      </c>
      <c r="Y77" s="49">
        <v>41391</v>
      </c>
      <c r="AY77" s="49">
        <v>41391</v>
      </c>
      <c r="AZ77" s="49">
        <v>41391</v>
      </c>
      <c r="BA77" s="49">
        <v>41391</v>
      </c>
    </row>
    <row r="78" spans="2:53" ht="16.2" customHeight="1" x14ac:dyDescent="0.4">
      <c r="B78" s="46">
        <f t="shared" si="17"/>
        <v>46292</v>
      </c>
      <c r="C78" s="67">
        <v>1</v>
      </c>
      <c r="D78" s="47">
        <v>1</v>
      </c>
      <c r="E78" s="47">
        <v>-0.1</v>
      </c>
      <c r="F78" s="47">
        <v>1</v>
      </c>
      <c r="G78" s="47">
        <v>-0.1</v>
      </c>
      <c r="H78" s="47">
        <v>1</v>
      </c>
      <c r="I78" s="47">
        <v>-0.1</v>
      </c>
      <c r="W78" s="49">
        <v>41392</v>
      </c>
      <c r="X78" s="49">
        <v>41392</v>
      </c>
      <c r="Y78" s="49">
        <v>41392</v>
      </c>
      <c r="AY78" s="49">
        <v>41392</v>
      </c>
      <c r="AZ78" s="49">
        <v>41392</v>
      </c>
      <c r="BA78" s="49">
        <v>41392</v>
      </c>
    </row>
    <row r="79" spans="2:53" ht="16.2" customHeight="1" x14ac:dyDescent="0.4">
      <c r="B79" s="46">
        <f t="shared" si="17"/>
        <v>46384</v>
      </c>
      <c r="C79" s="67">
        <v>1</v>
      </c>
      <c r="D79" s="47">
        <v>1</v>
      </c>
      <c r="E79" s="47">
        <v>-0.1</v>
      </c>
      <c r="F79" s="47">
        <v>1</v>
      </c>
      <c r="G79" s="47">
        <v>-0.1</v>
      </c>
      <c r="H79" s="47">
        <v>1</v>
      </c>
      <c r="I79" s="47">
        <v>-0.1</v>
      </c>
      <c r="W79" s="49">
        <v>41395</v>
      </c>
      <c r="X79" s="49">
        <v>41395</v>
      </c>
      <c r="Y79" s="49">
        <v>41395</v>
      </c>
      <c r="AY79" s="49">
        <v>41395</v>
      </c>
      <c r="AZ79" s="49">
        <v>41395</v>
      </c>
      <c r="BA79" s="49">
        <v>41395</v>
      </c>
    </row>
    <row r="80" spans="2:53" ht="16.2" customHeight="1" x14ac:dyDescent="0.4">
      <c r="B80" s="46">
        <f t="shared" si="17"/>
        <v>46474</v>
      </c>
      <c r="C80" s="67">
        <v>1</v>
      </c>
      <c r="D80" s="47">
        <v>1</v>
      </c>
      <c r="E80" s="47">
        <v>-0.1</v>
      </c>
      <c r="F80" s="47">
        <v>1</v>
      </c>
      <c r="G80" s="47">
        <v>-0.1</v>
      </c>
      <c r="H80" s="47">
        <v>1</v>
      </c>
      <c r="I80" s="47">
        <v>-0.1</v>
      </c>
      <c r="W80" s="49">
        <v>41398</v>
      </c>
      <c r="X80" s="49">
        <v>41398</v>
      </c>
      <c r="Y80" s="49">
        <v>41398</v>
      </c>
      <c r="AY80" s="49">
        <v>41398</v>
      </c>
      <c r="AZ80" s="49">
        <v>41398</v>
      </c>
      <c r="BA80" s="49">
        <v>41398</v>
      </c>
    </row>
    <row r="81" spans="2:53" ht="16.2" customHeight="1" x14ac:dyDescent="0.4">
      <c r="B81" s="46">
        <f t="shared" si="17"/>
        <v>46565</v>
      </c>
      <c r="C81" s="67">
        <v>1</v>
      </c>
      <c r="D81" s="47">
        <v>1</v>
      </c>
      <c r="E81" s="47">
        <v>-0.1</v>
      </c>
      <c r="F81" s="47">
        <v>1</v>
      </c>
      <c r="G81" s="47">
        <v>-0.1</v>
      </c>
      <c r="H81" s="47">
        <v>1</v>
      </c>
      <c r="I81" s="47">
        <v>-0.1</v>
      </c>
      <c r="W81" s="49">
        <v>41399</v>
      </c>
      <c r="X81" s="49">
        <v>41399</v>
      </c>
      <c r="Y81" s="49">
        <v>41399</v>
      </c>
      <c r="AY81" s="49">
        <v>41399</v>
      </c>
      <c r="AZ81" s="49">
        <v>41399</v>
      </c>
      <c r="BA81" s="49">
        <v>41399</v>
      </c>
    </row>
    <row r="82" spans="2:53" ht="16.2" customHeight="1" x14ac:dyDescent="0.4">
      <c r="B82" s="46">
        <f t="shared" si="17"/>
        <v>46657</v>
      </c>
      <c r="C82" s="67">
        <v>1</v>
      </c>
      <c r="D82" s="47">
        <v>1</v>
      </c>
      <c r="E82" s="47">
        <v>-0.1</v>
      </c>
      <c r="F82" s="47">
        <v>1</v>
      </c>
      <c r="G82" s="47">
        <v>-0.1</v>
      </c>
      <c r="H82" s="47">
        <v>1</v>
      </c>
      <c r="I82" s="47">
        <v>-0.1</v>
      </c>
      <c r="W82" s="49">
        <v>41405</v>
      </c>
      <c r="X82" s="49">
        <v>41405</v>
      </c>
      <c r="Y82" s="49">
        <v>41405</v>
      </c>
      <c r="AY82" s="49">
        <v>41405</v>
      </c>
      <c r="AZ82" s="49">
        <v>41405</v>
      </c>
      <c r="BA82" s="49">
        <v>41405</v>
      </c>
    </row>
    <row r="83" spans="2:53" ht="16.2" customHeight="1" x14ac:dyDescent="0.4">
      <c r="B83" s="46">
        <f t="shared" si="17"/>
        <v>46749</v>
      </c>
      <c r="C83" s="67">
        <v>1</v>
      </c>
      <c r="D83" s="47">
        <v>1</v>
      </c>
      <c r="E83" s="47">
        <v>-0.1</v>
      </c>
      <c r="F83" s="47">
        <v>1</v>
      </c>
      <c r="G83" s="47">
        <v>-0.1</v>
      </c>
      <c r="H83" s="47">
        <v>1</v>
      </c>
      <c r="I83" s="47">
        <v>-0.1</v>
      </c>
      <c r="W83" s="49">
        <v>41406</v>
      </c>
      <c r="X83" s="49">
        <v>41406</v>
      </c>
      <c r="Y83" s="49">
        <v>41406</v>
      </c>
      <c r="AY83" s="49">
        <v>41406</v>
      </c>
      <c r="AZ83" s="49">
        <v>41406</v>
      </c>
      <c r="BA83" s="49">
        <v>41406</v>
      </c>
    </row>
    <row r="84" spans="2:53" ht="16.2" customHeight="1" x14ac:dyDescent="0.4">
      <c r="W84" s="49">
        <v>41411</v>
      </c>
      <c r="X84" s="49">
        <v>41411</v>
      </c>
      <c r="Y84" s="49">
        <v>41411</v>
      </c>
      <c r="AY84" s="49">
        <v>41411</v>
      </c>
      <c r="AZ84" s="49">
        <v>41411</v>
      </c>
      <c r="BA84" s="49">
        <v>41411</v>
      </c>
    </row>
    <row r="85" spans="2:53" ht="16.2" customHeight="1" x14ac:dyDescent="0.4">
      <c r="W85" s="49">
        <v>41412</v>
      </c>
      <c r="X85" s="49">
        <v>41412</v>
      </c>
      <c r="Y85" s="49">
        <v>41412</v>
      </c>
      <c r="AY85" s="49">
        <v>41412</v>
      </c>
      <c r="AZ85" s="49">
        <v>41412</v>
      </c>
      <c r="BA85" s="49">
        <v>41412</v>
      </c>
    </row>
    <row r="86" spans="2:53" ht="16.2" customHeight="1" x14ac:dyDescent="0.4">
      <c r="W86" s="49">
        <v>41413</v>
      </c>
      <c r="X86" s="49">
        <v>41413</v>
      </c>
      <c r="Y86" s="49">
        <v>41413</v>
      </c>
      <c r="AY86" s="49">
        <v>41413</v>
      </c>
      <c r="AZ86" s="49">
        <v>41413</v>
      </c>
      <c r="BA86" s="49">
        <v>41413</v>
      </c>
    </row>
    <row r="87" spans="2:53" ht="16.2" customHeight="1" x14ac:dyDescent="0.4">
      <c r="W87" s="49">
        <v>41419</v>
      </c>
      <c r="X87" s="49">
        <v>41419</v>
      </c>
      <c r="Y87" s="49">
        <v>41419</v>
      </c>
      <c r="AY87" s="49">
        <v>41419</v>
      </c>
      <c r="AZ87" s="49">
        <v>41419</v>
      </c>
      <c r="BA87" s="49">
        <v>41419</v>
      </c>
    </row>
    <row r="88" spans="2:53" ht="16.2" customHeight="1" x14ac:dyDescent="0.4">
      <c r="W88" s="49">
        <v>41420</v>
      </c>
      <c r="X88" s="49">
        <v>41420</v>
      </c>
      <c r="Y88" s="49">
        <v>41420</v>
      </c>
      <c r="AY88" s="49">
        <v>41420</v>
      </c>
      <c r="AZ88" s="49">
        <v>41420</v>
      </c>
      <c r="BA88" s="49">
        <v>41420</v>
      </c>
    </row>
    <row r="89" spans="2:53" ht="16.2" customHeight="1" x14ac:dyDescent="0.4">
      <c r="W89" s="49">
        <v>41426</v>
      </c>
      <c r="X89" s="49">
        <v>41426</v>
      </c>
      <c r="Y89" s="49">
        <v>41426</v>
      </c>
      <c r="AY89" s="49">
        <v>41426</v>
      </c>
      <c r="AZ89" s="49">
        <v>41426</v>
      </c>
      <c r="BA89" s="49">
        <v>41426</v>
      </c>
    </row>
    <row r="90" spans="2:53" ht="16.2" customHeight="1" x14ac:dyDescent="0.4">
      <c r="W90" s="49">
        <v>41427</v>
      </c>
      <c r="X90" s="49">
        <v>41427</v>
      </c>
      <c r="Y90" s="49">
        <v>41427</v>
      </c>
      <c r="AY90" s="49">
        <v>41427</v>
      </c>
      <c r="AZ90" s="49">
        <v>41427</v>
      </c>
      <c r="BA90" s="49">
        <v>41427</v>
      </c>
    </row>
    <row r="91" spans="2:53" ht="16.2" customHeight="1" x14ac:dyDescent="0.4">
      <c r="W91" s="49">
        <v>41431</v>
      </c>
      <c r="X91" s="49">
        <v>41431</v>
      </c>
      <c r="Y91" s="49">
        <v>41431</v>
      </c>
      <c r="AY91" s="49">
        <v>41431</v>
      </c>
      <c r="AZ91" s="49">
        <v>41431</v>
      </c>
      <c r="BA91" s="49">
        <v>41431</v>
      </c>
    </row>
    <row r="92" spans="2:53" ht="16.2" customHeight="1" x14ac:dyDescent="0.4">
      <c r="W92" s="49">
        <v>41433</v>
      </c>
      <c r="X92" s="49">
        <v>41433</v>
      </c>
      <c r="Y92" s="49">
        <v>41433</v>
      </c>
      <c r="AY92" s="49">
        <v>41433</v>
      </c>
      <c r="AZ92" s="49">
        <v>41433</v>
      </c>
      <c r="BA92" s="49">
        <v>41433</v>
      </c>
    </row>
    <row r="93" spans="2:53" ht="16.2" customHeight="1" x14ac:dyDescent="0.4">
      <c r="W93" s="49">
        <v>41434</v>
      </c>
      <c r="X93" s="49">
        <v>41434</v>
      </c>
      <c r="Y93" s="49">
        <v>41434</v>
      </c>
      <c r="AY93" s="49">
        <v>41434</v>
      </c>
      <c r="AZ93" s="49">
        <v>41434</v>
      </c>
      <c r="BA93" s="49">
        <v>41434</v>
      </c>
    </row>
    <row r="94" spans="2:53" ht="16.2" customHeight="1" x14ac:dyDescent="0.4">
      <c r="W94" s="49">
        <v>41440</v>
      </c>
      <c r="X94" s="49">
        <v>41440</v>
      </c>
      <c r="Y94" s="49">
        <v>41440</v>
      </c>
      <c r="AY94" s="49">
        <v>41440</v>
      </c>
      <c r="AZ94" s="49">
        <v>41440</v>
      </c>
      <c r="BA94" s="49">
        <v>41440</v>
      </c>
    </row>
    <row r="95" spans="2:53" ht="16.2" customHeight="1" x14ac:dyDescent="0.4">
      <c r="W95" s="49">
        <v>41441</v>
      </c>
      <c r="X95" s="49">
        <v>41441</v>
      </c>
      <c r="Y95" s="49">
        <v>41441</v>
      </c>
      <c r="AY95" s="49">
        <v>41441</v>
      </c>
      <c r="AZ95" s="49">
        <v>41441</v>
      </c>
      <c r="BA95" s="49">
        <v>41441</v>
      </c>
    </row>
    <row r="96" spans="2:53" ht="16.2" customHeight="1" x14ac:dyDescent="0.4">
      <c r="W96" s="49">
        <v>41447</v>
      </c>
      <c r="X96" s="49">
        <v>41447</v>
      </c>
      <c r="Y96" s="49">
        <v>41447</v>
      </c>
      <c r="AY96" s="49">
        <v>41447</v>
      </c>
      <c r="AZ96" s="49">
        <v>41447</v>
      </c>
      <c r="BA96" s="49">
        <v>41447</v>
      </c>
    </row>
    <row r="97" spans="23:53" ht="16.2" customHeight="1" x14ac:dyDescent="0.4">
      <c r="W97" s="49">
        <v>41448</v>
      </c>
      <c r="X97" s="49">
        <v>41448</v>
      </c>
      <c r="Y97" s="49">
        <v>41448</v>
      </c>
      <c r="AY97" s="49">
        <v>41448</v>
      </c>
      <c r="AZ97" s="49">
        <v>41448</v>
      </c>
      <c r="BA97" s="49">
        <v>41448</v>
      </c>
    </row>
    <row r="98" spans="23:53" ht="16.2" customHeight="1" x14ac:dyDescent="0.4">
      <c r="W98" s="49">
        <v>41454</v>
      </c>
      <c r="X98" s="49">
        <v>41454</v>
      </c>
      <c r="Y98" s="49">
        <v>41454</v>
      </c>
      <c r="AY98" s="49">
        <v>41454</v>
      </c>
      <c r="AZ98" s="49">
        <v>41454</v>
      </c>
      <c r="BA98" s="49">
        <v>41454</v>
      </c>
    </row>
    <row r="99" spans="23:53" ht="16.2" customHeight="1" x14ac:dyDescent="0.4">
      <c r="W99" s="49">
        <v>41455</v>
      </c>
      <c r="X99" s="49">
        <v>41455</v>
      </c>
      <c r="Y99" s="49">
        <v>41455</v>
      </c>
      <c r="AY99" s="49">
        <v>41455</v>
      </c>
      <c r="AZ99" s="49">
        <v>41455</v>
      </c>
      <c r="BA99" s="49">
        <v>41455</v>
      </c>
    </row>
    <row r="100" spans="23:53" ht="16.2" customHeight="1" x14ac:dyDescent="0.4">
      <c r="W100" s="49">
        <v>41461</v>
      </c>
      <c r="X100" s="49">
        <v>41461</v>
      </c>
      <c r="Y100" s="49">
        <v>41461</v>
      </c>
      <c r="AY100" s="49">
        <v>41461</v>
      </c>
      <c r="AZ100" s="49">
        <v>41461</v>
      </c>
      <c r="BA100" s="49">
        <v>41461</v>
      </c>
    </row>
    <row r="101" spans="23:53" ht="16.2" customHeight="1" x14ac:dyDescent="0.4">
      <c r="W101" s="49">
        <v>41462</v>
      </c>
      <c r="X101" s="49">
        <v>41462</v>
      </c>
      <c r="Y101" s="49">
        <v>41462</v>
      </c>
      <c r="AY101" s="49">
        <v>41462</v>
      </c>
      <c r="AZ101" s="49">
        <v>41462</v>
      </c>
      <c r="BA101" s="49">
        <v>41462</v>
      </c>
    </row>
    <row r="102" spans="23:53" ht="16.2" customHeight="1" x14ac:dyDescent="0.4">
      <c r="W102" s="49">
        <v>41468</v>
      </c>
      <c r="X102" s="49">
        <v>41468</v>
      </c>
      <c r="Y102" s="49">
        <v>41468</v>
      </c>
      <c r="AY102" s="49">
        <v>41468</v>
      </c>
      <c r="AZ102" s="49">
        <v>41468</v>
      </c>
      <c r="BA102" s="49">
        <v>41468</v>
      </c>
    </row>
    <row r="103" spans="23:53" ht="16.2" customHeight="1" x14ac:dyDescent="0.4">
      <c r="W103" s="49">
        <v>41469</v>
      </c>
      <c r="X103" s="49">
        <v>41469</v>
      </c>
      <c r="Y103" s="49">
        <v>41469</v>
      </c>
      <c r="AY103" s="49">
        <v>41469</v>
      </c>
      <c r="AZ103" s="49">
        <v>41469</v>
      </c>
      <c r="BA103" s="49">
        <v>41469</v>
      </c>
    </row>
    <row r="104" spans="23:53" ht="16.2" customHeight="1" x14ac:dyDescent="0.4">
      <c r="W104" s="49">
        <v>41475</v>
      </c>
      <c r="X104" s="49">
        <v>41475</v>
      </c>
      <c r="Y104" s="49">
        <v>41475</v>
      </c>
      <c r="AY104" s="49">
        <v>41475</v>
      </c>
      <c r="AZ104" s="49">
        <v>41475</v>
      </c>
      <c r="BA104" s="49">
        <v>41475</v>
      </c>
    </row>
    <row r="105" spans="23:53" ht="16.2" customHeight="1" x14ac:dyDescent="0.4">
      <c r="W105" s="49">
        <v>41476</v>
      </c>
      <c r="X105" s="49">
        <v>41476</v>
      </c>
      <c r="Y105" s="49">
        <v>41476</v>
      </c>
      <c r="AY105" s="49">
        <v>41476</v>
      </c>
      <c r="AZ105" s="49">
        <v>41476</v>
      </c>
      <c r="BA105" s="49">
        <v>41476</v>
      </c>
    </row>
    <row r="106" spans="23:53" ht="16.2" customHeight="1" x14ac:dyDescent="0.4">
      <c r="W106" s="49">
        <v>41482</v>
      </c>
      <c r="X106" s="49">
        <v>41482</v>
      </c>
      <c r="Y106" s="49">
        <v>41482</v>
      </c>
      <c r="AY106" s="49">
        <v>41482</v>
      </c>
      <c r="AZ106" s="49">
        <v>41482</v>
      </c>
      <c r="BA106" s="49">
        <v>41482</v>
      </c>
    </row>
    <row r="107" spans="23:53" ht="16.2" customHeight="1" x14ac:dyDescent="0.4">
      <c r="W107" s="49">
        <v>41483</v>
      </c>
      <c r="X107" s="49">
        <v>41483</v>
      </c>
      <c r="Y107" s="49">
        <v>41483</v>
      </c>
      <c r="AY107" s="49">
        <v>41483</v>
      </c>
      <c r="AZ107" s="49">
        <v>41483</v>
      </c>
      <c r="BA107" s="49">
        <v>41483</v>
      </c>
    </row>
    <row r="108" spans="23:53" ht="16.2" customHeight="1" x14ac:dyDescent="0.4">
      <c r="W108" s="49">
        <v>41489</v>
      </c>
      <c r="X108" s="49">
        <v>41489</v>
      </c>
      <c r="Y108" s="49">
        <v>41489</v>
      </c>
      <c r="AY108" s="49">
        <v>41489</v>
      </c>
      <c r="AZ108" s="49">
        <v>41489</v>
      </c>
      <c r="BA108" s="49">
        <v>41489</v>
      </c>
    </row>
    <row r="109" spans="23:53" ht="16.2" customHeight="1" x14ac:dyDescent="0.4">
      <c r="W109" s="49">
        <v>41490</v>
      </c>
      <c r="X109" s="49">
        <v>41490</v>
      </c>
      <c r="Y109" s="49">
        <v>41490</v>
      </c>
      <c r="AY109" s="49">
        <v>41490</v>
      </c>
      <c r="AZ109" s="49">
        <v>41490</v>
      </c>
      <c r="BA109" s="49">
        <v>41490</v>
      </c>
    </row>
    <row r="110" spans="23:53" ht="16.2" customHeight="1" x14ac:dyDescent="0.4">
      <c r="W110" s="49">
        <v>41496</v>
      </c>
      <c r="X110" s="49">
        <v>41496</v>
      </c>
      <c r="Y110" s="49">
        <v>41496</v>
      </c>
      <c r="AY110" s="49">
        <v>41496</v>
      </c>
      <c r="AZ110" s="49">
        <v>41496</v>
      </c>
      <c r="BA110" s="49">
        <v>41496</v>
      </c>
    </row>
    <row r="111" spans="23:53" ht="16.2" customHeight="1" x14ac:dyDescent="0.4">
      <c r="W111" s="49">
        <v>41497</v>
      </c>
      <c r="X111" s="49">
        <v>41497</v>
      </c>
      <c r="Y111" s="49">
        <v>41497</v>
      </c>
      <c r="AY111" s="49">
        <v>41497</v>
      </c>
      <c r="AZ111" s="49">
        <v>41497</v>
      </c>
      <c r="BA111" s="49">
        <v>41497</v>
      </c>
    </row>
    <row r="112" spans="23:53" ht="16.2" customHeight="1" x14ac:dyDescent="0.4">
      <c r="W112" s="49">
        <v>41501</v>
      </c>
      <c r="X112" s="49">
        <v>41501</v>
      </c>
      <c r="Y112" s="49">
        <v>41501</v>
      </c>
      <c r="AY112" s="49">
        <v>41501</v>
      </c>
      <c r="AZ112" s="49">
        <v>41501</v>
      </c>
      <c r="BA112" s="49">
        <v>41501</v>
      </c>
    </row>
    <row r="113" spans="23:53" ht="16.2" customHeight="1" x14ac:dyDescent="0.4">
      <c r="W113" s="49">
        <v>41503</v>
      </c>
      <c r="X113" s="49">
        <v>41503</v>
      </c>
      <c r="Y113" s="49">
        <v>41503</v>
      </c>
      <c r="AY113" s="49">
        <v>41503</v>
      </c>
      <c r="AZ113" s="49">
        <v>41503</v>
      </c>
      <c r="BA113" s="49">
        <v>41503</v>
      </c>
    </row>
    <row r="114" spans="23:53" ht="16.2" customHeight="1" x14ac:dyDescent="0.4">
      <c r="W114" s="49">
        <v>41504</v>
      </c>
      <c r="X114" s="49">
        <v>41504</v>
      </c>
      <c r="Y114" s="49">
        <v>41504</v>
      </c>
      <c r="AY114" s="49">
        <v>41504</v>
      </c>
      <c r="AZ114" s="49">
        <v>41504</v>
      </c>
      <c r="BA114" s="49">
        <v>41504</v>
      </c>
    </row>
    <row r="115" spans="23:53" ht="16.2" customHeight="1" x14ac:dyDescent="0.4">
      <c r="W115" s="49">
        <v>41510</v>
      </c>
      <c r="X115" s="49">
        <v>41510</v>
      </c>
      <c r="Y115" s="49">
        <v>41510</v>
      </c>
      <c r="AY115" s="49">
        <v>41510</v>
      </c>
      <c r="AZ115" s="49">
        <v>41510</v>
      </c>
      <c r="BA115" s="49">
        <v>41510</v>
      </c>
    </row>
    <row r="116" spans="23:53" ht="16.2" customHeight="1" x14ac:dyDescent="0.4">
      <c r="W116" s="49">
        <v>41511</v>
      </c>
      <c r="X116" s="49">
        <v>41511</v>
      </c>
      <c r="Y116" s="49">
        <v>41511</v>
      </c>
      <c r="AY116" s="49">
        <v>41511</v>
      </c>
      <c r="AZ116" s="49">
        <v>41511</v>
      </c>
      <c r="BA116" s="49">
        <v>41511</v>
      </c>
    </row>
    <row r="117" spans="23:53" ht="16.2" customHeight="1" x14ac:dyDescent="0.4">
      <c r="W117" s="49">
        <v>41517</v>
      </c>
      <c r="X117" s="49">
        <v>41517</v>
      </c>
      <c r="Y117" s="49">
        <v>41517</v>
      </c>
      <c r="AY117" s="49">
        <v>41517</v>
      </c>
      <c r="AZ117" s="49">
        <v>41517</v>
      </c>
      <c r="BA117" s="49">
        <v>41517</v>
      </c>
    </row>
    <row r="118" spans="23:53" ht="16.2" customHeight="1" x14ac:dyDescent="0.4">
      <c r="W118" s="49">
        <v>41518</v>
      </c>
      <c r="X118" s="49">
        <v>41518</v>
      </c>
      <c r="Y118" s="49">
        <v>41518</v>
      </c>
      <c r="AY118" s="49">
        <v>41518</v>
      </c>
      <c r="AZ118" s="49">
        <v>41518</v>
      </c>
      <c r="BA118" s="49">
        <v>41518</v>
      </c>
    </row>
    <row r="119" spans="23:53" ht="16.2" customHeight="1" x14ac:dyDescent="0.4">
      <c r="W119" s="49">
        <v>41524</v>
      </c>
      <c r="X119" s="49">
        <v>41524</v>
      </c>
      <c r="Y119" s="49">
        <v>41524</v>
      </c>
      <c r="AY119" s="49">
        <v>41524</v>
      </c>
      <c r="AZ119" s="49">
        <v>41524</v>
      </c>
      <c r="BA119" s="49">
        <v>41524</v>
      </c>
    </row>
    <row r="120" spans="23:53" ht="16.2" customHeight="1" x14ac:dyDescent="0.4">
      <c r="W120" s="49">
        <v>41525</v>
      </c>
      <c r="X120" s="49">
        <v>41525</v>
      </c>
      <c r="Y120" s="49">
        <v>41525</v>
      </c>
      <c r="AY120" s="49">
        <v>41525</v>
      </c>
      <c r="AZ120" s="49">
        <v>41525</v>
      </c>
      <c r="BA120" s="49">
        <v>41525</v>
      </c>
    </row>
    <row r="121" spans="23:53" ht="16.2" customHeight="1" x14ac:dyDescent="0.4">
      <c r="W121" s="49">
        <v>41531</v>
      </c>
      <c r="X121" s="49">
        <v>41531</v>
      </c>
      <c r="Y121" s="49">
        <v>41531</v>
      </c>
      <c r="AY121" s="49">
        <v>41531</v>
      </c>
      <c r="AZ121" s="49">
        <v>41531</v>
      </c>
      <c r="BA121" s="49">
        <v>41531</v>
      </c>
    </row>
    <row r="122" spans="23:53" ht="16.2" customHeight="1" x14ac:dyDescent="0.4">
      <c r="W122" s="49">
        <v>41532</v>
      </c>
      <c r="X122" s="49">
        <v>41532</v>
      </c>
      <c r="Y122" s="49">
        <v>41532</v>
      </c>
      <c r="AY122" s="49">
        <v>41532</v>
      </c>
      <c r="AZ122" s="49">
        <v>41532</v>
      </c>
      <c r="BA122" s="49">
        <v>41532</v>
      </c>
    </row>
    <row r="123" spans="23:53" ht="16.2" customHeight="1" x14ac:dyDescent="0.4">
      <c r="W123" s="49">
        <v>41535</v>
      </c>
      <c r="X123" s="49">
        <v>41535</v>
      </c>
      <c r="Y123" s="49">
        <v>41535</v>
      </c>
      <c r="AY123" s="49">
        <v>41535</v>
      </c>
      <c r="AZ123" s="49">
        <v>41535</v>
      </c>
      <c r="BA123" s="49">
        <v>41535</v>
      </c>
    </row>
    <row r="124" spans="23:53" ht="16.2" customHeight="1" x14ac:dyDescent="0.4">
      <c r="W124" s="49">
        <v>41536</v>
      </c>
      <c r="X124" s="49">
        <v>41536</v>
      </c>
      <c r="Y124" s="49">
        <v>41536</v>
      </c>
      <c r="AY124" s="49">
        <v>41536</v>
      </c>
      <c r="AZ124" s="49">
        <v>41536</v>
      </c>
      <c r="BA124" s="49">
        <v>41536</v>
      </c>
    </row>
    <row r="125" spans="23:53" ht="16.2" customHeight="1" x14ac:dyDescent="0.4">
      <c r="W125" s="49">
        <v>41537</v>
      </c>
      <c r="X125" s="49">
        <v>41537</v>
      </c>
      <c r="Y125" s="49">
        <v>41537</v>
      </c>
      <c r="AY125" s="49">
        <v>41537</v>
      </c>
      <c r="AZ125" s="49">
        <v>41537</v>
      </c>
      <c r="BA125" s="49">
        <v>41537</v>
      </c>
    </row>
    <row r="126" spans="23:53" ht="16.2" customHeight="1" x14ac:dyDescent="0.4">
      <c r="W126" s="49">
        <v>41538</v>
      </c>
      <c r="X126" s="49">
        <v>41538</v>
      </c>
      <c r="Y126" s="49">
        <v>41538</v>
      </c>
      <c r="AY126" s="49">
        <v>41538</v>
      </c>
      <c r="AZ126" s="49">
        <v>41538</v>
      </c>
      <c r="BA126" s="49">
        <v>41538</v>
      </c>
    </row>
    <row r="127" spans="23:53" ht="16.2" customHeight="1" x14ac:dyDescent="0.4">
      <c r="W127" s="49">
        <v>41539</v>
      </c>
      <c r="X127" s="49">
        <v>41539</v>
      </c>
      <c r="Y127" s="49">
        <v>41539</v>
      </c>
      <c r="AY127" s="49">
        <v>41539</v>
      </c>
      <c r="AZ127" s="49">
        <v>41539</v>
      </c>
      <c r="BA127" s="49">
        <v>41539</v>
      </c>
    </row>
    <row r="128" spans="23:53" ht="16.2" customHeight="1" x14ac:dyDescent="0.4">
      <c r="W128" s="49">
        <v>41545</v>
      </c>
      <c r="X128" s="49">
        <v>41545</v>
      </c>
      <c r="Y128" s="49">
        <v>41545</v>
      </c>
      <c r="AY128" s="49">
        <v>41545</v>
      </c>
      <c r="AZ128" s="49">
        <v>41545</v>
      </c>
      <c r="BA128" s="49">
        <v>41545</v>
      </c>
    </row>
    <row r="129" spans="23:53" ht="16.2" customHeight="1" x14ac:dyDescent="0.4">
      <c r="W129" s="49">
        <v>41546</v>
      </c>
      <c r="X129" s="49">
        <v>41546</v>
      </c>
      <c r="Y129" s="49">
        <v>41546</v>
      </c>
      <c r="AY129" s="49">
        <v>41546</v>
      </c>
      <c r="AZ129" s="49">
        <v>41546</v>
      </c>
      <c r="BA129" s="49">
        <v>41546</v>
      </c>
    </row>
    <row r="130" spans="23:53" ht="16.2" customHeight="1" x14ac:dyDescent="0.4">
      <c r="W130" s="49">
        <v>41550</v>
      </c>
      <c r="X130" s="49">
        <v>41550</v>
      </c>
      <c r="Y130" s="49">
        <v>41550</v>
      </c>
      <c r="AY130" s="49">
        <v>41550</v>
      </c>
      <c r="AZ130" s="49">
        <v>41550</v>
      </c>
      <c r="BA130" s="49">
        <v>41550</v>
      </c>
    </row>
    <row r="131" spans="23:53" ht="16.2" customHeight="1" x14ac:dyDescent="0.4">
      <c r="W131" s="49">
        <v>41552</v>
      </c>
      <c r="X131" s="49">
        <v>41552</v>
      </c>
      <c r="Y131" s="49">
        <v>41552</v>
      </c>
      <c r="AY131" s="49">
        <v>41552</v>
      </c>
      <c r="AZ131" s="49">
        <v>41552</v>
      </c>
      <c r="BA131" s="49">
        <v>41552</v>
      </c>
    </row>
    <row r="132" spans="23:53" ht="16.2" customHeight="1" x14ac:dyDescent="0.4">
      <c r="W132" s="49">
        <v>41553</v>
      </c>
      <c r="X132" s="49">
        <v>41553</v>
      </c>
      <c r="Y132" s="49">
        <v>41553</v>
      </c>
      <c r="AY132" s="49">
        <v>41553</v>
      </c>
      <c r="AZ132" s="49">
        <v>41553</v>
      </c>
      <c r="BA132" s="49">
        <v>41553</v>
      </c>
    </row>
    <row r="133" spans="23:53" ht="16.2" customHeight="1" x14ac:dyDescent="0.4">
      <c r="W133" s="49">
        <v>41556</v>
      </c>
      <c r="X133" s="49">
        <v>41556</v>
      </c>
      <c r="Y133" s="49">
        <v>41556</v>
      </c>
      <c r="AY133" s="49">
        <v>41556</v>
      </c>
      <c r="AZ133" s="49">
        <v>41556</v>
      </c>
      <c r="BA133" s="49">
        <v>41556</v>
      </c>
    </row>
    <row r="134" spans="23:53" ht="16.2" customHeight="1" x14ac:dyDescent="0.4">
      <c r="W134" s="49">
        <v>41559</v>
      </c>
      <c r="X134" s="49">
        <v>41559</v>
      </c>
      <c r="Y134" s="49">
        <v>41559</v>
      </c>
      <c r="AY134" s="49">
        <v>41559</v>
      </c>
      <c r="AZ134" s="49">
        <v>41559</v>
      </c>
      <c r="BA134" s="49">
        <v>41559</v>
      </c>
    </row>
    <row r="135" spans="23:53" ht="16.2" customHeight="1" x14ac:dyDescent="0.4">
      <c r="W135" s="49">
        <v>41560</v>
      </c>
      <c r="X135" s="49">
        <v>41560</v>
      </c>
      <c r="Y135" s="49">
        <v>41560</v>
      </c>
      <c r="AY135" s="49">
        <v>41560</v>
      </c>
      <c r="AZ135" s="49">
        <v>41560</v>
      </c>
      <c r="BA135" s="49">
        <v>41560</v>
      </c>
    </row>
    <row r="136" spans="23:53" ht="16.2" customHeight="1" x14ac:dyDescent="0.4">
      <c r="W136" s="49">
        <v>41566</v>
      </c>
      <c r="X136" s="49">
        <v>41566</v>
      </c>
      <c r="Y136" s="49">
        <v>41566</v>
      </c>
      <c r="AY136" s="49">
        <v>41566</v>
      </c>
      <c r="AZ136" s="49">
        <v>41566</v>
      </c>
      <c r="BA136" s="49">
        <v>41566</v>
      </c>
    </row>
    <row r="137" spans="23:53" ht="16.2" customHeight="1" x14ac:dyDescent="0.4">
      <c r="W137" s="49">
        <v>41567</v>
      </c>
      <c r="X137" s="49">
        <v>41567</v>
      </c>
      <c r="Y137" s="49">
        <v>41567</v>
      </c>
      <c r="AY137" s="49">
        <v>41567</v>
      </c>
      <c r="AZ137" s="49">
        <v>41567</v>
      </c>
      <c r="BA137" s="49">
        <v>41567</v>
      </c>
    </row>
    <row r="138" spans="23:53" ht="16.2" customHeight="1" x14ac:dyDescent="0.4">
      <c r="W138" s="49">
        <v>41573</v>
      </c>
      <c r="X138" s="49">
        <v>41573</v>
      </c>
      <c r="Y138" s="49">
        <v>41573</v>
      </c>
      <c r="AY138" s="49">
        <v>41573</v>
      </c>
      <c r="AZ138" s="49">
        <v>41573</v>
      </c>
      <c r="BA138" s="49">
        <v>41573</v>
      </c>
    </row>
    <row r="139" spans="23:53" ht="16.2" customHeight="1" x14ac:dyDescent="0.4">
      <c r="W139" s="49">
        <v>41574</v>
      </c>
      <c r="X139" s="49">
        <v>41574</v>
      </c>
      <c r="Y139" s="49">
        <v>41574</v>
      </c>
      <c r="AY139" s="49">
        <v>41574</v>
      </c>
      <c r="AZ139" s="49">
        <v>41574</v>
      </c>
      <c r="BA139" s="49">
        <v>41574</v>
      </c>
    </row>
    <row r="140" spans="23:53" ht="16.2" customHeight="1" x14ac:dyDescent="0.4">
      <c r="W140" s="49">
        <v>41580</v>
      </c>
      <c r="X140" s="49">
        <v>41580</v>
      </c>
      <c r="Y140" s="49">
        <v>41580</v>
      </c>
      <c r="AY140" s="49">
        <v>41580</v>
      </c>
      <c r="AZ140" s="49">
        <v>41580</v>
      </c>
      <c r="BA140" s="49">
        <v>41580</v>
      </c>
    </row>
    <row r="141" spans="23:53" ht="16.2" customHeight="1" x14ac:dyDescent="0.4">
      <c r="W141" s="49">
        <v>41581</v>
      </c>
      <c r="X141" s="49">
        <v>41581</v>
      </c>
      <c r="Y141" s="49">
        <v>41581</v>
      </c>
      <c r="AY141" s="49">
        <v>41581</v>
      </c>
      <c r="AZ141" s="49">
        <v>41581</v>
      </c>
      <c r="BA141" s="49">
        <v>41581</v>
      </c>
    </row>
    <row r="142" spans="23:53" ht="16.2" customHeight="1" x14ac:dyDescent="0.4">
      <c r="W142" s="49">
        <v>41587</v>
      </c>
      <c r="X142" s="49">
        <v>41587</v>
      </c>
      <c r="Y142" s="49">
        <v>41587</v>
      </c>
      <c r="AY142" s="49">
        <v>41587</v>
      </c>
      <c r="AZ142" s="49">
        <v>41587</v>
      </c>
      <c r="BA142" s="49">
        <v>41587</v>
      </c>
    </row>
    <row r="143" spans="23:53" ht="16.2" customHeight="1" x14ac:dyDescent="0.4">
      <c r="W143" s="49">
        <v>41588</v>
      </c>
      <c r="X143" s="49">
        <v>41588</v>
      </c>
      <c r="Y143" s="49">
        <v>41588</v>
      </c>
      <c r="AY143" s="49">
        <v>41588</v>
      </c>
      <c r="AZ143" s="49">
        <v>41588</v>
      </c>
      <c r="BA143" s="49">
        <v>41588</v>
      </c>
    </row>
    <row r="144" spans="23:53" ht="16.2" customHeight="1" x14ac:dyDescent="0.4">
      <c r="W144" s="49">
        <v>41594</v>
      </c>
      <c r="X144" s="49">
        <v>41594</v>
      </c>
      <c r="Y144" s="49">
        <v>41594</v>
      </c>
      <c r="AY144" s="49">
        <v>41594</v>
      </c>
      <c r="AZ144" s="49">
        <v>41594</v>
      </c>
      <c r="BA144" s="49">
        <v>41594</v>
      </c>
    </row>
    <row r="145" spans="23:53" ht="16.2" customHeight="1" x14ac:dyDescent="0.4">
      <c r="W145" s="49">
        <v>41595</v>
      </c>
      <c r="X145" s="49">
        <v>41595</v>
      </c>
      <c r="Y145" s="49">
        <v>41595</v>
      </c>
      <c r="AY145" s="49">
        <v>41595</v>
      </c>
      <c r="AZ145" s="49">
        <v>41595</v>
      </c>
      <c r="BA145" s="49">
        <v>41595</v>
      </c>
    </row>
    <row r="146" spans="23:53" ht="16.2" customHeight="1" x14ac:dyDescent="0.4">
      <c r="W146" s="49">
        <v>41601</v>
      </c>
      <c r="X146" s="49">
        <v>41601</v>
      </c>
      <c r="Y146" s="49">
        <v>41601</v>
      </c>
      <c r="AY146" s="49">
        <v>41601</v>
      </c>
      <c r="AZ146" s="49">
        <v>41601</v>
      </c>
      <c r="BA146" s="49">
        <v>41601</v>
      </c>
    </row>
    <row r="147" spans="23:53" ht="16.2" customHeight="1" x14ac:dyDescent="0.4">
      <c r="W147" s="49">
        <v>41602</v>
      </c>
      <c r="X147" s="49">
        <v>41602</v>
      </c>
      <c r="Y147" s="49">
        <v>41602</v>
      </c>
      <c r="AY147" s="49">
        <v>41602</v>
      </c>
      <c r="AZ147" s="49">
        <v>41602</v>
      </c>
      <c r="BA147" s="49">
        <v>41602</v>
      </c>
    </row>
    <row r="148" spans="23:53" ht="16.2" customHeight="1" x14ac:dyDescent="0.4">
      <c r="W148" s="49">
        <v>41608</v>
      </c>
      <c r="X148" s="49">
        <v>41608</v>
      </c>
      <c r="Y148" s="49">
        <v>41608</v>
      </c>
      <c r="AY148" s="49">
        <v>41608</v>
      </c>
      <c r="AZ148" s="49">
        <v>41608</v>
      </c>
      <c r="BA148" s="49">
        <v>41608</v>
      </c>
    </row>
    <row r="149" spans="23:53" ht="16.2" customHeight="1" x14ac:dyDescent="0.4">
      <c r="W149" s="49">
        <v>41609</v>
      </c>
      <c r="X149" s="49">
        <v>41609</v>
      </c>
      <c r="Y149" s="49">
        <v>41609</v>
      </c>
      <c r="AY149" s="49">
        <v>41609</v>
      </c>
      <c r="AZ149" s="49">
        <v>41609</v>
      </c>
      <c r="BA149" s="49">
        <v>41609</v>
      </c>
    </row>
    <row r="150" spans="23:53" ht="16.2" customHeight="1" x14ac:dyDescent="0.4">
      <c r="W150" s="49">
        <v>41615</v>
      </c>
      <c r="X150" s="49">
        <v>41615</v>
      </c>
      <c r="Y150" s="49">
        <v>41615</v>
      </c>
      <c r="AY150" s="49">
        <v>41615</v>
      </c>
      <c r="AZ150" s="49">
        <v>41615</v>
      </c>
      <c r="BA150" s="49">
        <v>41615</v>
      </c>
    </row>
    <row r="151" spans="23:53" ht="16.2" customHeight="1" x14ac:dyDescent="0.4">
      <c r="W151" s="49">
        <v>41616</v>
      </c>
      <c r="X151" s="49">
        <v>41616</v>
      </c>
      <c r="Y151" s="49">
        <v>41616</v>
      </c>
      <c r="AY151" s="49">
        <v>41616</v>
      </c>
      <c r="AZ151" s="49">
        <v>41616</v>
      </c>
      <c r="BA151" s="49">
        <v>41616</v>
      </c>
    </row>
    <row r="152" spans="23:53" ht="16.2" customHeight="1" x14ac:dyDescent="0.4">
      <c r="W152" s="49">
        <v>41622</v>
      </c>
      <c r="X152" s="49">
        <v>41622</v>
      </c>
      <c r="Y152" s="49">
        <v>41622</v>
      </c>
      <c r="AY152" s="49">
        <v>41622</v>
      </c>
      <c r="AZ152" s="49">
        <v>41622</v>
      </c>
      <c r="BA152" s="49">
        <v>41622</v>
      </c>
    </row>
    <row r="153" spans="23:53" ht="16.2" customHeight="1" x14ac:dyDescent="0.4">
      <c r="W153" s="49">
        <v>41623</v>
      </c>
      <c r="X153" s="49">
        <v>41623</v>
      </c>
      <c r="Y153" s="49">
        <v>41623</v>
      </c>
      <c r="AY153" s="49">
        <v>41623</v>
      </c>
      <c r="AZ153" s="49">
        <v>41623</v>
      </c>
      <c r="BA153" s="49">
        <v>41623</v>
      </c>
    </row>
    <row r="154" spans="23:53" ht="16.2" customHeight="1" x14ac:dyDescent="0.4">
      <c r="W154" s="49">
        <v>41629</v>
      </c>
      <c r="X154" s="49">
        <v>41629</v>
      </c>
      <c r="Y154" s="49">
        <v>41629</v>
      </c>
      <c r="AY154" s="49">
        <v>41629</v>
      </c>
      <c r="AZ154" s="49">
        <v>41629</v>
      </c>
      <c r="BA154" s="49">
        <v>41629</v>
      </c>
    </row>
    <row r="155" spans="23:53" ht="16.2" customHeight="1" x14ac:dyDescent="0.4">
      <c r="W155" s="49">
        <v>41630</v>
      </c>
      <c r="X155" s="49">
        <v>41630</v>
      </c>
      <c r="Y155" s="49">
        <v>41630</v>
      </c>
      <c r="AY155" s="49">
        <v>41630</v>
      </c>
      <c r="AZ155" s="49">
        <v>41630</v>
      </c>
      <c r="BA155" s="49">
        <v>41630</v>
      </c>
    </row>
    <row r="156" spans="23:53" ht="16.2" customHeight="1" x14ac:dyDescent="0.4">
      <c r="W156" s="49">
        <v>41633</v>
      </c>
      <c r="X156" s="49">
        <v>41633</v>
      </c>
      <c r="Y156" s="49">
        <v>41633</v>
      </c>
      <c r="AY156" s="49">
        <v>41633</v>
      </c>
      <c r="AZ156" s="49">
        <v>41633</v>
      </c>
      <c r="BA156" s="49">
        <v>41633</v>
      </c>
    </row>
    <row r="157" spans="23:53" ht="16.2" customHeight="1" x14ac:dyDescent="0.4">
      <c r="W157" s="49">
        <v>41636</v>
      </c>
      <c r="X157" s="49">
        <v>41636</v>
      </c>
      <c r="Y157" s="49">
        <v>41636</v>
      </c>
      <c r="AY157" s="49">
        <v>41636</v>
      </c>
      <c r="AZ157" s="49">
        <v>41636</v>
      </c>
      <c r="BA157" s="49">
        <v>41636</v>
      </c>
    </row>
    <row r="158" spans="23:53" ht="16.2" customHeight="1" x14ac:dyDescent="0.4">
      <c r="W158" s="49">
        <v>41637</v>
      </c>
      <c r="X158" s="49">
        <v>41637</v>
      </c>
      <c r="Y158" s="49">
        <v>41637</v>
      </c>
      <c r="AY158" s="49">
        <v>41637</v>
      </c>
      <c r="AZ158" s="49">
        <v>41637</v>
      </c>
      <c r="BA158" s="49">
        <v>41637</v>
      </c>
    </row>
    <row r="159" spans="23:53" ht="16.2" customHeight="1" x14ac:dyDescent="0.4">
      <c r="W159" s="49">
        <v>41640</v>
      </c>
      <c r="X159" s="49">
        <v>41640</v>
      </c>
      <c r="Y159" s="49">
        <v>41640</v>
      </c>
      <c r="AY159" s="49">
        <v>41640</v>
      </c>
      <c r="AZ159" s="49">
        <v>41640</v>
      </c>
      <c r="BA159" s="49">
        <v>41640</v>
      </c>
    </row>
    <row r="160" spans="23:53" ht="16.2" customHeight="1" x14ac:dyDescent="0.4">
      <c r="W160" s="49">
        <v>41643</v>
      </c>
      <c r="X160" s="49">
        <v>41643</v>
      </c>
      <c r="Y160" s="49">
        <v>41643</v>
      </c>
      <c r="AY160" s="49">
        <v>41643</v>
      </c>
      <c r="AZ160" s="49">
        <v>41643</v>
      </c>
      <c r="BA160" s="49">
        <v>41643</v>
      </c>
    </row>
    <row r="161" spans="23:53" ht="16.2" customHeight="1" x14ac:dyDescent="0.4">
      <c r="W161" s="49">
        <v>41644</v>
      </c>
      <c r="X161" s="49">
        <v>41644</v>
      </c>
      <c r="Y161" s="49">
        <v>41644</v>
      </c>
      <c r="AY161" s="49">
        <v>41644</v>
      </c>
      <c r="AZ161" s="49">
        <v>41644</v>
      </c>
      <c r="BA161" s="49">
        <v>41644</v>
      </c>
    </row>
    <row r="162" spans="23:53" ht="16.2" customHeight="1" x14ac:dyDescent="0.4">
      <c r="W162" s="49">
        <v>41650</v>
      </c>
      <c r="X162" s="49">
        <v>41650</v>
      </c>
      <c r="Y162" s="49">
        <v>41650</v>
      </c>
      <c r="AY162" s="49">
        <v>41650</v>
      </c>
      <c r="AZ162" s="49">
        <v>41650</v>
      </c>
      <c r="BA162" s="49">
        <v>41650</v>
      </c>
    </row>
    <row r="163" spans="23:53" ht="16.2" customHeight="1" x14ac:dyDescent="0.4">
      <c r="W163" s="49">
        <v>41651</v>
      </c>
      <c r="X163" s="49">
        <v>41651</v>
      </c>
      <c r="Y163" s="49">
        <v>41651</v>
      </c>
      <c r="AY163" s="49">
        <v>41651</v>
      </c>
      <c r="AZ163" s="49">
        <v>41651</v>
      </c>
      <c r="BA163" s="49">
        <v>41651</v>
      </c>
    </row>
    <row r="164" spans="23:53" ht="16.2" customHeight="1" x14ac:dyDescent="0.4">
      <c r="W164" s="49">
        <v>41657</v>
      </c>
      <c r="X164" s="49">
        <v>41657</v>
      </c>
      <c r="Y164" s="49">
        <v>41657</v>
      </c>
      <c r="AY164" s="49">
        <v>41657</v>
      </c>
      <c r="AZ164" s="49">
        <v>41657</v>
      </c>
      <c r="BA164" s="49">
        <v>41657</v>
      </c>
    </row>
    <row r="165" spans="23:53" ht="16.2" customHeight="1" x14ac:dyDescent="0.4">
      <c r="W165" s="49">
        <v>41658</v>
      </c>
      <c r="X165" s="49">
        <v>41658</v>
      </c>
      <c r="Y165" s="49">
        <v>41658</v>
      </c>
      <c r="AY165" s="49">
        <v>41658</v>
      </c>
      <c r="AZ165" s="49">
        <v>41658</v>
      </c>
      <c r="BA165" s="49">
        <v>41658</v>
      </c>
    </row>
    <row r="166" spans="23:53" ht="16.2" customHeight="1" x14ac:dyDescent="0.4">
      <c r="W166" s="49">
        <v>41664</v>
      </c>
      <c r="X166" s="49">
        <v>41664</v>
      </c>
      <c r="Y166" s="49">
        <v>41664</v>
      </c>
      <c r="AY166" s="49">
        <v>41664</v>
      </c>
      <c r="AZ166" s="49">
        <v>41664</v>
      </c>
      <c r="BA166" s="49">
        <v>41664</v>
      </c>
    </row>
    <row r="167" spans="23:53" ht="16.2" customHeight="1" x14ac:dyDescent="0.4">
      <c r="W167" s="49">
        <v>41665</v>
      </c>
      <c r="X167" s="49">
        <v>41665</v>
      </c>
      <c r="Y167" s="49">
        <v>41665</v>
      </c>
      <c r="AY167" s="49">
        <v>41665</v>
      </c>
      <c r="AZ167" s="49">
        <v>41665</v>
      </c>
      <c r="BA167" s="49">
        <v>41665</v>
      </c>
    </row>
    <row r="168" spans="23:53" ht="16.2" customHeight="1" x14ac:dyDescent="0.4">
      <c r="W168" s="49">
        <v>41669</v>
      </c>
      <c r="X168" s="49">
        <v>41669</v>
      </c>
      <c r="Y168" s="49">
        <v>41669</v>
      </c>
      <c r="AY168" s="49">
        <v>41669</v>
      </c>
      <c r="AZ168" s="49">
        <v>41669</v>
      </c>
      <c r="BA168" s="49">
        <v>41669</v>
      </c>
    </row>
    <row r="169" spans="23:53" ht="16.2" customHeight="1" x14ac:dyDescent="0.4">
      <c r="W169" s="49">
        <v>41670</v>
      </c>
      <c r="X169" s="49">
        <v>41670</v>
      </c>
      <c r="Y169" s="49">
        <v>41670</v>
      </c>
      <c r="AY169" s="49">
        <v>41670</v>
      </c>
      <c r="AZ169" s="49">
        <v>41670</v>
      </c>
      <c r="BA169" s="49">
        <v>41670</v>
      </c>
    </row>
    <row r="170" spans="23:53" ht="16.2" customHeight="1" x14ac:dyDescent="0.4">
      <c r="W170" s="49">
        <v>41672</v>
      </c>
      <c r="X170" s="49">
        <v>41672</v>
      </c>
      <c r="Y170" s="49">
        <v>41672</v>
      </c>
      <c r="AY170" s="49">
        <v>41672</v>
      </c>
      <c r="AZ170" s="49">
        <v>41672</v>
      </c>
      <c r="BA170" s="49">
        <v>41672</v>
      </c>
    </row>
    <row r="171" spans="23:53" ht="16.2" customHeight="1" x14ac:dyDescent="0.4">
      <c r="W171" s="49">
        <v>41678</v>
      </c>
      <c r="X171" s="49">
        <v>41678</v>
      </c>
      <c r="Y171" s="49">
        <v>41678</v>
      </c>
      <c r="AY171" s="49">
        <v>41678</v>
      </c>
      <c r="AZ171" s="49">
        <v>41678</v>
      </c>
      <c r="BA171" s="49">
        <v>41678</v>
      </c>
    </row>
    <row r="172" spans="23:53" ht="16.2" customHeight="1" x14ac:dyDescent="0.4">
      <c r="W172" s="49">
        <v>41679</v>
      </c>
      <c r="X172" s="49">
        <v>41679</v>
      </c>
      <c r="Y172" s="49">
        <v>41679</v>
      </c>
      <c r="AY172" s="49">
        <v>41679</v>
      </c>
      <c r="AZ172" s="49">
        <v>41679</v>
      </c>
      <c r="BA172" s="49">
        <v>41679</v>
      </c>
    </row>
    <row r="173" spans="23:53" ht="16.2" customHeight="1" x14ac:dyDescent="0.4">
      <c r="W173" s="49">
        <v>41685</v>
      </c>
      <c r="X173" s="49">
        <v>41685</v>
      </c>
      <c r="Y173" s="49">
        <v>41685</v>
      </c>
      <c r="AY173" s="49">
        <v>41685</v>
      </c>
      <c r="AZ173" s="49">
        <v>41685</v>
      </c>
      <c r="BA173" s="49">
        <v>41685</v>
      </c>
    </row>
    <row r="174" spans="23:53" ht="16.2" customHeight="1" x14ac:dyDescent="0.4">
      <c r="W174" s="49">
        <v>41686</v>
      </c>
      <c r="X174" s="49">
        <v>41686</v>
      </c>
      <c r="Y174" s="49">
        <v>41686</v>
      </c>
      <c r="AY174" s="49">
        <v>41686</v>
      </c>
      <c r="AZ174" s="49">
        <v>41686</v>
      </c>
      <c r="BA174" s="49">
        <v>41686</v>
      </c>
    </row>
    <row r="175" spans="23:53" ht="16.2" customHeight="1" x14ac:dyDescent="0.4">
      <c r="W175" s="49">
        <v>41692</v>
      </c>
      <c r="X175" s="49">
        <v>41692</v>
      </c>
      <c r="Y175" s="49">
        <v>41692</v>
      </c>
      <c r="AY175" s="49">
        <v>41692</v>
      </c>
      <c r="AZ175" s="49">
        <v>41692</v>
      </c>
      <c r="BA175" s="49">
        <v>41692</v>
      </c>
    </row>
    <row r="176" spans="23:53" ht="16.2" customHeight="1" x14ac:dyDescent="0.4">
      <c r="W176" s="49">
        <v>41693</v>
      </c>
      <c r="X176" s="49">
        <v>41693</v>
      </c>
      <c r="Y176" s="49">
        <v>41693</v>
      </c>
      <c r="AY176" s="49">
        <v>41693</v>
      </c>
      <c r="AZ176" s="49">
        <v>41693</v>
      </c>
      <c r="BA176" s="49">
        <v>41693</v>
      </c>
    </row>
    <row r="177" spans="23:53" ht="16.2" customHeight="1" x14ac:dyDescent="0.4">
      <c r="W177" s="49">
        <v>41700</v>
      </c>
      <c r="X177" s="49">
        <v>41700</v>
      </c>
      <c r="Y177" s="49">
        <v>41700</v>
      </c>
      <c r="AY177" s="49">
        <v>41700</v>
      </c>
      <c r="AZ177" s="49">
        <v>41700</v>
      </c>
      <c r="BA177" s="49">
        <v>41700</v>
      </c>
    </row>
    <row r="178" spans="23:53" ht="16.2" customHeight="1" x14ac:dyDescent="0.4">
      <c r="W178" s="49">
        <v>41706</v>
      </c>
      <c r="X178" s="49">
        <v>41706</v>
      </c>
      <c r="Y178" s="49">
        <v>41706</v>
      </c>
      <c r="AY178" s="49">
        <v>41706</v>
      </c>
      <c r="AZ178" s="49">
        <v>41706</v>
      </c>
      <c r="BA178" s="49">
        <v>41706</v>
      </c>
    </row>
    <row r="179" spans="23:53" ht="16.2" customHeight="1" x14ac:dyDescent="0.4">
      <c r="W179" s="49">
        <v>41707</v>
      </c>
      <c r="X179" s="49">
        <v>41707</v>
      </c>
      <c r="Y179" s="49">
        <v>41707</v>
      </c>
      <c r="AY179" s="49">
        <v>41707</v>
      </c>
      <c r="AZ179" s="49">
        <v>41707</v>
      </c>
      <c r="BA179" s="49">
        <v>41707</v>
      </c>
    </row>
    <row r="180" spans="23:53" ht="16.2" customHeight="1" x14ac:dyDescent="0.4">
      <c r="W180" s="49">
        <v>41713</v>
      </c>
      <c r="X180" s="49">
        <v>41713</v>
      </c>
      <c r="Y180" s="49">
        <v>41713</v>
      </c>
      <c r="AY180" s="49">
        <v>41713</v>
      </c>
      <c r="AZ180" s="49">
        <v>41713</v>
      </c>
      <c r="BA180" s="49">
        <v>41713</v>
      </c>
    </row>
    <row r="181" spans="23:53" ht="16.2" customHeight="1" x14ac:dyDescent="0.4">
      <c r="W181" s="49">
        <v>41714</v>
      </c>
      <c r="X181" s="49">
        <v>41714</v>
      </c>
      <c r="Y181" s="49">
        <v>41714</v>
      </c>
      <c r="AY181" s="49">
        <v>41714</v>
      </c>
      <c r="AZ181" s="49">
        <v>41714</v>
      </c>
      <c r="BA181" s="49">
        <v>41714</v>
      </c>
    </row>
    <row r="182" spans="23:53" ht="16.2" customHeight="1" x14ac:dyDescent="0.4">
      <c r="W182" s="49">
        <v>41720</v>
      </c>
      <c r="X182" s="49">
        <v>41720</v>
      </c>
      <c r="Y182" s="49">
        <v>41720</v>
      </c>
      <c r="AY182" s="49">
        <v>41720</v>
      </c>
      <c r="AZ182" s="49">
        <v>41720</v>
      </c>
      <c r="BA182" s="49">
        <v>41720</v>
      </c>
    </row>
    <row r="183" spans="23:53" ht="16.2" customHeight="1" x14ac:dyDescent="0.4">
      <c r="W183" s="49">
        <v>41721</v>
      </c>
      <c r="X183" s="49">
        <v>41721</v>
      </c>
      <c r="Y183" s="49">
        <v>41721</v>
      </c>
      <c r="AY183" s="49">
        <v>41721</v>
      </c>
      <c r="AZ183" s="49">
        <v>41721</v>
      </c>
      <c r="BA183" s="49">
        <v>41721</v>
      </c>
    </row>
    <row r="184" spans="23:53" ht="16.2" customHeight="1" x14ac:dyDescent="0.4">
      <c r="W184" s="49">
        <v>41727</v>
      </c>
      <c r="X184" s="49">
        <v>41727</v>
      </c>
      <c r="Y184" s="49">
        <v>41727</v>
      </c>
      <c r="AY184" s="49">
        <v>41727</v>
      </c>
      <c r="AZ184" s="49">
        <v>41727</v>
      </c>
      <c r="BA184" s="49">
        <v>41727</v>
      </c>
    </row>
    <row r="185" spans="23:53" ht="16.2" customHeight="1" x14ac:dyDescent="0.4">
      <c r="W185" s="49">
        <v>41728</v>
      </c>
      <c r="X185" s="49">
        <v>41728</v>
      </c>
      <c r="Y185" s="49">
        <v>41728</v>
      </c>
      <c r="AY185" s="49">
        <v>41728</v>
      </c>
      <c r="AZ185" s="49">
        <v>41728</v>
      </c>
      <c r="BA185" s="49">
        <v>41728</v>
      </c>
    </row>
    <row r="186" spans="23:53" ht="16.2" customHeight="1" x14ac:dyDescent="0.4">
      <c r="W186" s="49">
        <v>41734</v>
      </c>
      <c r="X186" s="49">
        <v>41734</v>
      </c>
      <c r="Y186" s="49">
        <v>41734</v>
      </c>
      <c r="AY186" s="49">
        <v>41734</v>
      </c>
      <c r="AZ186" s="49">
        <v>41734</v>
      </c>
      <c r="BA186" s="49">
        <v>41734</v>
      </c>
    </row>
    <row r="187" spans="23:53" ht="16.2" customHeight="1" x14ac:dyDescent="0.4">
      <c r="W187" s="49">
        <v>41735</v>
      </c>
      <c r="X187" s="49">
        <v>41735</v>
      </c>
      <c r="Y187" s="49">
        <v>41735</v>
      </c>
      <c r="AY187" s="49">
        <v>41735</v>
      </c>
      <c r="AZ187" s="49">
        <v>41735</v>
      </c>
      <c r="BA187" s="49">
        <v>41735</v>
      </c>
    </row>
    <row r="188" spans="23:53" ht="16.2" customHeight="1" x14ac:dyDescent="0.4">
      <c r="W188" s="49">
        <v>41741</v>
      </c>
      <c r="X188" s="49">
        <v>41741</v>
      </c>
      <c r="Y188" s="49">
        <v>41741</v>
      </c>
      <c r="AY188" s="49">
        <v>41741</v>
      </c>
      <c r="AZ188" s="49">
        <v>41741</v>
      </c>
      <c r="BA188" s="49">
        <v>41741</v>
      </c>
    </row>
    <row r="189" spans="23:53" ht="16.2" customHeight="1" x14ac:dyDescent="0.4">
      <c r="W189" s="49">
        <v>41742</v>
      </c>
      <c r="X189" s="49">
        <v>41742</v>
      </c>
      <c r="Y189" s="49">
        <v>41742</v>
      </c>
      <c r="AY189" s="49">
        <v>41742</v>
      </c>
      <c r="AZ189" s="49">
        <v>41742</v>
      </c>
      <c r="BA189" s="49">
        <v>41742</v>
      </c>
    </row>
    <row r="190" spans="23:53" ht="16.2" customHeight="1" x14ac:dyDescent="0.4">
      <c r="W190" s="49">
        <v>41748</v>
      </c>
      <c r="X190" s="49">
        <v>41748</v>
      </c>
      <c r="Y190" s="49">
        <v>41748</v>
      </c>
      <c r="AY190" s="49">
        <v>41748</v>
      </c>
      <c r="AZ190" s="49">
        <v>41748</v>
      </c>
      <c r="BA190" s="49">
        <v>41748</v>
      </c>
    </row>
    <row r="191" spans="23:53" ht="16.2" customHeight="1" x14ac:dyDescent="0.4">
      <c r="W191" s="49">
        <v>41749</v>
      </c>
      <c r="X191" s="49">
        <v>41749</v>
      </c>
      <c r="Y191" s="49">
        <v>41749</v>
      </c>
      <c r="AY191" s="49">
        <v>41749</v>
      </c>
      <c r="AZ191" s="49">
        <v>41749</v>
      </c>
      <c r="BA191" s="49">
        <v>41749</v>
      </c>
    </row>
    <row r="192" spans="23:53" ht="16.2" customHeight="1" x14ac:dyDescent="0.4">
      <c r="W192" s="49">
        <v>41755</v>
      </c>
      <c r="X192" s="49">
        <v>41755</v>
      </c>
      <c r="Y192" s="49">
        <v>41755</v>
      </c>
      <c r="AY192" s="49">
        <v>41755</v>
      </c>
      <c r="AZ192" s="49">
        <v>41755</v>
      </c>
      <c r="BA192" s="49">
        <v>41755</v>
      </c>
    </row>
    <row r="193" spans="23:53" ht="16.2" customHeight="1" x14ac:dyDescent="0.4">
      <c r="W193" s="49">
        <v>41756</v>
      </c>
      <c r="X193" s="49">
        <v>41756</v>
      </c>
      <c r="Y193" s="49">
        <v>41756</v>
      </c>
      <c r="AY193" s="49">
        <v>41756</v>
      </c>
      <c r="AZ193" s="49">
        <v>41756</v>
      </c>
      <c r="BA193" s="49">
        <v>41756</v>
      </c>
    </row>
    <row r="194" spans="23:53" ht="16.2" customHeight="1" x14ac:dyDescent="0.4">
      <c r="W194" s="49">
        <v>41760</v>
      </c>
      <c r="X194" s="49">
        <v>41760</v>
      </c>
      <c r="Y194" s="49">
        <v>41760</v>
      </c>
      <c r="AY194" s="49">
        <v>41760</v>
      </c>
      <c r="AZ194" s="49">
        <v>41760</v>
      </c>
      <c r="BA194" s="49">
        <v>41760</v>
      </c>
    </row>
    <row r="195" spans="23:53" ht="16.2" customHeight="1" x14ac:dyDescent="0.4">
      <c r="W195" s="49">
        <v>41762</v>
      </c>
      <c r="X195" s="49">
        <v>41762</v>
      </c>
      <c r="Y195" s="49">
        <v>41762</v>
      </c>
      <c r="AY195" s="49">
        <v>41762</v>
      </c>
      <c r="AZ195" s="49">
        <v>41762</v>
      </c>
      <c r="BA195" s="49">
        <v>41762</v>
      </c>
    </row>
    <row r="196" spans="23:53" ht="16.2" customHeight="1" x14ac:dyDescent="0.4">
      <c r="W196" s="49">
        <v>41763</v>
      </c>
      <c r="X196" s="49">
        <v>41763</v>
      </c>
      <c r="Y196" s="49">
        <v>41763</v>
      </c>
      <c r="AY196" s="49">
        <v>41763</v>
      </c>
      <c r="AZ196" s="49">
        <v>41763</v>
      </c>
      <c r="BA196" s="49">
        <v>41763</v>
      </c>
    </row>
    <row r="197" spans="23:53" ht="16.2" customHeight="1" x14ac:dyDescent="0.4">
      <c r="W197" s="49">
        <v>41764</v>
      </c>
      <c r="X197" s="49">
        <v>41764</v>
      </c>
      <c r="Y197" s="49">
        <v>41764</v>
      </c>
      <c r="AY197" s="49">
        <v>41764</v>
      </c>
      <c r="AZ197" s="49">
        <v>41764</v>
      </c>
      <c r="BA197" s="49">
        <v>41764</v>
      </c>
    </row>
    <row r="198" spans="23:53" ht="16.2" customHeight="1" x14ac:dyDescent="0.4">
      <c r="W198" s="49">
        <v>41765</v>
      </c>
      <c r="X198" s="49">
        <v>41765</v>
      </c>
      <c r="Y198" s="49">
        <v>41765</v>
      </c>
      <c r="AY198" s="49">
        <v>41765</v>
      </c>
      <c r="AZ198" s="49">
        <v>41765</v>
      </c>
      <c r="BA198" s="49">
        <v>41765</v>
      </c>
    </row>
    <row r="199" spans="23:53" ht="16.2" customHeight="1" x14ac:dyDescent="0.4">
      <c r="W199" s="49">
        <v>41769</v>
      </c>
      <c r="X199" s="49">
        <v>41769</v>
      </c>
      <c r="Y199" s="49">
        <v>41769</v>
      </c>
      <c r="AY199" s="49">
        <v>41769</v>
      </c>
      <c r="AZ199" s="49">
        <v>41769</v>
      </c>
      <c r="BA199" s="49">
        <v>41769</v>
      </c>
    </row>
    <row r="200" spans="23:53" ht="16.2" customHeight="1" x14ac:dyDescent="0.4">
      <c r="W200" s="49">
        <v>41770</v>
      </c>
      <c r="X200" s="49">
        <v>41770</v>
      </c>
      <c r="Y200" s="49">
        <v>41770</v>
      </c>
      <c r="AY200" s="49">
        <v>41770</v>
      </c>
      <c r="AZ200" s="49">
        <v>41770</v>
      </c>
      <c r="BA200" s="49">
        <v>41770</v>
      </c>
    </row>
    <row r="201" spans="23:53" ht="16.2" customHeight="1" x14ac:dyDescent="0.4">
      <c r="W201" s="49">
        <v>41776</v>
      </c>
      <c r="X201" s="49">
        <v>41776</v>
      </c>
      <c r="Y201" s="49">
        <v>41776</v>
      </c>
      <c r="AY201" s="49">
        <v>41776</v>
      </c>
      <c r="AZ201" s="49">
        <v>41776</v>
      </c>
      <c r="BA201" s="49">
        <v>41776</v>
      </c>
    </row>
    <row r="202" spans="23:53" ht="16.2" customHeight="1" x14ac:dyDescent="0.4">
      <c r="W202" s="49">
        <v>41777</v>
      </c>
      <c r="X202" s="49">
        <v>41777</v>
      </c>
      <c r="Y202" s="49">
        <v>41777</v>
      </c>
      <c r="AY202" s="49">
        <v>41777</v>
      </c>
      <c r="AZ202" s="49">
        <v>41777</v>
      </c>
      <c r="BA202" s="49">
        <v>41777</v>
      </c>
    </row>
    <row r="203" spans="23:53" ht="16.2" customHeight="1" x14ac:dyDescent="0.4">
      <c r="W203" s="49">
        <v>41783</v>
      </c>
      <c r="X203" s="49">
        <v>41783</v>
      </c>
      <c r="Y203" s="49">
        <v>41783</v>
      </c>
      <c r="AY203" s="49">
        <v>41783</v>
      </c>
      <c r="AZ203" s="49">
        <v>41783</v>
      </c>
      <c r="BA203" s="49">
        <v>41783</v>
      </c>
    </row>
    <row r="204" spans="23:53" ht="16.2" customHeight="1" x14ac:dyDescent="0.4">
      <c r="W204" s="49">
        <v>41784</v>
      </c>
      <c r="X204" s="49">
        <v>41784</v>
      </c>
      <c r="Y204" s="49">
        <v>41784</v>
      </c>
      <c r="AY204" s="49">
        <v>41784</v>
      </c>
      <c r="AZ204" s="49">
        <v>41784</v>
      </c>
      <c r="BA204" s="49">
        <v>41784</v>
      </c>
    </row>
    <row r="205" spans="23:53" ht="16.2" customHeight="1" x14ac:dyDescent="0.4">
      <c r="W205" s="49">
        <v>41790</v>
      </c>
      <c r="X205" s="49">
        <v>41790</v>
      </c>
      <c r="Y205" s="49">
        <v>41790</v>
      </c>
      <c r="AY205" s="49">
        <v>41790</v>
      </c>
      <c r="AZ205" s="49">
        <v>41790</v>
      </c>
      <c r="BA205" s="49">
        <v>41790</v>
      </c>
    </row>
    <row r="206" spans="23:53" ht="16.2" customHeight="1" x14ac:dyDescent="0.4">
      <c r="W206" s="49">
        <v>41791</v>
      </c>
      <c r="X206" s="49">
        <v>41791</v>
      </c>
      <c r="Y206" s="49">
        <v>41791</v>
      </c>
      <c r="AY206" s="49">
        <v>41791</v>
      </c>
      <c r="AZ206" s="49">
        <v>41791</v>
      </c>
      <c r="BA206" s="49">
        <v>41791</v>
      </c>
    </row>
    <row r="207" spans="23:53" ht="16.2" customHeight="1" x14ac:dyDescent="0.4">
      <c r="W207" s="49">
        <v>41794</v>
      </c>
      <c r="X207" s="49">
        <v>41794</v>
      </c>
      <c r="Y207" s="49">
        <v>41794</v>
      </c>
      <c r="AY207" s="49">
        <v>41794</v>
      </c>
      <c r="AZ207" s="49">
        <v>41794</v>
      </c>
      <c r="BA207" s="49">
        <v>41794</v>
      </c>
    </row>
    <row r="208" spans="23:53" ht="16.2" customHeight="1" x14ac:dyDescent="0.4">
      <c r="W208" s="49">
        <v>41796</v>
      </c>
      <c r="X208" s="49">
        <v>41796</v>
      </c>
      <c r="Y208" s="49">
        <v>41796</v>
      </c>
      <c r="AY208" s="49">
        <v>41796</v>
      </c>
      <c r="AZ208" s="49">
        <v>41796</v>
      </c>
      <c r="BA208" s="49">
        <v>41796</v>
      </c>
    </row>
    <row r="209" spans="23:53" ht="16.2" customHeight="1" x14ac:dyDescent="0.4">
      <c r="W209" s="49">
        <v>41797</v>
      </c>
      <c r="X209" s="49">
        <v>41797</v>
      </c>
      <c r="Y209" s="49">
        <v>41797</v>
      </c>
      <c r="AY209" s="49">
        <v>41797</v>
      </c>
      <c r="AZ209" s="49">
        <v>41797</v>
      </c>
      <c r="BA209" s="49">
        <v>41797</v>
      </c>
    </row>
    <row r="210" spans="23:53" ht="16.2" customHeight="1" x14ac:dyDescent="0.4">
      <c r="W210" s="49">
        <v>41798</v>
      </c>
      <c r="X210" s="49">
        <v>41798</v>
      </c>
      <c r="Y210" s="49">
        <v>41798</v>
      </c>
      <c r="AY210" s="49">
        <v>41798</v>
      </c>
      <c r="AZ210" s="49">
        <v>41798</v>
      </c>
      <c r="BA210" s="49">
        <v>41798</v>
      </c>
    </row>
    <row r="211" spans="23:53" ht="16.2" customHeight="1" x14ac:dyDescent="0.4">
      <c r="W211" s="49">
        <v>41804</v>
      </c>
      <c r="X211" s="49">
        <v>41804</v>
      </c>
      <c r="Y211" s="49">
        <v>41804</v>
      </c>
      <c r="AY211" s="49">
        <v>41804</v>
      </c>
      <c r="AZ211" s="49">
        <v>41804</v>
      </c>
      <c r="BA211" s="49">
        <v>41804</v>
      </c>
    </row>
    <row r="212" spans="23:53" ht="16.2" customHeight="1" x14ac:dyDescent="0.4">
      <c r="W212" s="49">
        <v>41805</v>
      </c>
      <c r="X212" s="49">
        <v>41805</v>
      </c>
      <c r="Y212" s="49">
        <v>41805</v>
      </c>
      <c r="AY212" s="49">
        <v>41805</v>
      </c>
      <c r="AZ212" s="49">
        <v>41805</v>
      </c>
      <c r="BA212" s="49">
        <v>41805</v>
      </c>
    </row>
    <row r="213" spans="23:53" ht="16.2" customHeight="1" x14ac:dyDescent="0.4">
      <c r="W213" s="49">
        <v>41811</v>
      </c>
      <c r="X213" s="49">
        <v>41811</v>
      </c>
      <c r="Y213" s="49">
        <v>41811</v>
      </c>
      <c r="AY213" s="49">
        <v>41811</v>
      </c>
      <c r="AZ213" s="49">
        <v>41811</v>
      </c>
      <c r="BA213" s="49">
        <v>41811</v>
      </c>
    </row>
    <row r="214" spans="23:53" ht="16.2" customHeight="1" x14ac:dyDescent="0.4">
      <c r="W214" s="49">
        <v>41812</v>
      </c>
      <c r="X214" s="49">
        <v>41812</v>
      </c>
      <c r="Y214" s="49">
        <v>41812</v>
      </c>
      <c r="AY214" s="49">
        <v>41812</v>
      </c>
      <c r="AZ214" s="49">
        <v>41812</v>
      </c>
      <c r="BA214" s="49">
        <v>41812</v>
      </c>
    </row>
    <row r="215" spans="23:53" ht="16.2" customHeight="1" x14ac:dyDescent="0.4">
      <c r="W215" s="49">
        <v>41818</v>
      </c>
      <c r="X215" s="49">
        <v>41818</v>
      </c>
      <c r="Y215" s="49">
        <v>41818</v>
      </c>
      <c r="AY215" s="49">
        <v>41818</v>
      </c>
      <c r="AZ215" s="49">
        <v>41818</v>
      </c>
      <c r="BA215" s="49">
        <v>41818</v>
      </c>
    </row>
    <row r="216" spans="23:53" ht="16.2" customHeight="1" x14ac:dyDescent="0.4">
      <c r="W216" s="49">
        <v>41819</v>
      </c>
      <c r="X216" s="49">
        <v>41819</v>
      </c>
      <c r="Y216" s="49">
        <v>41819</v>
      </c>
      <c r="AY216" s="49">
        <v>41819</v>
      </c>
      <c r="AZ216" s="49">
        <v>41819</v>
      </c>
      <c r="BA216" s="49">
        <v>41819</v>
      </c>
    </row>
    <row r="217" spans="23:53" ht="16.2" customHeight="1" x14ac:dyDescent="0.4">
      <c r="W217" s="49">
        <v>41825</v>
      </c>
      <c r="X217" s="49">
        <v>41825</v>
      </c>
      <c r="Y217" s="49">
        <v>41825</v>
      </c>
      <c r="AY217" s="49">
        <v>41825</v>
      </c>
      <c r="AZ217" s="49">
        <v>41825</v>
      </c>
      <c r="BA217" s="49">
        <v>41825</v>
      </c>
    </row>
    <row r="218" spans="23:53" ht="16.2" customHeight="1" x14ac:dyDescent="0.4">
      <c r="W218" s="49">
        <v>41826</v>
      </c>
      <c r="X218" s="49">
        <v>41826</v>
      </c>
      <c r="Y218" s="49">
        <v>41826</v>
      </c>
      <c r="AY218" s="49">
        <v>41826</v>
      </c>
      <c r="AZ218" s="49">
        <v>41826</v>
      </c>
      <c r="BA218" s="49">
        <v>41826</v>
      </c>
    </row>
    <row r="219" spans="23:53" ht="16.2" customHeight="1" x14ac:dyDescent="0.4">
      <c r="W219" s="49">
        <v>41832</v>
      </c>
      <c r="X219" s="49">
        <v>41832</v>
      </c>
      <c r="Y219" s="49">
        <v>41832</v>
      </c>
      <c r="AY219" s="49">
        <v>41832</v>
      </c>
      <c r="AZ219" s="49">
        <v>41832</v>
      </c>
      <c r="BA219" s="49">
        <v>41832</v>
      </c>
    </row>
    <row r="220" spans="23:53" ht="16.2" customHeight="1" x14ac:dyDescent="0.4">
      <c r="W220" s="49">
        <v>41833</v>
      </c>
      <c r="X220" s="49">
        <v>41833</v>
      </c>
      <c r="Y220" s="49">
        <v>41833</v>
      </c>
      <c r="AY220" s="49">
        <v>41833</v>
      </c>
      <c r="AZ220" s="49">
        <v>41833</v>
      </c>
      <c r="BA220" s="49">
        <v>41833</v>
      </c>
    </row>
    <row r="221" spans="23:53" ht="16.2" customHeight="1" x14ac:dyDescent="0.4">
      <c r="W221" s="49">
        <v>41839</v>
      </c>
      <c r="X221" s="49">
        <v>41839</v>
      </c>
      <c r="Y221" s="49">
        <v>41839</v>
      </c>
      <c r="AY221" s="49">
        <v>41839</v>
      </c>
      <c r="AZ221" s="49">
        <v>41839</v>
      </c>
      <c r="BA221" s="49">
        <v>41839</v>
      </c>
    </row>
    <row r="222" spans="23:53" ht="16.2" customHeight="1" x14ac:dyDescent="0.4">
      <c r="W222" s="49">
        <v>41840</v>
      </c>
      <c r="X222" s="49">
        <v>41840</v>
      </c>
      <c r="Y222" s="49">
        <v>41840</v>
      </c>
      <c r="AY222" s="49">
        <v>41840</v>
      </c>
      <c r="AZ222" s="49">
        <v>41840</v>
      </c>
      <c r="BA222" s="49">
        <v>41840</v>
      </c>
    </row>
    <row r="223" spans="23:53" ht="16.2" customHeight="1" x14ac:dyDescent="0.4">
      <c r="W223" s="49">
        <v>41846</v>
      </c>
      <c r="X223" s="49">
        <v>41846</v>
      </c>
      <c r="Y223" s="49">
        <v>41846</v>
      </c>
      <c r="AY223" s="49">
        <v>41846</v>
      </c>
      <c r="AZ223" s="49">
        <v>41846</v>
      </c>
      <c r="BA223" s="49">
        <v>41846</v>
      </c>
    </row>
    <row r="224" spans="23:53" ht="16.2" customHeight="1" x14ac:dyDescent="0.4">
      <c r="W224" s="49">
        <v>41847</v>
      </c>
      <c r="X224" s="49">
        <v>41847</v>
      </c>
      <c r="Y224" s="49">
        <v>41847</v>
      </c>
      <c r="AY224" s="49">
        <v>41847</v>
      </c>
      <c r="AZ224" s="49">
        <v>41847</v>
      </c>
      <c r="BA224" s="49">
        <v>41847</v>
      </c>
    </row>
    <row r="225" spans="23:53" ht="16.2" customHeight="1" x14ac:dyDescent="0.4">
      <c r="W225" s="49">
        <v>41853</v>
      </c>
      <c r="X225" s="49">
        <v>41853</v>
      </c>
      <c r="Y225" s="49">
        <v>41853</v>
      </c>
      <c r="AY225" s="49">
        <v>41853</v>
      </c>
      <c r="AZ225" s="49">
        <v>41853</v>
      </c>
      <c r="BA225" s="49">
        <v>41853</v>
      </c>
    </row>
    <row r="226" spans="23:53" ht="16.2" customHeight="1" x14ac:dyDescent="0.4">
      <c r="W226" s="49">
        <v>41854</v>
      </c>
      <c r="X226" s="49">
        <v>41854</v>
      </c>
      <c r="Y226" s="49">
        <v>41854</v>
      </c>
      <c r="AY226" s="49">
        <v>41854</v>
      </c>
      <c r="AZ226" s="49">
        <v>41854</v>
      </c>
      <c r="BA226" s="49">
        <v>41854</v>
      </c>
    </row>
    <row r="227" spans="23:53" ht="16.2" customHeight="1" x14ac:dyDescent="0.4">
      <c r="W227" s="49">
        <v>41860</v>
      </c>
      <c r="X227" s="49">
        <v>41860</v>
      </c>
      <c r="Y227" s="49">
        <v>41860</v>
      </c>
      <c r="AY227" s="49">
        <v>41860</v>
      </c>
      <c r="AZ227" s="49">
        <v>41860</v>
      </c>
      <c r="BA227" s="49">
        <v>41860</v>
      </c>
    </row>
    <row r="228" spans="23:53" ht="16.2" customHeight="1" x14ac:dyDescent="0.4">
      <c r="W228" s="49">
        <v>41861</v>
      </c>
      <c r="X228" s="49">
        <v>41861</v>
      </c>
      <c r="Y228" s="49">
        <v>41861</v>
      </c>
      <c r="AY228" s="49">
        <v>41861</v>
      </c>
      <c r="AZ228" s="49">
        <v>41861</v>
      </c>
      <c r="BA228" s="49">
        <v>41861</v>
      </c>
    </row>
    <row r="229" spans="23:53" ht="16.2" customHeight="1" x14ac:dyDescent="0.4">
      <c r="W229" s="49">
        <v>41866</v>
      </c>
      <c r="X229" s="49">
        <v>41866</v>
      </c>
      <c r="Y229" s="49">
        <v>41866</v>
      </c>
      <c r="AY229" s="49">
        <v>41866</v>
      </c>
      <c r="AZ229" s="49">
        <v>41866</v>
      </c>
      <c r="BA229" s="49">
        <v>41866</v>
      </c>
    </row>
    <row r="230" spans="23:53" ht="16.2" customHeight="1" x14ac:dyDescent="0.4">
      <c r="W230" s="49">
        <v>41867</v>
      </c>
      <c r="X230" s="49">
        <v>41867</v>
      </c>
      <c r="Y230" s="49">
        <v>41867</v>
      </c>
      <c r="AY230" s="49">
        <v>41867</v>
      </c>
      <c r="AZ230" s="49">
        <v>41867</v>
      </c>
      <c r="BA230" s="49">
        <v>41867</v>
      </c>
    </row>
    <row r="231" spans="23:53" ht="16.2" customHeight="1" x14ac:dyDescent="0.4">
      <c r="W231" s="49">
        <v>41868</v>
      </c>
      <c r="X231" s="49">
        <v>41868</v>
      </c>
      <c r="Y231" s="49">
        <v>41868</v>
      </c>
      <c r="AY231" s="49">
        <v>41868</v>
      </c>
      <c r="AZ231" s="49">
        <v>41868</v>
      </c>
      <c r="BA231" s="49">
        <v>41868</v>
      </c>
    </row>
    <row r="232" spans="23:53" ht="16.2" customHeight="1" x14ac:dyDescent="0.4">
      <c r="W232" s="49">
        <v>41874</v>
      </c>
      <c r="X232" s="49">
        <v>41874</v>
      </c>
      <c r="Y232" s="49">
        <v>41874</v>
      </c>
      <c r="AY232" s="49">
        <v>41874</v>
      </c>
      <c r="AZ232" s="49">
        <v>41874</v>
      </c>
      <c r="BA232" s="49">
        <v>41874</v>
      </c>
    </row>
    <row r="233" spans="23:53" ht="16.2" customHeight="1" x14ac:dyDescent="0.4">
      <c r="W233" s="49">
        <v>41875</v>
      </c>
      <c r="X233" s="49">
        <v>41875</v>
      </c>
      <c r="Y233" s="49">
        <v>41875</v>
      </c>
      <c r="AY233" s="49">
        <v>41875</v>
      </c>
      <c r="AZ233" s="49">
        <v>41875</v>
      </c>
      <c r="BA233" s="49">
        <v>41875</v>
      </c>
    </row>
    <row r="234" spans="23:53" ht="16.2" customHeight="1" x14ac:dyDescent="0.4">
      <c r="W234" s="49">
        <v>41881</v>
      </c>
      <c r="X234" s="49">
        <v>41881</v>
      </c>
      <c r="Y234" s="49">
        <v>41881</v>
      </c>
      <c r="AY234" s="49">
        <v>41881</v>
      </c>
      <c r="AZ234" s="49">
        <v>41881</v>
      </c>
      <c r="BA234" s="49">
        <v>41881</v>
      </c>
    </row>
    <row r="235" spans="23:53" ht="16.2" customHeight="1" x14ac:dyDescent="0.4">
      <c r="W235" s="49">
        <v>41882</v>
      </c>
      <c r="X235" s="49">
        <v>41882</v>
      </c>
      <c r="Y235" s="49">
        <v>41882</v>
      </c>
      <c r="AY235" s="49">
        <v>41882</v>
      </c>
      <c r="AZ235" s="49">
        <v>41882</v>
      </c>
      <c r="BA235" s="49">
        <v>41882</v>
      </c>
    </row>
    <row r="236" spans="23:53" ht="16.2" customHeight="1" x14ac:dyDescent="0.4">
      <c r="W236" s="49">
        <v>41888</v>
      </c>
      <c r="X236" s="49">
        <v>41888</v>
      </c>
      <c r="Y236" s="49">
        <v>41888</v>
      </c>
      <c r="AY236" s="49">
        <v>41888</v>
      </c>
      <c r="AZ236" s="49">
        <v>41888</v>
      </c>
      <c r="BA236" s="49">
        <v>41888</v>
      </c>
    </row>
    <row r="237" spans="23:53" ht="16.2" customHeight="1" x14ac:dyDescent="0.4">
      <c r="W237" s="49">
        <v>41889</v>
      </c>
      <c r="X237" s="49">
        <v>41889</v>
      </c>
      <c r="Y237" s="49">
        <v>41889</v>
      </c>
      <c r="AY237" s="49">
        <v>41889</v>
      </c>
      <c r="AZ237" s="49">
        <v>41889</v>
      </c>
      <c r="BA237" s="49">
        <v>41889</v>
      </c>
    </row>
    <row r="238" spans="23:53" ht="16.2" customHeight="1" x14ac:dyDescent="0.4">
      <c r="W238" s="49">
        <v>41890</v>
      </c>
      <c r="X238" s="49">
        <v>41890</v>
      </c>
      <c r="Y238" s="49">
        <v>41890</v>
      </c>
      <c r="AY238" s="49">
        <v>41890</v>
      </c>
      <c r="AZ238" s="49">
        <v>41890</v>
      </c>
      <c r="BA238" s="49">
        <v>41890</v>
      </c>
    </row>
    <row r="239" spans="23:53" ht="16.2" customHeight="1" x14ac:dyDescent="0.4">
      <c r="W239" s="49">
        <v>41891</v>
      </c>
      <c r="X239" s="49">
        <v>41891</v>
      </c>
      <c r="Y239" s="49">
        <v>41891</v>
      </c>
      <c r="AY239" s="49">
        <v>41891</v>
      </c>
      <c r="AZ239" s="49">
        <v>41891</v>
      </c>
      <c r="BA239" s="49">
        <v>41891</v>
      </c>
    </row>
    <row r="240" spans="23:53" ht="16.2" customHeight="1" x14ac:dyDescent="0.4">
      <c r="W240" s="49">
        <v>41892</v>
      </c>
      <c r="X240" s="49">
        <v>41892</v>
      </c>
      <c r="Y240" s="49">
        <v>41892</v>
      </c>
      <c r="AY240" s="49">
        <v>41892</v>
      </c>
      <c r="AZ240" s="49">
        <v>41892</v>
      </c>
      <c r="BA240" s="49">
        <v>41892</v>
      </c>
    </row>
    <row r="241" spans="23:53" ht="16.2" customHeight="1" x14ac:dyDescent="0.4">
      <c r="W241" s="49">
        <v>41895</v>
      </c>
      <c r="X241" s="49">
        <v>41895</v>
      </c>
      <c r="Y241" s="49">
        <v>41895</v>
      </c>
      <c r="AY241" s="49">
        <v>41895</v>
      </c>
      <c r="AZ241" s="49">
        <v>41895</v>
      </c>
      <c r="BA241" s="49">
        <v>41895</v>
      </c>
    </row>
    <row r="242" spans="23:53" ht="16.2" customHeight="1" x14ac:dyDescent="0.4">
      <c r="W242" s="49">
        <v>41896</v>
      </c>
      <c r="X242" s="49">
        <v>41896</v>
      </c>
      <c r="Y242" s="49">
        <v>41896</v>
      </c>
      <c r="AY242" s="49">
        <v>41896</v>
      </c>
      <c r="AZ242" s="49">
        <v>41896</v>
      </c>
      <c r="BA242" s="49">
        <v>41896</v>
      </c>
    </row>
    <row r="243" spans="23:53" ht="16.2" customHeight="1" x14ac:dyDescent="0.4">
      <c r="W243" s="49">
        <v>41902</v>
      </c>
      <c r="X243" s="49">
        <v>41902</v>
      </c>
      <c r="Y243" s="49">
        <v>41902</v>
      </c>
      <c r="AY243" s="49">
        <v>41902</v>
      </c>
      <c r="AZ243" s="49">
        <v>41902</v>
      </c>
      <c r="BA243" s="49">
        <v>41902</v>
      </c>
    </row>
    <row r="244" spans="23:53" ht="16.2" customHeight="1" x14ac:dyDescent="0.4">
      <c r="W244" s="49">
        <v>41903</v>
      </c>
      <c r="X244" s="49">
        <v>41903</v>
      </c>
      <c r="Y244" s="49">
        <v>41903</v>
      </c>
      <c r="AY244" s="49">
        <v>41903</v>
      </c>
      <c r="AZ244" s="49">
        <v>41903</v>
      </c>
      <c r="BA244" s="49">
        <v>41903</v>
      </c>
    </row>
    <row r="245" spans="23:53" ht="16.2" customHeight="1" x14ac:dyDescent="0.4">
      <c r="W245" s="49">
        <v>41909</v>
      </c>
      <c r="X245" s="49">
        <v>41909</v>
      </c>
      <c r="Y245" s="49">
        <v>41909</v>
      </c>
      <c r="AY245" s="49">
        <v>41909</v>
      </c>
      <c r="AZ245" s="49">
        <v>41909</v>
      </c>
      <c r="BA245" s="49">
        <v>41909</v>
      </c>
    </row>
    <row r="246" spans="23:53" ht="16.2" customHeight="1" x14ac:dyDescent="0.4">
      <c r="W246" s="49">
        <v>41910</v>
      </c>
      <c r="X246" s="49">
        <v>41910</v>
      </c>
      <c r="Y246" s="49">
        <v>41910</v>
      </c>
      <c r="AY246" s="49">
        <v>41910</v>
      </c>
      <c r="AZ246" s="49">
        <v>41910</v>
      </c>
      <c r="BA246" s="49">
        <v>41910</v>
      </c>
    </row>
    <row r="247" spans="23:53" ht="16.2" customHeight="1" x14ac:dyDescent="0.4">
      <c r="W247" s="49">
        <v>41915</v>
      </c>
      <c r="X247" s="49">
        <v>41915</v>
      </c>
      <c r="Y247" s="49">
        <v>41915</v>
      </c>
      <c r="AY247" s="49">
        <v>41915</v>
      </c>
      <c r="AZ247" s="49">
        <v>41915</v>
      </c>
      <c r="BA247" s="49">
        <v>41915</v>
      </c>
    </row>
    <row r="248" spans="23:53" ht="16.2" customHeight="1" x14ac:dyDescent="0.4">
      <c r="W248" s="49">
        <v>41916</v>
      </c>
      <c r="X248" s="49">
        <v>41916</v>
      </c>
      <c r="Y248" s="49">
        <v>41916</v>
      </c>
      <c r="AY248" s="49">
        <v>41916</v>
      </c>
      <c r="AZ248" s="49">
        <v>41916</v>
      </c>
      <c r="BA248" s="49">
        <v>41916</v>
      </c>
    </row>
    <row r="249" spans="23:53" ht="16.2" customHeight="1" x14ac:dyDescent="0.4">
      <c r="W249" s="49">
        <v>41917</v>
      </c>
      <c r="X249" s="49">
        <v>41917</v>
      </c>
      <c r="Y249" s="49">
        <v>41917</v>
      </c>
      <c r="AY249" s="49">
        <v>41917</v>
      </c>
      <c r="AZ249" s="49">
        <v>41917</v>
      </c>
      <c r="BA249" s="49">
        <v>41917</v>
      </c>
    </row>
    <row r="250" spans="23:53" ht="16.2" customHeight="1" x14ac:dyDescent="0.4">
      <c r="W250" s="49">
        <v>41921</v>
      </c>
      <c r="X250" s="49">
        <v>41921</v>
      </c>
      <c r="Y250" s="49">
        <v>41921</v>
      </c>
      <c r="AY250" s="49">
        <v>41921</v>
      </c>
      <c r="AZ250" s="49">
        <v>41921</v>
      </c>
      <c r="BA250" s="49">
        <v>41921</v>
      </c>
    </row>
    <row r="251" spans="23:53" ht="16.2" customHeight="1" x14ac:dyDescent="0.4">
      <c r="W251" s="49">
        <v>41923</v>
      </c>
      <c r="X251" s="49">
        <v>41923</v>
      </c>
      <c r="Y251" s="49">
        <v>41923</v>
      </c>
      <c r="AY251" s="49">
        <v>41923</v>
      </c>
      <c r="AZ251" s="49">
        <v>41923</v>
      </c>
      <c r="BA251" s="49">
        <v>41923</v>
      </c>
    </row>
    <row r="252" spans="23:53" ht="16.2" customHeight="1" x14ac:dyDescent="0.4">
      <c r="W252" s="49">
        <v>41924</v>
      </c>
      <c r="X252" s="49">
        <v>41924</v>
      </c>
      <c r="Y252" s="49">
        <v>41924</v>
      </c>
      <c r="AY252" s="49">
        <v>41924</v>
      </c>
      <c r="AZ252" s="49">
        <v>41924</v>
      </c>
      <c r="BA252" s="49">
        <v>41924</v>
      </c>
    </row>
    <row r="253" spans="23:53" ht="16.2" customHeight="1" x14ac:dyDescent="0.4">
      <c r="W253" s="49">
        <v>41930</v>
      </c>
      <c r="X253" s="49">
        <v>41930</v>
      </c>
      <c r="Y253" s="49">
        <v>41930</v>
      </c>
      <c r="AY253" s="49">
        <v>41930</v>
      </c>
      <c r="AZ253" s="49">
        <v>41930</v>
      </c>
      <c r="BA253" s="49">
        <v>41930</v>
      </c>
    </row>
    <row r="254" spans="23:53" ht="16.2" customHeight="1" x14ac:dyDescent="0.4">
      <c r="W254" s="49">
        <v>41931</v>
      </c>
      <c r="X254" s="49">
        <v>41931</v>
      </c>
      <c r="Y254" s="49">
        <v>41931</v>
      </c>
      <c r="AY254" s="49">
        <v>41931</v>
      </c>
      <c r="AZ254" s="49">
        <v>41931</v>
      </c>
      <c r="BA254" s="49">
        <v>41931</v>
      </c>
    </row>
    <row r="255" spans="23:53" ht="16.2" customHeight="1" x14ac:dyDescent="0.4">
      <c r="W255" s="49">
        <v>41937</v>
      </c>
      <c r="X255" s="49">
        <v>41937</v>
      </c>
      <c r="Y255" s="49">
        <v>41937</v>
      </c>
      <c r="AY255" s="49">
        <v>41937</v>
      </c>
      <c r="AZ255" s="49">
        <v>41937</v>
      </c>
      <c r="BA255" s="49">
        <v>41937</v>
      </c>
    </row>
    <row r="256" spans="23:53" ht="16.2" customHeight="1" x14ac:dyDescent="0.4">
      <c r="W256" s="49">
        <v>41938</v>
      </c>
      <c r="X256" s="49">
        <v>41938</v>
      </c>
      <c r="Y256" s="49">
        <v>41938</v>
      </c>
      <c r="AY256" s="49">
        <v>41938</v>
      </c>
      <c r="AZ256" s="49">
        <v>41938</v>
      </c>
      <c r="BA256" s="49">
        <v>41938</v>
      </c>
    </row>
    <row r="257" spans="23:53" ht="16.2" customHeight="1" x14ac:dyDescent="0.4">
      <c r="W257" s="49">
        <v>41944</v>
      </c>
      <c r="X257" s="49">
        <v>41944</v>
      </c>
      <c r="Y257" s="49">
        <v>41944</v>
      </c>
      <c r="AY257" s="49">
        <v>41944</v>
      </c>
      <c r="AZ257" s="49">
        <v>41944</v>
      </c>
      <c r="BA257" s="49">
        <v>41944</v>
      </c>
    </row>
    <row r="258" spans="23:53" ht="16.2" customHeight="1" x14ac:dyDescent="0.4">
      <c r="W258" s="49">
        <v>41945</v>
      </c>
      <c r="X258" s="49">
        <v>41945</v>
      </c>
      <c r="Y258" s="49">
        <v>41945</v>
      </c>
      <c r="AY258" s="49">
        <v>41945</v>
      </c>
      <c r="AZ258" s="49">
        <v>41945</v>
      </c>
      <c r="BA258" s="49">
        <v>41945</v>
      </c>
    </row>
    <row r="259" spans="23:53" ht="16.2" customHeight="1" x14ac:dyDescent="0.4">
      <c r="W259" s="49">
        <v>41951</v>
      </c>
      <c r="X259" s="49">
        <v>41951</v>
      </c>
      <c r="Y259" s="49">
        <v>41951</v>
      </c>
      <c r="AY259" s="49">
        <v>41951</v>
      </c>
      <c r="AZ259" s="49">
        <v>41951</v>
      </c>
      <c r="BA259" s="49">
        <v>41951</v>
      </c>
    </row>
    <row r="260" spans="23:53" ht="16.2" customHeight="1" x14ac:dyDescent="0.4">
      <c r="W260" s="49">
        <v>41952</v>
      </c>
      <c r="X260" s="49">
        <v>41952</v>
      </c>
      <c r="Y260" s="49">
        <v>41952</v>
      </c>
      <c r="AY260" s="49">
        <v>41952</v>
      </c>
      <c r="AZ260" s="49">
        <v>41952</v>
      </c>
      <c r="BA260" s="49">
        <v>41952</v>
      </c>
    </row>
    <row r="261" spans="23:53" ht="16.2" customHeight="1" x14ac:dyDescent="0.4">
      <c r="W261" s="49">
        <v>41958</v>
      </c>
      <c r="X261" s="49">
        <v>41958</v>
      </c>
      <c r="Y261" s="49">
        <v>41958</v>
      </c>
      <c r="AY261" s="49">
        <v>41958</v>
      </c>
      <c r="AZ261" s="49">
        <v>41958</v>
      </c>
      <c r="BA261" s="49">
        <v>41958</v>
      </c>
    </row>
    <row r="262" spans="23:53" ht="16.2" customHeight="1" x14ac:dyDescent="0.4">
      <c r="W262" s="49">
        <v>41959</v>
      </c>
      <c r="X262" s="49">
        <v>41959</v>
      </c>
      <c r="Y262" s="49">
        <v>41959</v>
      </c>
      <c r="AY262" s="49">
        <v>41959</v>
      </c>
      <c r="AZ262" s="49">
        <v>41959</v>
      </c>
      <c r="BA262" s="49">
        <v>41959</v>
      </c>
    </row>
    <row r="263" spans="23:53" ht="16.2" customHeight="1" x14ac:dyDescent="0.4">
      <c r="W263" s="49">
        <v>41965</v>
      </c>
      <c r="X263" s="49">
        <v>41965</v>
      </c>
      <c r="Y263" s="49">
        <v>41965</v>
      </c>
      <c r="AY263" s="49">
        <v>41965</v>
      </c>
      <c r="AZ263" s="49">
        <v>41965</v>
      </c>
      <c r="BA263" s="49">
        <v>41965</v>
      </c>
    </row>
    <row r="264" spans="23:53" ht="16.2" customHeight="1" x14ac:dyDescent="0.4">
      <c r="W264" s="49">
        <v>41966</v>
      </c>
      <c r="X264" s="49">
        <v>41966</v>
      </c>
      <c r="Y264" s="49">
        <v>41966</v>
      </c>
      <c r="AY264" s="49">
        <v>41966</v>
      </c>
      <c r="AZ264" s="49">
        <v>41966</v>
      </c>
      <c r="BA264" s="49">
        <v>41966</v>
      </c>
    </row>
    <row r="265" spans="23:53" ht="16.2" customHeight="1" x14ac:dyDescent="0.4">
      <c r="W265" s="49">
        <v>41972</v>
      </c>
      <c r="X265" s="49">
        <v>41972</v>
      </c>
      <c r="Y265" s="49">
        <v>41972</v>
      </c>
      <c r="AY265" s="49">
        <v>41972</v>
      </c>
      <c r="AZ265" s="49">
        <v>41972</v>
      </c>
      <c r="BA265" s="49">
        <v>41972</v>
      </c>
    </row>
    <row r="266" spans="23:53" ht="16.2" customHeight="1" x14ac:dyDescent="0.4">
      <c r="W266" s="49">
        <v>41973</v>
      </c>
      <c r="X266" s="49">
        <v>41973</v>
      </c>
      <c r="Y266" s="49">
        <v>41973</v>
      </c>
      <c r="AY266" s="49">
        <v>41973</v>
      </c>
      <c r="AZ266" s="49">
        <v>41973</v>
      </c>
      <c r="BA266" s="49">
        <v>41973</v>
      </c>
    </row>
    <row r="267" spans="23:53" ht="16.2" customHeight="1" x14ac:dyDescent="0.4">
      <c r="W267" s="49">
        <v>41979</v>
      </c>
      <c r="X267" s="49">
        <v>41979</v>
      </c>
      <c r="Y267" s="49">
        <v>41979</v>
      </c>
      <c r="AY267" s="49">
        <v>41979</v>
      </c>
      <c r="AZ267" s="49">
        <v>41979</v>
      </c>
      <c r="BA267" s="49">
        <v>41979</v>
      </c>
    </row>
    <row r="268" spans="23:53" ht="16.2" customHeight="1" x14ac:dyDescent="0.4">
      <c r="W268" s="49">
        <v>41980</v>
      </c>
      <c r="X268" s="49">
        <v>41980</v>
      </c>
      <c r="Y268" s="49">
        <v>41980</v>
      </c>
      <c r="AY268" s="49">
        <v>41980</v>
      </c>
      <c r="AZ268" s="49">
        <v>41980</v>
      </c>
      <c r="BA268" s="49">
        <v>41980</v>
      </c>
    </row>
    <row r="269" spans="23:53" ht="16.2" customHeight="1" x14ac:dyDescent="0.4">
      <c r="W269" s="49">
        <v>41986</v>
      </c>
      <c r="X269" s="49">
        <v>41986</v>
      </c>
      <c r="Y269" s="49">
        <v>41986</v>
      </c>
      <c r="AY269" s="49">
        <v>41986</v>
      </c>
      <c r="AZ269" s="49">
        <v>41986</v>
      </c>
      <c r="BA269" s="49">
        <v>41986</v>
      </c>
    </row>
    <row r="270" spans="23:53" ht="16.2" customHeight="1" x14ac:dyDescent="0.4">
      <c r="W270" s="49">
        <v>41987</v>
      </c>
      <c r="X270" s="49">
        <v>41987</v>
      </c>
      <c r="Y270" s="49">
        <v>41987</v>
      </c>
      <c r="AY270" s="49">
        <v>41987</v>
      </c>
      <c r="AZ270" s="49">
        <v>41987</v>
      </c>
      <c r="BA270" s="49">
        <v>41987</v>
      </c>
    </row>
    <row r="271" spans="23:53" ht="16.2" customHeight="1" x14ac:dyDescent="0.4">
      <c r="W271" s="49">
        <v>41993</v>
      </c>
      <c r="X271" s="49">
        <v>41993</v>
      </c>
      <c r="Y271" s="49">
        <v>41993</v>
      </c>
      <c r="AY271" s="49">
        <v>41993</v>
      </c>
      <c r="AZ271" s="49">
        <v>41993</v>
      </c>
      <c r="BA271" s="49">
        <v>41993</v>
      </c>
    </row>
    <row r="272" spans="23:53" ht="16.2" customHeight="1" x14ac:dyDescent="0.4">
      <c r="W272" s="49">
        <v>41994</v>
      </c>
      <c r="X272" s="49">
        <v>41994</v>
      </c>
      <c r="Y272" s="49">
        <v>41994</v>
      </c>
      <c r="AY272" s="49">
        <v>41994</v>
      </c>
      <c r="AZ272" s="49">
        <v>41994</v>
      </c>
      <c r="BA272" s="49">
        <v>41994</v>
      </c>
    </row>
    <row r="273" spans="23:53" ht="16.2" customHeight="1" x14ac:dyDescent="0.4">
      <c r="W273" s="49">
        <v>41998</v>
      </c>
      <c r="X273" s="49">
        <v>41998</v>
      </c>
      <c r="Y273" s="49">
        <v>41998</v>
      </c>
      <c r="AY273" s="49">
        <v>41998</v>
      </c>
      <c r="AZ273" s="49">
        <v>41998</v>
      </c>
      <c r="BA273" s="49">
        <v>41998</v>
      </c>
    </row>
    <row r="274" spans="23:53" ht="16.2" customHeight="1" x14ac:dyDescent="0.4">
      <c r="W274" s="49">
        <v>42000</v>
      </c>
      <c r="X274" s="49">
        <v>42000</v>
      </c>
      <c r="Y274" s="49">
        <v>42000</v>
      </c>
      <c r="AY274" s="49">
        <v>42000</v>
      </c>
      <c r="AZ274" s="49">
        <v>42000</v>
      </c>
      <c r="BA274" s="49">
        <v>42000</v>
      </c>
    </row>
    <row r="275" spans="23:53" ht="16.2" customHeight="1" x14ac:dyDescent="0.4">
      <c r="W275" s="49">
        <v>42001</v>
      </c>
      <c r="X275" s="49">
        <v>42001</v>
      </c>
      <c r="Y275" s="49">
        <v>42001</v>
      </c>
      <c r="AY275" s="49">
        <v>42001</v>
      </c>
      <c r="AZ275" s="49">
        <v>42001</v>
      </c>
      <c r="BA275" s="49">
        <v>42001</v>
      </c>
    </row>
    <row r="276" spans="23:53" ht="16.2" customHeight="1" x14ac:dyDescent="0.4">
      <c r="W276" s="49">
        <v>42005</v>
      </c>
      <c r="X276" s="49">
        <v>42005</v>
      </c>
      <c r="Y276" s="49">
        <v>42005</v>
      </c>
      <c r="AY276" s="49">
        <v>42005</v>
      </c>
      <c r="AZ276" s="49">
        <v>42005</v>
      </c>
      <c r="BA276" s="49">
        <v>42005</v>
      </c>
    </row>
    <row r="277" spans="23:53" ht="16.2" customHeight="1" x14ac:dyDescent="0.4">
      <c r="W277" s="49">
        <v>42007</v>
      </c>
      <c r="X277" s="49">
        <v>42007</v>
      </c>
      <c r="Y277" s="49">
        <v>42007</v>
      </c>
      <c r="AY277" s="49">
        <v>42007</v>
      </c>
      <c r="AZ277" s="49">
        <v>42007</v>
      </c>
      <c r="BA277" s="49">
        <v>42007</v>
      </c>
    </row>
    <row r="278" spans="23:53" ht="16.2" customHeight="1" x14ac:dyDescent="0.4">
      <c r="W278" s="49">
        <v>42008</v>
      </c>
      <c r="X278" s="49">
        <v>42008</v>
      </c>
      <c r="Y278" s="49">
        <v>42008</v>
      </c>
      <c r="AY278" s="49">
        <v>42008</v>
      </c>
      <c r="AZ278" s="49">
        <v>42008</v>
      </c>
      <c r="BA278" s="49">
        <v>42008</v>
      </c>
    </row>
    <row r="279" spans="23:53" ht="16.2" customHeight="1" x14ac:dyDescent="0.4">
      <c r="W279" s="49">
        <v>42014</v>
      </c>
      <c r="X279" s="49">
        <v>42014</v>
      </c>
      <c r="Y279" s="49">
        <v>42014</v>
      </c>
      <c r="AY279" s="49">
        <v>42014</v>
      </c>
      <c r="AZ279" s="49">
        <v>42014</v>
      </c>
      <c r="BA279" s="49">
        <v>42014</v>
      </c>
    </row>
    <row r="280" spans="23:53" ht="16.2" customHeight="1" x14ac:dyDescent="0.4">
      <c r="W280" s="49">
        <v>42015</v>
      </c>
      <c r="X280" s="49">
        <v>42015</v>
      </c>
      <c r="Y280" s="49">
        <v>42015</v>
      </c>
      <c r="AY280" s="49">
        <v>42015</v>
      </c>
      <c r="AZ280" s="49">
        <v>42015</v>
      </c>
      <c r="BA280" s="49">
        <v>42015</v>
      </c>
    </row>
    <row r="281" spans="23:53" ht="16.2" customHeight="1" x14ac:dyDescent="0.4">
      <c r="W281" s="49">
        <v>42021</v>
      </c>
      <c r="X281" s="49">
        <v>42021</v>
      </c>
      <c r="Y281" s="49">
        <v>42021</v>
      </c>
      <c r="AY281" s="49">
        <v>42021</v>
      </c>
      <c r="AZ281" s="49">
        <v>42021</v>
      </c>
      <c r="BA281" s="49">
        <v>42021</v>
      </c>
    </row>
    <row r="282" spans="23:53" ht="16.2" customHeight="1" x14ac:dyDescent="0.4">
      <c r="W282" s="49">
        <v>42022</v>
      </c>
      <c r="X282" s="49">
        <v>42022</v>
      </c>
      <c r="Y282" s="49">
        <v>42022</v>
      </c>
      <c r="AY282" s="49">
        <v>42022</v>
      </c>
      <c r="AZ282" s="49">
        <v>42022</v>
      </c>
      <c r="BA282" s="49">
        <v>42022</v>
      </c>
    </row>
    <row r="283" spans="23:53" ht="16.2" customHeight="1" x14ac:dyDescent="0.4">
      <c r="W283" s="49">
        <v>42028</v>
      </c>
      <c r="X283" s="49">
        <v>42028</v>
      </c>
      <c r="Y283" s="49">
        <v>42028</v>
      </c>
      <c r="AY283" s="49">
        <v>42028</v>
      </c>
      <c r="AZ283" s="49">
        <v>42028</v>
      </c>
      <c r="BA283" s="49">
        <v>42028</v>
      </c>
    </row>
    <row r="284" spans="23:53" ht="16.2" customHeight="1" x14ac:dyDescent="0.4">
      <c r="W284" s="49">
        <v>42029</v>
      </c>
      <c r="X284" s="49">
        <v>42029</v>
      </c>
      <c r="Y284" s="49">
        <v>42029</v>
      </c>
      <c r="AY284" s="49">
        <v>42029</v>
      </c>
      <c r="AZ284" s="49">
        <v>42029</v>
      </c>
      <c r="BA284" s="49">
        <v>42029</v>
      </c>
    </row>
    <row r="285" spans="23:53" ht="16.2" customHeight="1" x14ac:dyDescent="0.4">
      <c r="W285" s="49">
        <v>42035</v>
      </c>
      <c r="X285" s="49">
        <v>42035</v>
      </c>
      <c r="Y285" s="49">
        <v>42035</v>
      </c>
      <c r="AY285" s="49">
        <v>42035</v>
      </c>
      <c r="AZ285" s="49">
        <v>42035</v>
      </c>
      <c r="BA285" s="49">
        <v>42035</v>
      </c>
    </row>
    <row r="286" spans="23:53" ht="16.2" customHeight="1" x14ac:dyDescent="0.4">
      <c r="W286" s="49">
        <v>42036</v>
      </c>
      <c r="X286" s="49">
        <v>42036</v>
      </c>
      <c r="Y286" s="49">
        <v>42036</v>
      </c>
      <c r="AY286" s="49">
        <v>42036</v>
      </c>
      <c r="AZ286" s="49">
        <v>42036</v>
      </c>
      <c r="BA286" s="49">
        <v>42036</v>
      </c>
    </row>
    <row r="287" spans="23:53" ht="16.2" customHeight="1" x14ac:dyDescent="0.4">
      <c r="W287" s="49">
        <v>42042</v>
      </c>
      <c r="X287" s="49">
        <v>42042</v>
      </c>
      <c r="Y287" s="49">
        <v>42042</v>
      </c>
      <c r="AY287" s="49">
        <v>42042</v>
      </c>
      <c r="AZ287" s="49">
        <v>42042</v>
      </c>
      <c r="BA287" s="49">
        <v>42042</v>
      </c>
    </row>
    <row r="288" spans="23:53" ht="16.2" customHeight="1" x14ac:dyDescent="0.4">
      <c r="W288" s="49">
        <v>42043</v>
      </c>
      <c r="X288" s="49">
        <v>42043</v>
      </c>
      <c r="Y288" s="49">
        <v>42043</v>
      </c>
      <c r="AY288" s="49">
        <v>42043</v>
      </c>
      <c r="AZ288" s="49">
        <v>42043</v>
      </c>
      <c r="BA288" s="49">
        <v>42043</v>
      </c>
    </row>
    <row r="289" spans="23:53" ht="16.2" customHeight="1" x14ac:dyDescent="0.4">
      <c r="W289" s="49">
        <v>42049</v>
      </c>
      <c r="X289" s="49">
        <v>42049</v>
      </c>
      <c r="Y289" s="49">
        <v>42049</v>
      </c>
      <c r="AY289" s="49">
        <v>42049</v>
      </c>
      <c r="AZ289" s="49">
        <v>42049</v>
      </c>
      <c r="BA289" s="49">
        <v>42049</v>
      </c>
    </row>
    <row r="290" spans="23:53" ht="16.2" customHeight="1" x14ac:dyDescent="0.4">
      <c r="W290" s="49">
        <v>42050</v>
      </c>
      <c r="X290" s="49">
        <v>42050</v>
      </c>
      <c r="Y290" s="49">
        <v>42050</v>
      </c>
      <c r="AY290" s="49">
        <v>42050</v>
      </c>
      <c r="AZ290" s="49">
        <v>42050</v>
      </c>
      <c r="BA290" s="49">
        <v>42050</v>
      </c>
    </row>
    <row r="291" spans="23:53" ht="16.2" customHeight="1" x14ac:dyDescent="0.4">
      <c r="W291" s="49">
        <v>42053</v>
      </c>
      <c r="X291" s="49">
        <v>42053</v>
      </c>
      <c r="Y291" s="49">
        <v>42053</v>
      </c>
      <c r="AY291" s="49">
        <v>42053</v>
      </c>
      <c r="AZ291" s="49">
        <v>42053</v>
      </c>
      <c r="BA291" s="49">
        <v>42053</v>
      </c>
    </row>
    <row r="292" spans="23:53" ht="16.2" customHeight="1" x14ac:dyDescent="0.4">
      <c r="W292" s="49">
        <v>42054</v>
      </c>
      <c r="X292" s="49">
        <v>42054</v>
      </c>
      <c r="Y292" s="49">
        <v>42054</v>
      </c>
      <c r="AY292" s="49">
        <v>42054</v>
      </c>
      <c r="AZ292" s="49">
        <v>42054</v>
      </c>
      <c r="BA292" s="49">
        <v>42054</v>
      </c>
    </row>
    <row r="293" spans="23:53" ht="16.2" customHeight="1" x14ac:dyDescent="0.4">
      <c r="W293" s="49">
        <v>42055</v>
      </c>
      <c r="X293" s="49">
        <v>42055</v>
      </c>
      <c r="Y293" s="49">
        <v>42055</v>
      </c>
      <c r="AY293" s="49">
        <v>42055</v>
      </c>
      <c r="AZ293" s="49">
        <v>42055</v>
      </c>
      <c r="BA293" s="49">
        <v>42055</v>
      </c>
    </row>
    <row r="294" spans="23:53" ht="16.2" customHeight="1" x14ac:dyDescent="0.4">
      <c r="W294" s="49">
        <v>42056</v>
      </c>
      <c r="X294" s="49">
        <v>42056</v>
      </c>
      <c r="Y294" s="49">
        <v>42056</v>
      </c>
      <c r="AY294" s="49">
        <v>42056</v>
      </c>
      <c r="AZ294" s="49">
        <v>42056</v>
      </c>
      <c r="BA294" s="49">
        <v>42056</v>
      </c>
    </row>
    <row r="295" spans="23:53" ht="16.2" customHeight="1" x14ac:dyDescent="0.4">
      <c r="W295" s="49">
        <v>42057</v>
      </c>
      <c r="X295" s="49">
        <v>42057</v>
      </c>
      <c r="Y295" s="49">
        <v>42057</v>
      </c>
      <c r="AY295" s="49">
        <v>42057</v>
      </c>
      <c r="AZ295" s="49">
        <v>42057</v>
      </c>
      <c r="BA295" s="49">
        <v>42057</v>
      </c>
    </row>
    <row r="296" spans="23:53" ht="16.2" customHeight="1" x14ac:dyDescent="0.4">
      <c r="W296" s="49">
        <v>42063</v>
      </c>
      <c r="X296" s="49">
        <v>42063</v>
      </c>
      <c r="Y296" s="49">
        <v>42063</v>
      </c>
      <c r="AY296" s="49">
        <v>42063</v>
      </c>
      <c r="AZ296" s="49">
        <v>42063</v>
      </c>
      <c r="BA296" s="49">
        <v>42063</v>
      </c>
    </row>
    <row r="297" spans="23:53" ht="16.2" customHeight="1" x14ac:dyDescent="0.4">
      <c r="W297" s="49">
        <v>42064</v>
      </c>
      <c r="X297" s="49">
        <v>42064</v>
      </c>
      <c r="Y297" s="49">
        <v>42064</v>
      </c>
      <c r="AY297" s="49">
        <v>42064</v>
      </c>
      <c r="AZ297" s="49">
        <v>42064</v>
      </c>
      <c r="BA297" s="49">
        <v>42064</v>
      </c>
    </row>
    <row r="298" spans="23:53" ht="16.2" customHeight="1" x14ac:dyDescent="0.4">
      <c r="W298" s="49">
        <v>42070</v>
      </c>
      <c r="X298" s="49">
        <v>42070</v>
      </c>
      <c r="Y298" s="49">
        <v>42070</v>
      </c>
      <c r="AY298" s="49">
        <v>42070</v>
      </c>
      <c r="AZ298" s="49">
        <v>42070</v>
      </c>
      <c r="BA298" s="49">
        <v>42070</v>
      </c>
    </row>
    <row r="299" spans="23:53" ht="16.2" customHeight="1" x14ac:dyDescent="0.4">
      <c r="W299" s="49">
        <v>42071</v>
      </c>
      <c r="X299" s="49">
        <v>42071</v>
      </c>
      <c r="Y299" s="49">
        <v>42071</v>
      </c>
      <c r="AY299" s="49">
        <v>42071</v>
      </c>
      <c r="AZ299" s="49">
        <v>42071</v>
      </c>
      <c r="BA299" s="49">
        <v>42071</v>
      </c>
    </row>
    <row r="300" spans="23:53" ht="16.2" customHeight="1" x14ac:dyDescent="0.4">
      <c r="W300" s="49">
        <v>42077</v>
      </c>
      <c r="X300" s="49">
        <v>42077</v>
      </c>
      <c r="Y300" s="49">
        <v>42077</v>
      </c>
      <c r="AY300" s="49">
        <v>42077</v>
      </c>
      <c r="AZ300" s="49">
        <v>42077</v>
      </c>
      <c r="BA300" s="49">
        <v>42077</v>
      </c>
    </row>
    <row r="301" spans="23:53" ht="16.2" customHeight="1" x14ac:dyDescent="0.4">
      <c r="W301" s="49">
        <v>42078</v>
      </c>
      <c r="X301" s="49">
        <v>42078</v>
      </c>
      <c r="Y301" s="49">
        <v>42078</v>
      </c>
      <c r="AY301" s="49">
        <v>42078</v>
      </c>
      <c r="AZ301" s="49">
        <v>42078</v>
      </c>
      <c r="BA301" s="49">
        <v>42078</v>
      </c>
    </row>
    <row r="302" spans="23:53" ht="16.2" customHeight="1" x14ac:dyDescent="0.4">
      <c r="W302" s="49">
        <v>42084</v>
      </c>
      <c r="X302" s="49">
        <v>42084</v>
      </c>
      <c r="Y302" s="49">
        <v>42084</v>
      </c>
      <c r="AY302" s="49">
        <v>42084</v>
      </c>
      <c r="AZ302" s="49">
        <v>42084</v>
      </c>
      <c r="BA302" s="49">
        <v>42084</v>
      </c>
    </row>
    <row r="303" spans="23:53" ht="16.2" customHeight="1" x14ac:dyDescent="0.4">
      <c r="W303" s="49">
        <v>42085</v>
      </c>
      <c r="X303" s="49">
        <v>42085</v>
      </c>
      <c r="Y303" s="49">
        <v>42085</v>
      </c>
      <c r="AY303" s="49">
        <v>42085</v>
      </c>
      <c r="AZ303" s="49">
        <v>42085</v>
      </c>
      <c r="BA303" s="49">
        <v>42085</v>
      </c>
    </row>
    <row r="304" spans="23:53" ht="16.2" customHeight="1" x14ac:dyDescent="0.4">
      <c r="W304" s="49">
        <v>42091</v>
      </c>
      <c r="X304" s="49">
        <v>42091</v>
      </c>
      <c r="Y304" s="49">
        <v>42091</v>
      </c>
      <c r="AY304" s="49">
        <v>42091</v>
      </c>
      <c r="AZ304" s="49">
        <v>42091</v>
      </c>
      <c r="BA304" s="49">
        <v>42091</v>
      </c>
    </row>
    <row r="305" spans="23:53" ht="16.2" customHeight="1" x14ac:dyDescent="0.4">
      <c r="W305" s="49">
        <v>42092</v>
      </c>
      <c r="X305" s="49">
        <v>42092</v>
      </c>
      <c r="Y305" s="49">
        <v>42092</v>
      </c>
      <c r="AY305" s="49">
        <v>42092</v>
      </c>
      <c r="AZ305" s="49">
        <v>42092</v>
      </c>
      <c r="BA305" s="49">
        <v>42092</v>
      </c>
    </row>
    <row r="306" spans="23:53" ht="16.2" customHeight="1" x14ac:dyDescent="0.4">
      <c r="W306" s="49">
        <v>42098</v>
      </c>
      <c r="X306" s="49">
        <v>42098</v>
      </c>
      <c r="Y306" s="49">
        <v>42098</v>
      </c>
      <c r="AY306" s="49">
        <v>42098</v>
      </c>
      <c r="AZ306" s="49">
        <v>42098</v>
      </c>
      <c r="BA306" s="49">
        <v>42098</v>
      </c>
    </row>
    <row r="307" spans="23:53" ht="16.2" customHeight="1" x14ac:dyDescent="0.4">
      <c r="W307" s="49">
        <v>42099</v>
      </c>
      <c r="X307" s="49">
        <v>42099</v>
      </c>
      <c r="Y307" s="49">
        <v>42099</v>
      </c>
      <c r="AY307" s="49">
        <v>42099</v>
      </c>
      <c r="AZ307" s="49">
        <v>42099</v>
      </c>
      <c r="BA307" s="49">
        <v>42099</v>
      </c>
    </row>
    <row r="308" spans="23:53" ht="16.2" customHeight="1" x14ac:dyDescent="0.4">
      <c r="W308" s="49">
        <v>42105</v>
      </c>
      <c r="X308" s="49">
        <v>42105</v>
      </c>
      <c r="Y308" s="49">
        <v>42105</v>
      </c>
      <c r="AY308" s="49">
        <v>42105</v>
      </c>
      <c r="AZ308" s="49">
        <v>42105</v>
      </c>
      <c r="BA308" s="49">
        <v>42105</v>
      </c>
    </row>
    <row r="309" spans="23:53" ht="16.2" customHeight="1" x14ac:dyDescent="0.4">
      <c r="W309" s="49">
        <v>42106</v>
      </c>
      <c r="X309" s="49">
        <v>42106</v>
      </c>
      <c r="Y309" s="49">
        <v>42106</v>
      </c>
      <c r="AY309" s="49">
        <v>42106</v>
      </c>
      <c r="AZ309" s="49">
        <v>42106</v>
      </c>
      <c r="BA309" s="49">
        <v>42106</v>
      </c>
    </row>
    <row r="310" spans="23:53" ht="16.2" customHeight="1" x14ac:dyDescent="0.4">
      <c r="W310" s="49">
        <v>42112</v>
      </c>
      <c r="X310" s="49">
        <v>42112</v>
      </c>
      <c r="Y310" s="49">
        <v>42112</v>
      </c>
      <c r="AY310" s="49">
        <v>42112</v>
      </c>
      <c r="AZ310" s="49">
        <v>42112</v>
      </c>
      <c r="BA310" s="49">
        <v>42112</v>
      </c>
    </row>
    <row r="311" spans="23:53" ht="16.2" customHeight="1" x14ac:dyDescent="0.4">
      <c r="W311" s="49">
        <v>42113</v>
      </c>
      <c r="X311" s="49">
        <v>42113</v>
      </c>
      <c r="Y311" s="49">
        <v>42113</v>
      </c>
      <c r="AY311" s="49">
        <v>42113</v>
      </c>
      <c r="AZ311" s="49">
        <v>42113</v>
      </c>
      <c r="BA311" s="49">
        <v>42113</v>
      </c>
    </row>
    <row r="312" spans="23:53" ht="16.2" customHeight="1" x14ac:dyDescent="0.4">
      <c r="W312" s="49">
        <v>42119</v>
      </c>
      <c r="X312" s="49">
        <v>42119</v>
      </c>
      <c r="Y312" s="49">
        <v>42119</v>
      </c>
      <c r="AY312" s="49">
        <v>42119</v>
      </c>
      <c r="AZ312" s="49">
        <v>42119</v>
      </c>
      <c r="BA312" s="49">
        <v>42119</v>
      </c>
    </row>
    <row r="313" spans="23:53" ht="16.2" customHeight="1" x14ac:dyDescent="0.4">
      <c r="W313" s="49">
        <v>42120</v>
      </c>
      <c r="X313" s="49">
        <v>42120</v>
      </c>
      <c r="Y313" s="49">
        <v>42120</v>
      </c>
      <c r="AY313" s="49">
        <v>42120</v>
      </c>
      <c r="AZ313" s="49">
        <v>42120</v>
      </c>
      <c r="BA313" s="49">
        <v>42120</v>
      </c>
    </row>
    <row r="314" spans="23:53" ht="16.2" customHeight="1" x14ac:dyDescent="0.4">
      <c r="W314" s="49">
        <v>42125</v>
      </c>
      <c r="X314" s="49">
        <v>42125</v>
      </c>
      <c r="Y314" s="49">
        <v>42125</v>
      </c>
      <c r="AY314" s="49">
        <v>42125</v>
      </c>
      <c r="AZ314" s="49">
        <v>42125</v>
      </c>
      <c r="BA314" s="49">
        <v>42125</v>
      </c>
    </row>
    <row r="315" spans="23:53" ht="16.2" customHeight="1" x14ac:dyDescent="0.4">
      <c r="W315" s="49">
        <v>42126</v>
      </c>
      <c r="X315" s="49">
        <v>42126</v>
      </c>
      <c r="Y315" s="49">
        <v>42126</v>
      </c>
      <c r="AY315" s="49">
        <v>42126</v>
      </c>
      <c r="AZ315" s="49">
        <v>42126</v>
      </c>
      <c r="BA315" s="49">
        <v>42126</v>
      </c>
    </row>
    <row r="316" spans="23:53" ht="16.2" customHeight="1" x14ac:dyDescent="0.4">
      <c r="W316" s="49">
        <v>42127</v>
      </c>
      <c r="X316" s="49">
        <v>42127</v>
      </c>
      <c r="Y316" s="49">
        <v>42127</v>
      </c>
      <c r="AY316" s="49">
        <v>42127</v>
      </c>
      <c r="AZ316" s="49">
        <v>42127</v>
      </c>
      <c r="BA316" s="49">
        <v>42127</v>
      </c>
    </row>
    <row r="317" spans="23:53" ht="16.2" customHeight="1" x14ac:dyDescent="0.4">
      <c r="W317" s="49">
        <v>42129</v>
      </c>
      <c r="X317" s="49">
        <v>42129</v>
      </c>
      <c r="Y317" s="49">
        <v>42129</v>
      </c>
      <c r="AY317" s="49">
        <v>42129</v>
      </c>
      <c r="AZ317" s="49">
        <v>42129</v>
      </c>
      <c r="BA317" s="49">
        <v>42129</v>
      </c>
    </row>
    <row r="318" spans="23:53" ht="16.2" customHeight="1" x14ac:dyDescent="0.4">
      <c r="W318" s="49">
        <v>42133</v>
      </c>
      <c r="X318" s="49">
        <v>42133</v>
      </c>
      <c r="Y318" s="49">
        <v>42133</v>
      </c>
      <c r="AY318" s="49">
        <v>42133</v>
      </c>
      <c r="AZ318" s="49">
        <v>42133</v>
      </c>
      <c r="BA318" s="49">
        <v>42133</v>
      </c>
    </row>
    <row r="319" spans="23:53" ht="16.2" customHeight="1" x14ac:dyDescent="0.4">
      <c r="W319" s="49">
        <v>42134</v>
      </c>
      <c r="X319" s="49">
        <v>42134</v>
      </c>
      <c r="Y319" s="49">
        <v>42134</v>
      </c>
      <c r="AY319" s="49">
        <v>42134</v>
      </c>
      <c r="AZ319" s="49">
        <v>42134</v>
      </c>
      <c r="BA319" s="49">
        <v>42134</v>
      </c>
    </row>
    <row r="320" spans="23:53" ht="16.2" customHeight="1" x14ac:dyDescent="0.4">
      <c r="W320" s="49">
        <v>42140</v>
      </c>
      <c r="X320" s="49">
        <v>42140</v>
      </c>
      <c r="Y320" s="49">
        <v>42140</v>
      </c>
      <c r="AY320" s="49">
        <v>42140</v>
      </c>
      <c r="AZ320" s="49">
        <v>42140</v>
      </c>
      <c r="BA320" s="49">
        <v>42140</v>
      </c>
    </row>
    <row r="321" spans="23:53" ht="16.2" customHeight="1" x14ac:dyDescent="0.4">
      <c r="W321" s="49">
        <v>42141</v>
      </c>
      <c r="X321" s="49">
        <v>42141</v>
      </c>
      <c r="Y321" s="49">
        <v>42141</v>
      </c>
      <c r="AY321" s="49">
        <v>42141</v>
      </c>
      <c r="AZ321" s="49">
        <v>42141</v>
      </c>
      <c r="BA321" s="49">
        <v>42141</v>
      </c>
    </row>
    <row r="322" spans="23:53" ht="16.2" customHeight="1" x14ac:dyDescent="0.4">
      <c r="W322" s="49">
        <v>42147</v>
      </c>
      <c r="X322" s="49">
        <v>42147</v>
      </c>
      <c r="Y322" s="49">
        <v>42147</v>
      </c>
      <c r="AY322" s="49">
        <v>42147</v>
      </c>
      <c r="AZ322" s="49">
        <v>42147</v>
      </c>
      <c r="BA322" s="49">
        <v>42147</v>
      </c>
    </row>
    <row r="323" spans="23:53" ht="16.2" customHeight="1" x14ac:dyDescent="0.4">
      <c r="W323" s="49">
        <v>42148</v>
      </c>
      <c r="X323" s="49">
        <v>42148</v>
      </c>
      <c r="Y323" s="49">
        <v>42148</v>
      </c>
      <c r="AY323" s="49">
        <v>42148</v>
      </c>
      <c r="AZ323" s="49">
        <v>42148</v>
      </c>
      <c r="BA323" s="49">
        <v>42148</v>
      </c>
    </row>
    <row r="324" spans="23:53" ht="16.2" customHeight="1" x14ac:dyDescent="0.4">
      <c r="W324" s="49">
        <v>42149</v>
      </c>
      <c r="X324" s="49">
        <v>42149</v>
      </c>
      <c r="Y324" s="49">
        <v>42149</v>
      </c>
      <c r="AY324" s="49">
        <v>42149</v>
      </c>
      <c r="AZ324" s="49">
        <v>42149</v>
      </c>
      <c r="BA324" s="49">
        <v>42149</v>
      </c>
    </row>
    <row r="325" spans="23:53" ht="16.2" customHeight="1" x14ac:dyDescent="0.4">
      <c r="W325" s="49">
        <v>42154</v>
      </c>
      <c r="X325" s="49">
        <v>42154</v>
      </c>
      <c r="Y325" s="49">
        <v>42154</v>
      </c>
      <c r="AY325" s="49">
        <v>42154</v>
      </c>
      <c r="AZ325" s="49">
        <v>42154</v>
      </c>
      <c r="BA325" s="49">
        <v>42154</v>
      </c>
    </row>
    <row r="326" spans="23:53" ht="16.2" customHeight="1" x14ac:dyDescent="0.4">
      <c r="W326" s="49">
        <v>42155</v>
      </c>
      <c r="X326" s="49">
        <v>42155</v>
      </c>
      <c r="Y326" s="49">
        <v>42155</v>
      </c>
      <c r="AY326" s="49">
        <v>42155</v>
      </c>
      <c r="AZ326" s="49">
        <v>42155</v>
      </c>
      <c r="BA326" s="49">
        <v>42155</v>
      </c>
    </row>
    <row r="327" spans="23:53" ht="16.2" customHeight="1" x14ac:dyDescent="0.4">
      <c r="W327" s="49">
        <v>42162</v>
      </c>
      <c r="X327" s="49">
        <v>42162</v>
      </c>
      <c r="Y327" s="49">
        <v>42162</v>
      </c>
      <c r="AY327" s="49">
        <v>42162</v>
      </c>
      <c r="AZ327" s="49">
        <v>42162</v>
      </c>
      <c r="BA327" s="49">
        <v>42162</v>
      </c>
    </row>
    <row r="328" spans="23:53" ht="16.2" customHeight="1" x14ac:dyDescent="0.4">
      <c r="W328" s="49">
        <v>42168</v>
      </c>
      <c r="X328" s="49">
        <v>42168</v>
      </c>
      <c r="Y328" s="49">
        <v>42168</v>
      </c>
      <c r="AY328" s="49">
        <v>42168</v>
      </c>
      <c r="AZ328" s="49">
        <v>42168</v>
      </c>
      <c r="BA328" s="49">
        <v>42168</v>
      </c>
    </row>
    <row r="329" spans="23:53" ht="16.2" customHeight="1" x14ac:dyDescent="0.4">
      <c r="W329" s="49">
        <v>42169</v>
      </c>
      <c r="X329" s="49">
        <v>42169</v>
      </c>
      <c r="Y329" s="49">
        <v>42169</v>
      </c>
      <c r="AY329" s="49">
        <v>42169</v>
      </c>
      <c r="AZ329" s="49">
        <v>42169</v>
      </c>
      <c r="BA329" s="49">
        <v>42169</v>
      </c>
    </row>
    <row r="330" spans="23:53" ht="16.2" customHeight="1" x14ac:dyDescent="0.4">
      <c r="W330" s="49">
        <v>42175</v>
      </c>
      <c r="X330" s="49">
        <v>42175</v>
      </c>
      <c r="Y330" s="49">
        <v>42175</v>
      </c>
      <c r="AY330" s="49">
        <v>42175</v>
      </c>
      <c r="AZ330" s="49">
        <v>42175</v>
      </c>
      <c r="BA330" s="49">
        <v>42175</v>
      </c>
    </row>
    <row r="331" spans="23:53" ht="16.2" customHeight="1" x14ac:dyDescent="0.4">
      <c r="W331" s="49">
        <v>42176</v>
      </c>
      <c r="X331" s="49">
        <v>42176</v>
      </c>
      <c r="Y331" s="49">
        <v>42176</v>
      </c>
      <c r="AY331" s="49">
        <v>42176</v>
      </c>
      <c r="AZ331" s="49">
        <v>42176</v>
      </c>
      <c r="BA331" s="49">
        <v>42176</v>
      </c>
    </row>
    <row r="332" spans="23:53" ht="16.2" customHeight="1" x14ac:dyDescent="0.4">
      <c r="W332" s="49">
        <v>42182</v>
      </c>
      <c r="X332" s="49">
        <v>42182</v>
      </c>
      <c r="Y332" s="49">
        <v>42182</v>
      </c>
      <c r="AY332" s="49">
        <v>42182</v>
      </c>
      <c r="AZ332" s="49">
        <v>42182</v>
      </c>
      <c r="BA332" s="49">
        <v>42182</v>
      </c>
    </row>
    <row r="333" spans="23:53" ht="16.2" customHeight="1" x14ac:dyDescent="0.4">
      <c r="W333" s="49">
        <v>42183</v>
      </c>
      <c r="X333" s="49">
        <v>42183</v>
      </c>
      <c r="Y333" s="49">
        <v>42183</v>
      </c>
      <c r="AY333" s="49">
        <v>42183</v>
      </c>
      <c r="AZ333" s="49">
        <v>42183</v>
      </c>
      <c r="BA333" s="49">
        <v>42183</v>
      </c>
    </row>
    <row r="334" spans="23:53" ht="16.2" customHeight="1" x14ac:dyDescent="0.4">
      <c r="W334" s="49">
        <v>42189</v>
      </c>
      <c r="X334" s="49">
        <v>42189</v>
      </c>
      <c r="Y334" s="49">
        <v>42189</v>
      </c>
      <c r="AY334" s="49">
        <v>42189</v>
      </c>
      <c r="AZ334" s="49">
        <v>42189</v>
      </c>
      <c r="BA334" s="49">
        <v>42189</v>
      </c>
    </row>
    <row r="335" spans="23:53" ht="16.2" customHeight="1" x14ac:dyDescent="0.4">
      <c r="W335" s="49">
        <v>42190</v>
      </c>
      <c r="X335" s="49">
        <v>42190</v>
      </c>
      <c r="Y335" s="49">
        <v>42190</v>
      </c>
      <c r="AY335" s="49">
        <v>42190</v>
      </c>
      <c r="AZ335" s="49">
        <v>42190</v>
      </c>
      <c r="BA335" s="49">
        <v>42190</v>
      </c>
    </row>
    <row r="336" spans="23:53" ht="16.2" customHeight="1" x14ac:dyDescent="0.4">
      <c r="W336" s="49">
        <v>42196</v>
      </c>
      <c r="X336" s="49">
        <v>42196</v>
      </c>
      <c r="Y336" s="49">
        <v>42196</v>
      </c>
      <c r="AY336" s="49">
        <v>42196</v>
      </c>
      <c r="AZ336" s="49">
        <v>42196</v>
      </c>
      <c r="BA336" s="49">
        <v>42196</v>
      </c>
    </row>
    <row r="337" spans="23:53" ht="16.2" customHeight="1" x14ac:dyDescent="0.4">
      <c r="W337" s="49">
        <v>42197</v>
      </c>
      <c r="X337" s="49">
        <v>42197</v>
      </c>
      <c r="Y337" s="49">
        <v>42197</v>
      </c>
      <c r="AY337" s="49">
        <v>42197</v>
      </c>
      <c r="AZ337" s="49">
        <v>42197</v>
      </c>
      <c r="BA337" s="49">
        <v>42197</v>
      </c>
    </row>
    <row r="338" spans="23:53" ht="16.2" customHeight="1" x14ac:dyDescent="0.4">
      <c r="W338" s="49">
        <v>42203</v>
      </c>
      <c r="X338" s="49">
        <v>42203</v>
      </c>
      <c r="Y338" s="49">
        <v>42203</v>
      </c>
      <c r="AY338" s="49">
        <v>42203</v>
      </c>
      <c r="AZ338" s="49">
        <v>42203</v>
      </c>
      <c r="BA338" s="49">
        <v>42203</v>
      </c>
    </row>
    <row r="339" spans="23:53" ht="16.2" customHeight="1" x14ac:dyDescent="0.4">
      <c r="W339" s="49">
        <v>42204</v>
      </c>
      <c r="X339" s="49">
        <v>42204</v>
      </c>
      <c r="Y339" s="49">
        <v>42204</v>
      </c>
      <c r="AY339" s="49">
        <v>42204</v>
      </c>
      <c r="AZ339" s="49">
        <v>42204</v>
      </c>
      <c r="BA339" s="49">
        <v>42204</v>
      </c>
    </row>
    <row r="340" spans="23:53" ht="16.2" customHeight="1" x14ac:dyDescent="0.4">
      <c r="W340" s="49">
        <v>42210</v>
      </c>
      <c r="X340" s="49">
        <v>42210</v>
      </c>
      <c r="Y340" s="49">
        <v>42210</v>
      </c>
      <c r="AY340" s="49">
        <v>42210</v>
      </c>
      <c r="AZ340" s="49">
        <v>42210</v>
      </c>
      <c r="BA340" s="49">
        <v>42210</v>
      </c>
    </row>
    <row r="341" spans="23:53" ht="16.2" customHeight="1" x14ac:dyDescent="0.4">
      <c r="W341" s="49">
        <v>42211</v>
      </c>
      <c r="X341" s="49">
        <v>42211</v>
      </c>
      <c r="Y341" s="49">
        <v>42211</v>
      </c>
      <c r="AY341" s="49">
        <v>42211</v>
      </c>
      <c r="AZ341" s="49">
        <v>42211</v>
      </c>
      <c r="BA341" s="49">
        <v>42211</v>
      </c>
    </row>
    <row r="342" spans="23:53" ht="16.2" customHeight="1" x14ac:dyDescent="0.4">
      <c r="W342" s="49">
        <v>42217</v>
      </c>
      <c r="X342" s="49">
        <v>42217</v>
      </c>
      <c r="Y342" s="49">
        <v>42217</v>
      </c>
      <c r="AY342" s="49">
        <v>42217</v>
      </c>
      <c r="AZ342" s="49">
        <v>42217</v>
      </c>
      <c r="BA342" s="49">
        <v>42217</v>
      </c>
    </row>
    <row r="343" spans="23:53" ht="16.2" customHeight="1" x14ac:dyDescent="0.4">
      <c r="W343" s="49">
        <v>42218</v>
      </c>
      <c r="X343" s="49">
        <v>42218</v>
      </c>
      <c r="Y343" s="49">
        <v>42218</v>
      </c>
      <c r="AY343" s="49">
        <v>42218</v>
      </c>
      <c r="AZ343" s="49">
        <v>42218</v>
      </c>
      <c r="BA343" s="49">
        <v>42218</v>
      </c>
    </row>
    <row r="344" spans="23:53" ht="16.2" customHeight="1" x14ac:dyDescent="0.4">
      <c r="W344" s="49">
        <v>42224</v>
      </c>
      <c r="X344" s="49">
        <v>42224</v>
      </c>
      <c r="Y344" s="49">
        <v>42224</v>
      </c>
      <c r="AY344" s="49">
        <v>42224</v>
      </c>
      <c r="AZ344" s="49">
        <v>42224</v>
      </c>
      <c r="BA344" s="49">
        <v>42224</v>
      </c>
    </row>
    <row r="345" spans="23:53" ht="16.2" customHeight="1" x14ac:dyDescent="0.4">
      <c r="W345" s="49">
        <v>42225</v>
      </c>
      <c r="X345" s="49">
        <v>42225</v>
      </c>
      <c r="Y345" s="49">
        <v>42225</v>
      </c>
      <c r="AY345" s="49">
        <v>42225</v>
      </c>
      <c r="AZ345" s="49">
        <v>42225</v>
      </c>
      <c r="BA345" s="49">
        <v>42225</v>
      </c>
    </row>
    <row r="346" spans="23:53" ht="16.2" customHeight="1" x14ac:dyDescent="0.4">
      <c r="W346" s="49">
        <v>42230</v>
      </c>
      <c r="X346" s="49">
        <v>42230</v>
      </c>
      <c r="Y346" s="49">
        <v>42230</v>
      </c>
      <c r="AY346" s="49">
        <v>42230</v>
      </c>
      <c r="AZ346" s="49">
        <v>42230</v>
      </c>
      <c r="BA346" s="49">
        <v>42230</v>
      </c>
    </row>
    <row r="347" spans="23:53" ht="16.2" customHeight="1" x14ac:dyDescent="0.4">
      <c r="W347" s="49">
        <v>42232</v>
      </c>
      <c r="X347" s="49">
        <v>42232</v>
      </c>
      <c r="Y347" s="49">
        <v>42232</v>
      </c>
      <c r="AY347" s="49">
        <v>42232</v>
      </c>
      <c r="AZ347" s="49">
        <v>42232</v>
      </c>
      <c r="BA347" s="49">
        <v>42232</v>
      </c>
    </row>
    <row r="348" spans="23:53" ht="16.2" customHeight="1" x14ac:dyDescent="0.4">
      <c r="W348" s="49">
        <v>42238</v>
      </c>
      <c r="X348" s="49">
        <v>42238</v>
      </c>
      <c r="Y348" s="49">
        <v>42238</v>
      </c>
      <c r="AY348" s="49">
        <v>42238</v>
      </c>
      <c r="AZ348" s="49">
        <v>42238</v>
      </c>
      <c r="BA348" s="49">
        <v>42238</v>
      </c>
    </row>
    <row r="349" spans="23:53" ht="16.2" customHeight="1" x14ac:dyDescent="0.4">
      <c r="W349" s="49">
        <v>42239</v>
      </c>
      <c r="X349" s="49">
        <v>42239</v>
      </c>
      <c r="Y349" s="49">
        <v>42239</v>
      </c>
      <c r="AY349" s="49">
        <v>42239</v>
      </c>
      <c r="AZ349" s="49">
        <v>42239</v>
      </c>
      <c r="BA349" s="49">
        <v>42239</v>
      </c>
    </row>
    <row r="350" spans="23:53" ht="16.2" customHeight="1" x14ac:dyDescent="0.4">
      <c r="W350" s="49">
        <v>42245</v>
      </c>
      <c r="X350" s="49">
        <v>42245</v>
      </c>
      <c r="Y350" s="49">
        <v>42245</v>
      </c>
      <c r="AY350" s="49">
        <v>42245</v>
      </c>
      <c r="AZ350" s="49">
        <v>42245</v>
      </c>
      <c r="BA350" s="49">
        <v>42245</v>
      </c>
    </row>
    <row r="351" spans="23:53" ht="16.2" customHeight="1" x14ac:dyDescent="0.4">
      <c r="W351" s="49">
        <v>42246</v>
      </c>
      <c r="X351" s="49">
        <v>42246</v>
      </c>
      <c r="Y351" s="49">
        <v>42246</v>
      </c>
      <c r="AY351" s="49">
        <v>42246</v>
      </c>
      <c r="AZ351" s="49">
        <v>42246</v>
      </c>
      <c r="BA351" s="49">
        <v>42246</v>
      </c>
    </row>
    <row r="352" spans="23:53" ht="16.2" customHeight="1" x14ac:dyDescent="0.4">
      <c r="W352" s="49">
        <v>42252</v>
      </c>
      <c r="X352" s="49">
        <v>42252</v>
      </c>
      <c r="Y352" s="49">
        <v>42252</v>
      </c>
      <c r="AY352" s="49">
        <v>42252</v>
      </c>
      <c r="AZ352" s="49">
        <v>42252</v>
      </c>
      <c r="BA352" s="49">
        <v>42252</v>
      </c>
    </row>
    <row r="353" spans="23:53" ht="16.2" customHeight="1" x14ac:dyDescent="0.4">
      <c r="W353" s="49">
        <v>42253</v>
      </c>
      <c r="X353" s="49">
        <v>42253</v>
      </c>
      <c r="Y353" s="49">
        <v>42253</v>
      </c>
      <c r="AY353" s="49">
        <v>42253</v>
      </c>
      <c r="AZ353" s="49">
        <v>42253</v>
      </c>
      <c r="BA353" s="49">
        <v>42253</v>
      </c>
    </row>
    <row r="354" spans="23:53" ht="16.2" customHeight="1" x14ac:dyDescent="0.4">
      <c r="W354" s="49">
        <v>42259</v>
      </c>
      <c r="X354" s="49">
        <v>42259</v>
      </c>
      <c r="Y354" s="49">
        <v>42259</v>
      </c>
      <c r="AY354" s="49">
        <v>42259</v>
      </c>
      <c r="AZ354" s="49">
        <v>42259</v>
      </c>
      <c r="BA354" s="49">
        <v>42259</v>
      </c>
    </row>
    <row r="355" spans="23:53" ht="16.2" customHeight="1" x14ac:dyDescent="0.4">
      <c r="W355" s="49">
        <v>42260</v>
      </c>
      <c r="X355" s="49">
        <v>42260</v>
      </c>
      <c r="Y355" s="49">
        <v>42260</v>
      </c>
      <c r="AY355" s="49">
        <v>42260</v>
      </c>
      <c r="AZ355" s="49">
        <v>42260</v>
      </c>
      <c r="BA355" s="49">
        <v>42260</v>
      </c>
    </row>
    <row r="356" spans="23:53" ht="16.2" customHeight="1" x14ac:dyDescent="0.4">
      <c r="W356" s="49">
        <v>42266</v>
      </c>
      <c r="X356" s="49">
        <v>42266</v>
      </c>
      <c r="Y356" s="49">
        <v>42266</v>
      </c>
      <c r="AY356" s="49">
        <v>42266</v>
      </c>
      <c r="AZ356" s="49">
        <v>42266</v>
      </c>
      <c r="BA356" s="49">
        <v>42266</v>
      </c>
    </row>
    <row r="357" spans="23:53" ht="16.2" customHeight="1" x14ac:dyDescent="0.4">
      <c r="W357" s="49">
        <v>42267</v>
      </c>
      <c r="X357" s="49">
        <v>42267</v>
      </c>
      <c r="Y357" s="49">
        <v>42267</v>
      </c>
      <c r="AY357" s="49">
        <v>42267</v>
      </c>
      <c r="AZ357" s="49">
        <v>42267</v>
      </c>
      <c r="BA357" s="49">
        <v>42267</v>
      </c>
    </row>
    <row r="358" spans="23:53" ht="16.2" customHeight="1" x14ac:dyDescent="0.4">
      <c r="W358" s="49">
        <v>42274</v>
      </c>
      <c r="X358" s="49">
        <v>42274</v>
      </c>
      <c r="Y358" s="49">
        <v>42274</v>
      </c>
      <c r="AY358" s="49">
        <v>42274</v>
      </c>
      <c r="AZ358" s="49">
        <v>42274</v>
      </c>
      <c r="BA358" s="49">
        <v>42274</v>
      </c>
    </row>
    <row r="359" spans="23:53" ht="16.2" customHeight="1" x14ac:dyDescent="0.4">
      <c r="W359" s="49">
        <v>42275</v>
      </c>
      <c r="X359" s="49">
        <v>42275</v>
      </c>
      <c r="Y359" s="49">
        <v>42275</v>
      </c>
      <c r="AY359" s="49">
        <v>42275</v>
      </c>
      <c r="AZ359" s="49">
        <v>42275</v>
      </c>
      <c r="BA359" s="49">
        <v>42275</v>
      </c>
    </row>
    <row r="360" spans="23:53" ht="16.2" customHeight="1" x14ac:dyDescent="0.4">
      <c r="W360" s="49">
        <v>42276</v>
      </c>
      <c r="X360" s="49">
        <v>42276</v>
      </c>
      <c r="Y360" s="49">
        <v>42276</v>
      </c>
      <c r="AY360" s="49">
        <v>42276</v>
      </c>
      <c r="AZ360" s="49">
        <v>42276</v>
      </c>
      <c r="BA360" s="49">
        <v>42276</v>
      </c>
    </row>
    <row r="361" spans="23:53" ht="16.2" customHeight="1" x14ac:dyDescent="0.4">
      <c r="W361" s="49">
        <v>42281</v>
      </c>
      <c r="X361" s="49">
        <v>42281</v>
      </c>
      <c r="Y361" s="49">
        <v>42281</v>
      </c>
      <c r="AY361" s="49">
        <v>42281</v>
      </c>
      <c r="AZ361" s="49">
        <v>42281</v>
      </c>
      <c r="BA361" s="49">
        <v>42281</v>
      </c>
    </row>
    <row r="362" spans="23:53" ht="16.2" customHeight="1" x14ac:dyDescent="0.4">
      <c r="W362" s="49">
        <v>42286</v>
      </c>
      <c r="X362" s="49">
        <v>42286</v>
      </c>
      <c r="Y362" s="49">
        <v>42286</v>
      </c>
      <c r="AY362" s="49">
        <v>42286</v>
      </c>
      <c r="AZ362" s="49">
        <v>42286</v>
      </c>
      <c r="BA362" s="49">
        <v>42286</v>
      </c>
    </row>
    <row r="363" spans="23:53" ht="16.2" customHeight="1" x14ac:dyDescent="0.4">
      <c r="W363" s="49">
        <v>42287</v>
      </c>
      <c r="X363" s="49">
        <v>42287</v>
      </c>
      <c r="Y363" s="49">
        <v>42287</v>
      </c>
      <c r="AY363" s="49">
        <v>42287</v>
      </c>
      <c r="AZ363" s="49">
        <v>42287</v>
      </c>
      <c r="BA363" s="49">
        <v>42287</v>
      </c>
    </row>
    <row r="364" spans="23:53" ht="16.2" customHeight="1" x14ac:dyDescent="0.4">
      <c r="W364" s="49">
        <v>42288</v>
      </c>
      <c r="X364" s="49">
        <v>42288</v>
      </c>
      <c r="Y364" s="49">
        <v>42288</v>
      </c>
      <c r="AY364" s="49">
        <v>42288</v>
      </c>
      <c r="AZ364" s="49">
        <v>42288</v>
      </c>
      <c r="BA364" s="49">
        <v>42288</v>
      </c>
    </row>
    <row r="365" spans="23:53" ht="16.2" customHeight="1" x14ac:dyDescent="0.4">
      <c r="W365" s="49">
        <v>42294</v>
      </c>
      <c r="X365" s="49">
        <v>42294</v>
      </c>
      <c r="Y365" s="49">
        <v>42294</v>
      </c>
      <c r="AY365" s="49">
        <v>42294</v>
      </c>
      <c r="AZ365" s="49">
        <v>42294</v>
      </c>
      <c r="BA365" s="49">
        <v>42294</v>
      </c>
    </row>
    <row r="366" spans="23:53" ht="16.2" customHeight="1" x14ac:dyDescent="0.4">
      <c r="W366" s="49">
        <v>42295</v>
      </c>
      <c r="X366" s="49">
        <v>42295</v>
      </c>
      <c r="Y366" s="49">
        <v>42295</v>
      </c>
      <c r="AY366" s="49">
        <v>42295</v>
      </c>
      <c r="AZ366" s="49">
        <v>42295</v>
      </c>
      <c r="BA366" s="49">
        <v>42295</v>
      </c>
    </row>
    <row r="367" spans="23:53" ht="16.2" customHeight="1" x14ac:dyDescent="0.4">
      <c r="W367" s="49">
        <v>42301</v>
      </c>
      <c r="X367" s="49">
        <v>42301</v>
      </c>
      <c r="Y367" s="49">
        <v>42301</v>
      </c>
      <c r="AY367" s="49">
        <v>42301</v>
      </c>
      <c r="AZ367" s="49">
        <v>42301</v>
      </c>
      <c r="BA367" s="49">
        <v>42301</v>
      </c>
    </row>
    <row r="368" spans="23:53" ht="16.2" customHeight="1" x14ac:dyDescent="0.4">
      <c r="W368" s="49">
        <v>42302</v>
      </c>
      <c r="X368" s="49">
        <v>42302</v>
      </c>
      <c r="Y368" s="49">
        <v>42302</v>
      </c>
      <c r="AY368" s="49">
        <v>42302</v>
      </c>
      <c r="AZ368" s="49">
        <v>42302</v>
      </c>
      <c r="BA368" s="49">
        <v>42302</v>
      </c>
    </row>
    <row r="369" spans="23:53" ht="16.2" customHeight="1" x14ac:dyDescent="0.4">
      <c r="W369" s="49">
        <v>42308</v>
      </c>
      <c r="X369" s="49">
        <v>42308</v>
      </c>
      <c r="Y369" s="49">
        <v>42308</v>
      </c>
      <c r="AY369" s="49">
        <v>42308</v>
      </c>
      <c r="AZ369" s="49">
        <v>42308</v>
      </c>
      <c r="BA369" s="49">
        <v>42308</v>
      </c>
    </row>
    <row r="370" spans="23:53" ht="16.2" customHeight="1" x14ac:dyDescent="0.4">
      <c r="W370" s="49">
        <v>42309</v>
      </c>
      <c r="X370" s="49">
        <v>42309</v>
      </c>
      <c r="Y370" s="49">
        <v>42309</v>
      </c>
      <c r="AY370" s="49">
        <v>42309</v>
      </c>
      <c r="AZ370" s="49">
        <v>42309</v>
      </c>
      <c r="BA370" s="49">
        <v>42309</v>
      </c>
    </row>
    <row r="371" spans="23:53" ht="16.2" customHeight="1" x14ac:dyDescent="0.4">
      <c r="W371" s="49">
        <v>42315</v>
      </c>
      <c r="X371" s="49">
        <v>42315</v>
      </c>
      <c r="Y371" s="49">
        <v>42315</v>
      </c>
      <c r="AY371" s="49">
        <v>42315</v>
      </c>
      <c r="AZ371" s="49">
        <v>42315</v>
      </c>
      <c r="BA371" s="49">
        <v>42315</v>
      </c>
    </row>
    <row r="372" spans="23:53" ht="16.2" customHeight="1" x14ac:dyDescent="0.4">
      <c r="W372" s="49">
        <v>42316</v>
      </c>
      <c r="X372" s="49">
        <v>42316</v>
      </c>
      <c r="Y372" s="49">
        <v>42316</v>
      </c>
      <c r="AY372" s="49">
        <v>42316</v>
      </c>
      <c r="AZ372" s="49">
        <v>42316</v>
      </c>
      <c r="BA372" s="49">
        <v>42316</v>
      </c>
    </row>
    <row r="373" spans="23:53" ht="16.2" customHeight="1" x14ac:dyDescent="0.4">
      <c r="W373" s="49">
        <v>42322</v>
      </c>
      <c r="X373" s="49">
        <v>42322</v>
      </c>
      <c r="Y373" s="49">
        <v>42322</v>
      </c>
      <c r="AY373" s="49">
        <v>42322</v>
      </c>
      <c r="AZ373" s="49">
        <v>42322</v>
      </c>
      <c r="BA373" s="49">
        <v>42322</v>
      </c>
    </row>
    <row r="374" spans="23:53" ht="16.2" customHeight="1" x14ac:dyDescent="0.4">
      <c r="W374" s="49">
        <v>42323</v>
      </c>
      <c r="X374" s="49">
        <v>42323</v>
      </c>
      <c r="Y374" s="49">
        <v>42323</v>
      </c>
      <c r="AY374" s="49">
        <v>42323</v>
      </c>
      <c r="AZ374" s="49">
        <v>42323</v>
      </c>
      <c r="BA374" s="49">
        <v>42323</v>
      </c>
    </row>
    <row r="375" spans="23:53" ht="16.2" customHeight="1" x14ac:dyDescent="0.4">
      <c r="W375" s="49">
        <v>42329</v>
      </c>
      <c r="X375" s="49">
        <v>42329</v>
      </c>
      <c r="Y375" s="49">
        <v>42329</v>
      </c>
      <c r="AY375" s="49">
        <v>42329</v>
      </c>
      <c r="AZ375" s="49">
        <v>42329</v>
      </c>
      <c r="BA375" s="49">
        <v>42329</v>
      </c>
    </row>
    <row r="376" spans="23:53" ht="16.2" customHeight="1" x14ac:dyDescent="0.4">
      <c r="W376" s="49">
        <v>42330</v>
      </c>
      <c r="X376" s="49">
        <v>42330</v>
      </c>
      <c r="Y376" s="49">
        <v>42330</v>
      </c>
      <c r="AY376" s="49">
        <v>42330</v>
      </c>
      <c r="AZ376" s="49">
        <v>42330</v>
      </c>
      <c r="BA376" s="49">
        <v>42330</v>
      </c>
    </row>
    <row r="377" spans="23:53" ht="16.2" customHeight="1" x14ac:dyDescent="0.4">
      <c r="W377" s="49">
        <v>42336</v>
      </c>
      <c r="X377" s="49">
        <v>42336</v>
      </c>
      <c r="Y377" s="49">
        <v>42336</v>
      </c>
      <c r="AY377" s="49">
        <v>42336</v>
      </c>
      <c r="AZ377" s="49">
        <v>42336</v>
      </c>
      <c r="BA377" s="49">
        <v>42336</v>
      </c>
    </row>
    <row r="378" spans="23:53" ht="16.2" customHeight="1" x14ac:dyDescent="0.4">
      <c r="W378" s="49">
        <v>42337</v>
      </c>
      <c r="X378" s="49">
        <v>42337</v>
      </c>
      <c r="Y378" s="49">
        <v>42337</v>
      </c>
      <c r="AY378" s="49">
        <v>42337</v>
      </c>
      <c r="AZ378" s="49">
        <v>42337</v>
      </c>
      <c r="BA378" s="49">
        <v>42337</v>
      </c>
    </row>
    <row r="379" spans="23:53" ht="16.2" customHeight="1" x14ac:dyDescent="0.4">
      <c r="W379" s="49">
        <v>42343</v>
      </c>
      <c r="X379" s="49">
        <v>42343</v>
      </c>
      <c r="Y379" s="49">
        <v>42343</v>
      </c>
      <c r="AY379" s="49">
        <v>42343</v>
      </c>
      <c r="AZ379" s="49">
        <v>42343</v>
      </c>
      <c r="BA379" s="49">
        <v>42343</v>
      </c>
    </row>
    <row r="380" spans="23:53" ht="16.2" customHeight="1" x14ac:dyDescent="0.4">
      <c r="W380" s="49">
        <v>42344</v>
      </c>
      <c r="X380" s="49">
        <v>42344</v>
      </c>
      <c r="Y380" s="49">
        <v>42344</v>
      </c>
      <c r="AY380" s="49">
        <v>42344</v>
      </c>
      <c r="AZ380" s="49">
        <v>42344</v>
      </c>
      <c r="BA380" s="49">
        <v>42344</v>
      </c>
    </row>
    <row r="381" spans="23:53" ht="16.2" customHeight="1" x14ac:dyDescent="0.4">
      <c r="W381" s="49">
        <v>42350</v>
      </c>
      <c r="X381" s="49">
        <v>42350</v>
      </c>
      <c r="Y381" s="49">
        <v>42350</v>
      </c>
      <c r="AY381" s="49">
        <v>42350</v>
      </c>
      <c r="AZ381" s="49">
        <v>42350</v>
      </c>
      <c r="BA381" s="49">
        <v>42350</v>
      </c>
    </row>
    <row r="382" spans="23:53" ht="16.2" customHeight="1" x14ac:dyDescent="0.4">
      <c r="W382" s="49">
        <v>42351</v>
      </c>
      <c r="X382" s="49">
        <v>42351</v>
      </c>
      <c r="Y382" s="49">
        <v>42351</v>
      </c>
      <c r="AY382" s="49">
        <v>42351</v>
      </c>
      <c r="AZ382" s="49">
        <v>42351</v>
      </c>
      <c r="BA382" s="49">
        <v>42351</v>
      </c>
    </row>
    <row r="383" spans="23:53" ht="16.2" customHeight="1" x14ac:dyDescent="0.4">
      <c r="W383" s="49">
        <v>42357</v>
      </c>
      <c r="X383" s="49">
        <v>42357</v>
      </c>
      <c r="Y383" s="49">
        <v>42357</v>
      </c>
      <c r="AY383" s="49">
        <v>42357</v>
      </c>
      <c r="AZ383" s="49">
        <v>42357</v>
      </c>
      <c r="BA383" s="49">
        <v>42357</v>
      </c>
    </row>
    <row r="384" spans="23:53" ht="16.2" customHeight="1" x14ac:dyDescent="0.4">
      <c r="W384" s="49">
        <v>42358</v>
      </c>
      <c r="X384" s="49">
        <v>42358</v>
      </c>
      <c r="Y384" s="49">
        <v>42358</v>
      </c>
      <c r="AY384" s="49">
        <v>42358</v>
      </c>
      <c r="AZ384" s="49">
        <v>42358</v>
      </c>
      <c r="BA384" s="49">
        <v>42358</v>
      </c>
    </row>
    <row r="385" spans="23:53" ht="16.2" customHeight="1" x14ac:dyDescent="0.4">
      <c r="W385" s="49">
        <v>42363</v>
      </c>
      <c r="X385" s="49">
        <v>42363</v>
      </c>
      <c r="Y385" s="49">
        <v>42363</v>
      </c>
      <c r="AY385" s="49">
        <v>42363</v>
      </c>
      <c r="AZ385" s="49">
        <v>42363</v>
      </c>
      <c r="BA385" s="49">
        <v>42363</v>
      </c>
    </row>
    <row r="386" spans="23:53" ht="16.2" customHeight="1" x14ac:dyDescent="0.4">
      <c r="W386" s="49">
        <v>42364</v>
      </c>
      <c r="X386" s="49">
        <v>42364</v>
      </c>
      <c r="Y386" s="49">
        <v>42364</v>
      </c>
      <c r="AY386" s="49">
        <v>42364</v>
      </c>
      <c r="AZ386" s="49">
        <v>42364</v>
      </c>
      <c r="BA386" s="49">
        <v>42364</v>
      </c>
    </row>
    <row r="387" spans="23:53" ht="16.2" customHeight="1" x14ac:dyDescent="0.4">
      <c r="W387" s="49">
        <v>42365</v>
      </c>
      <c r="X387" s="49">
        <v>42365</v>
      </c>
      <c r="Y387" s="49">
        <v>42365</v>
      </c>
      <c r="AY387" s="49">
        <v>42365</v>
      </c>
      <c r="AZ387" s="49">
        <v>42365</v>
      </c>
      <c r="BA387" s="49">
        <v>42365</v>
      </c>
    </row>
    <row r="388" spans="23:53" ht="16.2" customHeight="1" x14ac:dyDescent="0.4">
      <c r="W388" s="49">
        <v>42370</v>
      </c>
      <c r="X388" s="49">
        <v>42370</v>
      </c>
      <c r="Y388" s="49">
        <v>42370</v>
      </c>
      <c r="AY388" s="49">
        <v>42370</v>
      </c>
      <c r="AZ388" s="49">
        <v>42370</v>
      </c>
      <c r="BA388" s="49">
        <v>42370</v>
      </c>
    </row>
    <row r="389" spans="23:53" ht="16.2" customHeight="1" x14ac:dyDescent="0.4">
      <c r="W389" s="49">
        <v>42371</v>
      </c>
      <c r="X389" s="49">
        <v>42371</v>
      </c>
      <c r="Y389" s="49">
        <v>42371</v>
      </c>
      <c r="AY389" s="49">
        <v>42371</v>
      </c>
      <c r="AZ389" s="49">
        <v>42371</v>
      </c>
      <c r="BA389" s="49">
        <v>42371</v>
      </c>
    </row>
    <row r="390" spans="23:53" ht="16.2" customHeight="1" x14ac:dyDescent="0.4">
      <c r="W390" s="49">
        <v>42372</v>
      </c>
      <c r="X390" s="49">
        <v>42372</v>
      </c>
      <c r="Y390" s="49">
        <v>42372</v>
      </c>
      <c r="AY390" s="49">
        <v>42372</v>
      </c>
      <c r="AZ390" s="49">
        <v>42372</v>
      </c>
      <c r="BA390" s="49">
        <v>42372</v>
      </c>
    </row>
    <row r="391" spans="23:53" ht="16.2" customHeight="1" x14ac:dyDescent="0.4">
      <c r="W391" s="49">
        <v>42378</v>
      </c>
      <c r="X391" s="49">
        <v>42378</v>
      </c>
      <c r="Y391" s="49">
        <v>42378</v>
      </c>
      <c r="AY391" s="49">
        <v>42378</v>
      </c>
      <c r="AZ391" s="49">
        <v>42378</v>
      </c>
      <c r="BA391" s="49">
        <v>42378</v>
      </c>
    </row>
    <row r="392" spans="23:53" ht="16.2" customHeight="1" x14ac:dyDescent="0.4">
      <c r="W392" s="49">
        <v>42379</v>
      </c>
      <c r="X392" s="49">
        <v>42379</v>
      </c>
      <c r="Y392" s="49">
        <v>42379</v>
      </c>
      <c r="AY392" s="49">
        <v>42379</v>
      </c>
      <c r="AZ392" s="49">
        <v>42379</v>
      </c>
      <c r="BA392" s="49">
        <v>42379</v>
      </c>
    </row>
    <row r="393" spans="23:53" ht="16.2" customHeight="1" x14ac:dyDescent="0.4">
      <c r="W393" s="49">
        <v>42385</v>
      </c>
      <c r="X393" s="49">
        <v>42385</v>
      </c>
      <c r="Y393" s="49">
        <v>42385</v>
      </c>
      <c r="AY393" s="49">
        <v>42385</v>
      </c>
      <c r="AZ393" s="49">
        <v>42385</v>
      </c>
      <c r="BA393" s="49">
        <v>42385</v>
      </c>
    </row>
    <row r="394" spans="23:53" ht="16.2" customHeight="1" x14ac:dyDescent="0.4">
      <c r="W394" s="49">
        <v>42386</v>
      </c>
      <c r="X394" s="49">
        <v>42386</v>
      </c>
      <c r="Y394" s="49">
        <v>42386</v>
      </c>
      <c r="AY394" s="49">
        <v>42386</v>
      </c>
      <c r="AZ394" s="49">
        <v>42386</v>
      </c>
      <c r="BA394" s="49">
        <v>42386</v>
      </c>
    </row>
    <row r="395" spans="23:53" ht="16.2" customHeight="1" x14ac:dyDescent="0.4">
      <c r="W395" s="49">
        <v>42392</v>
      </c>
      <c r="X395" s="49">
        <v>42392</v>
      </c>
      <c r="Y395" s="49">
        <v>42392</v>
      </c>
      <c r="AY395" s="49">
        <v>42392</v>
      </c>
      <c r="AZ395" s="49">
        <v>42392</v>
      </c>
      <c r="BA395" s="49">
        <v>42392</v>
      </c>
    </row>
    <row r="396" spans="23:53" ht="16.2" customHeight="1" x14ac:dyDescent="0.4">
      <c r="W396" s="49">
        <v>42393</v>
      </c>
      <c r="X396" s="49">
        <v>42393</v>
      </c>
      <c r="Y396" s="49">
        <v>42393</v>
      </c>
      <c r="AY396" s="49">
        <v>42393</v>
      </c>
      <c r="AZ396" s="49">
        <v>42393</v>
      </c>
      <c r="BA396" s="49">
        <v>42393</v>
      </c>
    </row>
    <row r="397" spans="23:53" ht="16.2" customHeight="1" x14ac:dyDescent="0.4">
      <c r="W397" s="49">
        <v>42399</v>
      </c>
      <c r="X397" s="49">
        <v>42399</v>
      </c>
      <c r="Y397" s="49">
        <v>42399</v>
      </c>
      <c r="AY397" s="49">
        <v>42399</v>
      </c>
      <c r="AZ397" s="49">
        <v>42399</v>
      </c>
      <c r="BA397" s="49">
        <v>42399</v>
      </c>
    </row>
    <row r="398" spans="23:53" ht="16.2" customHeight="1" x14ac:dyDescent="0.4">
      <c r="W398" s="49">
        <v>42400</v>
      </c>
      <c r="X398" s="49">
        <v>42400</v>
      </c>
      <c r="Y398" s="49">
        <v>42400</v>
      </c>
      <c r="AY398" s="49">
        <v>42400</v>
      </c>
      <c r="AZ398" s="49">
        <v>42400</v>
      </c>
      <c r="BA398" s="49">
        <v>42400</v>
      </c>
    </row>
    <row r="399" spans="23:53" ht="16.2" customHeight="1" x14ac:dyDescent="0.4">
      <c r="W399" s="49">
        <v>42406</v>
      </c>
      <c r="X399" s="49">
        <v>42406</v>
      </c>
      <c r="Y399" s="49">
        <v>42406</v>
      </c>
      <c r="AY399" s="49">
        <v>42406</v>
      </c>
      <c r="AZ399" s="49">
        <v>42406</v>
      </c>
      <c r="BA399" s="49">
        <v>42406</v>
      </c>
    </row>
    <row r="400" spans="23:53" ht="16.2" customHeight="1" x14ac:dyDescent="0.4">
      <c r="W400" s="49">
        <v>42407</v>
      </c>
      <c r="X400" s="49">
        <v>42407</v>
      </c>
      <c r="Y400" s="49">
        <v>42407</v>
      </c>
      <c r="AY400" s="49">
        <v>42407</v>
      </c>
      <c r="AZ400" s="49">
        <v>42407</v>
      </c>
      <c r="BA400" s="49">
        <v>42407</v>
      </c>
    </row>
    <row r="401" spans="23:53" ht="16.2" customHeight="1" x14ac:dyDescent="0.4">
      <c r="W401" s="49">
        <v>42408</v>
      </c>
      <c r="X401" s="49">
        <v>42408</v>
      </c>
      <c r="Y401" s="49">
        <v>42408</v>
      </c>
      <c r="AY401" s="49">
        <v>42408</v>
      </c>
      <c r="AZ401" s="49">
        <v>42408</v>
      </c>
      <c r="BA401" s="49">
        <v>42408</v>
      </c>
    </row>
    <row r="402" spans="23:53" ht="16.2" customHeight="1" x14ac:dyDescent="0.4">
      <c r="W402" s="49">
        <v>42409</v>
      </c>
      <c r="X402" s="49">
        <v>42409</v>
      </c>
      <c r="Y402" s="49">
        <v>42409</v>
      </c>
      <c r="AY402" s="49">
        <v>42409</v>
      </c>
      <c r="AZ402" s="49">
        <v>42409</v>
      </c>
      <c r="BA402" s="49">
        <v>42409</v>
      </c>
    </row>
    <row r="403" spans="23:53" ht="16.2" customHeight="1" x14ac:dyDescent="0.4">
      <c r="W403" s="49">
        <v>42410</v>
      </c>
      <c r="X403" s="49">
        <v>42410</v>
      </c>
      <c r="Y403" s="49">
        <v>42410</v>
      </c>
      <c r="AY403" s="49">
        <v>42410</v>
      </c>
      <c r="AZ403" s="49">
        <v>42410</v>
      </c>
      <c r="BA403" s="49">
        <v>42410</v>
      </c>
    </row>
    <row r="404" spans="23:53" ht="16.2" customHeight="1" x14ac:dyDescent="0.4">
      <c r="W404" s="49">
        <v>42413</v>
      </c>
      <c r="X404" s="49">
        <v>42413</v>
      </c>
      <c r="Y404" s="49">
        <v>42413</v>
      </c>
      <c r="AY404" s="49">
        <v>42413</v>
      </c>
      <c r="AZ404" s="49">
        <v>42413</v>
      </c>
      <c r="BA404" s="49">
        <v>42413</v>
      </c>
    </row>
    <row r="405" spans="23:53" ht="16.2" customHeight="1" x14ac:dyDescent="0.4">
      <c r="W405" s="49">
        <v>42414</v>
      </c>
      <c r="X405" s="49">
        <v>42414</v>
      </c>
      <c r="Y405" s="49">
        <v>42414</v>
      </c>
      <c r="AY405" s="49">
        <v>42414</v>
      </c>
      <c r="AZ405" s="49">
        <v>42414</v>
      </c>
      <c r="BA405" s="49">
        <v>42414</v>
      </c>
    </row>
    <row r="406" spans="23:53" ht="16.2" customHeight="1" x14ac:dyDescent="0.4">
      <c r="W406" s="49">
        <v>42420</v>
      </c>
      <c r="X406" s="49">
        <v>42420</v>
      </c>
      <c r="Y406" s="49">
        <v>42420</v>
      </c>
      <c r="AY406" s="49">
        <v>42420</v>
      </c>
      <c r="AZ406" s="49">
        <v>42420</v>
      </c>
      <c r="BA406" s="49">
        <v>42420</v>
      </c>
    </row>
    <row r="407" spans="23:53" ht="16.2" customHeight="1" x14ac:dyDescent="0.4">
      <c r="W407" s="49">
        <v>42421</v>
      </c>
      <c r="X407" s="49">
        <v>42421</v>
      </c>
      <c r="Y407" s="49">
        <v>42421</v>
      </c>
      <c r="AY407" s="49">
        <v>42421</v>
      </c>
      <c r="AZ407" s="49">
        <v>42421</v>
      </c>
      <c r="BA407" s="49">
        <v>42421</v>
      </c>
    </row>
    <row r="408" spans="23:53" ht="16.2" customHeight="1" x14ac:dyDescent="0.4">
      <c r="W408" s="49">
        <v>42427</v>
      </c>
      <c r="X408" s="49">
        <v>42427</v>
      </c>
      <c r="Y408" s="49">
        <v>42427</v>
      </c>
      <c r="AY408" s="49">
        <v>42427</v>
      </c>
      <c r="AZ408" s="49">
        <v>42427</v>
      </c>
      <c r="BA408" s="49">
        <v>42427</v>
      </c>
    </row>
    <row r="409" spans="23:53" ht="16.2" customHeight="1" x14ac:dyDescent="0.4">
      <c r="W409" s="49">
        <v>42428</v>
      </c>
      <c r="X409" s="49">
        <v>42428</v>
      </c>
      <c r="Y409" s="49">
        <v>42428</v>
      </c>
      <c r="AY409" s="49">
        <v>42428</v>
      </c>
      <c r="AZ409" s="49">
        <v>42428</v>
      </c>
      <c r="BA409" s="49">
        <v>42428</v>
      </c>
    </row>
    <row r="410" spans="23:53" ht="16.2" customHeight="1" x14ac:dyDescent="0.4">
      <c r="W410" s="49">
        <v>42430</v>
      </c>
      <c r="X410" s="49">
        <v>42430</v>
      </c>
      <c r="Y410" s="49">
        <v>42430</v>
      </c>
      <c r="AY410" s="49">
        <v>42430</v>
      </c>
      <c r="AZ410" s="49">
        <v>42430</v>
      </c>
      <c r="BA410" s="49">
        <v>42430</v>
      </c>
    </row>
    <row r="411" spans="23:53" ht="16.2" customHeight="1" x14ac:dyDescent="0.4">
      <c r="W411" s="49">
        <v>42434</v>
      </c>
      <c r="X411" s="49">
        <v>42434</v>
      </c>
      <c r="Y411" s="49">
        <v>42434</v>
      </c>
      <c r="AY411" s="49">
        <v>42434</v>
      </c>
      <c r="AZ411" s="49">
        <v>42434</v>
      </c>
      <c r="BA411" s="49">
        <v>42434</v>
      </c>
    </row>
    <row r="412" spans="23:53" ht="16.2" customHeight="1" x14ac:dyDescent="0.4">
      <c r="W412" s="49">
        <v>42435</v>
      </c>
      <c r="X412" s="49">
        <v>42435</v>
      </c>
      <c r="Y412" s="49">
        <v>42435</v>
      </c>
      <c r="AY412" s="49">
        <v>42435</v>
      </c>
      <c r="AZ412" s="49">
        <v>42435</v>
      </c>
      <c r="BA412" s="49">
        <v>42435</v>
      </c>
    </row>
    <row r="413" spans="23:53" ht="16.2" customHeight="1" x14ac:dyDescent="0.4">
      <c r="W413" s="49">
        <v>42441</v>
      </c>
      <c r="X413" s="49">
        <v>42441</v>
      </c>
      <c r="Y413" s="49">
        <v>42441</v>
      </c>
      <c r="AY413" s="49">
        <v>42441</v>
      </c>
      <c r="AZ413" s="49">
        <v>42441</v>
      </c>
      <c r="BA413" s="49">
        <v>42441</v>
      </c>
    </row>
    <row r="414" spans="23:53" ht="16.2" customHeight="1" x14ac:dyDescent="0.4">
      <c r="W414" s="49">
        <v>42442</v>
      </c>
      <c r="X414" s="49">
        <v>42442</v>
      </c>
      <c r="Y414" s="49">
        <v>42442</v>
      </c>
      <c r="AY414" s="49">
        <v>42442</v>
      </c>
      <c r="AZ414" s="49">
        <v>42442</v>
      </c>
      <c r="BA414" s="49">
        <v>42442</v>
      </c>
    </row>
    <row r="415" spans="23:53" ht="16.2" customHeight="1" x14ac:dyDescent="0.4">
      <c r="W415" s="49">
        <v>42448</v>
      </c>
      <c r="X415" s="49">
        <v>42448</v>
      </c>
      <c r="Y415" s="49">
        <v>42448</v>
      </c>
      <c r="AY415" s="49">
        <v>42448</v>
      </c>
      <c r="AZ415" s="49">
        <v>42448</v>
      </c>
      <c r="BA415" s="49">
        <v>42448</v>
      </c>
    </row>
    <row r="416" spans="23:53" ht="16.2" customHeight="1" x14ac:dyDescent="0.4">
      <c r="W416" s="49">
        <v>42449</v>
      </c>
      <c r="X416" s="49">
        <v>42449</v>
      </c>
      <c r="Y416" s="49">
        <v>42449</v>
      </c>
      <c r="AY416" s="49">
        <v>42449</v>
      </c>
      <c r="AZ416" s="49">
        <v>42449</v>
      </c>
      <c r="BA416" s="49">
        <v>42449</v>
      </c>
    </row>
    <row r="417" spans="23:53" ht="16.2" customHeight="1" x14ac:dyDescent="0.4">
      <c r="W417" s="49">
        <v>42455</v>
      </c>
      <c r="X417" s="49">
        <v>42455</v>
      </c>
      <c r="Y417" s="49">
        <v>42455</v>
      </c>
      <c r="AY417" s="49">
        <v>42455</v>
      </c>
      <c r="AZ417" s="49">
        <v>42455</v>
      </c>
      <c r="BA417" s="49">
        <v>42455</v>
      </c>
    </row>
    <row r="418" spans="23:53" ht="16.2" customHeight="1" x14ac:dyDescent="0.4">
      <c r="W418" s="49">
        <v>42456</v>
      </c>
      <c r="X418" s="49">
        <v>42456</v>
      </c>
      <c r="Y418" s="49">
        <v>42456</v>
      </c>
      <c r="AY418" s="49">
        <v>42456</v>
      </c>
      <c r="AZ418" s="49">
        <v>42456</v>
      </c>
      <c r="BA418" s="49">
        <v>42456</v>
      </c>
    </row>
    <row r="419" spans="23:53" ht="16.2" customHeight="1" x14ac:dyDescent="0.4">
      <c r="W419" s="49">
        <v>42462</v>
      </c>
      <c r="X419" s="49">
        <v>42462</v>
      </c>
      <c r="Y419" s="49">
        <v>42462</v>
      </c>
      <c r="AY419" s="49">
        <v>42462</v>
      </c>
      <c r="AZ419" s="49">
        <v>42462</v>
      </c>
      <c r="BA419" s="49">
        <v>42462</v>
      </c>
    </row>
    <row r="420" spans="23:53" ht="16.2" customHeight="1" x14ac:dyDescent="0.4">
      <c r="W420" s="49">
        <v>42463</v>
      </c>
      <c r="X420" s="49">
        <v>42463</v>
      </c>
      <c r="Y420" s="49">
        <v>42463</v>
      </c>
      <c r="AY420" s="49">
        <v>42463</v>
      </c>
      <c r="AZ420" s="49">
        <v>42463</v>
      </c>
      <c r="BA420" s="49">
        <v>42463</v>
      </c>
    </row>
    <row r="421" spans="23:53" ht="16.2" customHeight="1" x14ac:dyDescent="0.4">
      <c r="W421" s="49">
        <v>42469</v>
      </c>
      <c r="X421" s="49">
        <v>42469</v>
      </c>
      <c r="Y421" s="49">
        <v>42469</v>
      </c>
      <c r="AY421" s="49">
        <v>42469</v>
      </c>
      <c r="AZ421" s="49">
        <v>42469</v>
      </c>
      <c r="BA421" s="49">
        <v>42469</v>
      </c>
    </row>
    <row r="422" spans="23:53" ht="16.2" customHeight="1" x14ac:dyDescent="0.4">
      <c r="W422" s="49">
        <v>42470</v>
      </c>
      <c r="X422" s="49">
        <v>42470</v>
      </c>
      <c r="Y422" s="49">
        <v>42470</v>
      </c>
      <c r="AY422" s="49">
        <v>42470</v>
      </c>
      <c r="AZ422" s="49">
        <v>42470</v>
      </c>
      <c r="BA422" s="49">
        <v>42470</v>
      </c>
    </row>
    <row r="423" spans="23:53" ht="16.2" customHeight="1" x14ac:dyDescent="0.4">
      <c r="W423" s="49">
        <v>42473</v>
      </c>
      <c r="X423" s="49">
        <v>42473</v>
      </c>
      <c r="Y423" s="49">
        <v>42473</v>
      </c>
      <c r="AY423" s="49">
        <v>42473</v>
      </c>
      <c r="AZ423" s="49">
        <v>42473</v>
      </c>
      <c r="BA423" s="49">
        <v>42473</v>
      </c>
    </row>
    <row r="424" spans="23:53" ht="16.2" customHeight="1" x14ac:dyDescent="0.4">
      <c r="W424" s="49">
        <v>42476</v>
      </c>
      <c r="X424" s="49">
        <v>42476</v>
      </c>
      <c r="Y424" s="49">
        <v>42476</v>
      </c>
      <c r="AY424" s="49">
        <v>42476</v>
      </c>
      <c r="AZ424" s="49">
        <v>42476</v>
      </c>
      <c r="BA424" s="49">
        <v>42476</v>
      </c>
    </row>
    <row r="425" spans="23:53" ht="16.2" customHeight="1" x14ac:dyDescent="0.4">
      <c r="W425" s="49">
        <v>42477</v>
      </c>
      <c r="X425" s="49">
        <v>42477</v>
      </c>
      <c r="Y425" s="49">
        <v>42477</v>
      </c>
      <c r="AY425" s="49">
        <v>42477</v>
      </c>
      <c r="AZ425" s="49">
        <v>42477</v>
      </c>
      <c r="BA425" s="49">
        <v>42477</v>
      </c>
    </row>
    <row r="426" spans="23:53" ht="16.2" customHeight="1" x14ac:dyDescent="0.4">
      <c r="W426" s="49">
        <v>42483</v>
      </c>
      <c r="X426" s="49">
        <v>42483</v>
      </c>
      <c r="Y426" s="49">
        <v>42483</v>
      </c>
      <c r="AY426" s="49">
        <v>42483</v>
      </c>
      <c r="AZ426" s="49">
        <v>42483</v>
      </c>
      <c r="BA426" s="49">
        <v>42483</v>
      </c>
    </row>
    <row r="427" spans="23:53" ht="16.2" customHeight="1" x14ac:dyDescent="0.4">
      <c r="W427" s="49">
        <v>42484</v>
      </c>
      <c r="X427" s="49">
        <v>42484</v>
      </c>
      <c r="Y427" s="49">
        <v>42484</v>
      </c>
      <c r="AY427" s="49">
        <v>42484</v>
      </c>
      <c r="AZ427" s="49">
        <v>42484</v>
      </c>
      <c r="BA427" s="49">
        <v>42484</v>
      </c>
    </row>
    <row r="428" spans="23:53" ht="16.2" customHeight="1" x14ac:dyDescent="0.4">
      <c r="W428" s="49">
        <v>42490</v>
      </c>
      <c r="X428" s="49">
        <v>42490</v>
      </c>
      <c r="Y428" s="49">
        <v>42490</v>
      </c>
      <c r="AY428" s="49">
        <v>42490</v>
      </c>
      <c r="AZ428" s="49">
        <v>42490</v>
      </c>
      <c r="BA428" s="49">
        <v>42490</v>
      </c>
    </row>
    <row r="429" spans="23:53" ht="16.2" customHeight="1" x14ac:dyDescent="0.4">
      <c r="W429" s="49">
        <v>42491</v>
      </c>
      <c r="X429" s="49">
        <v>42491</v>
      </c>
      <c r="Y429" s="49">
        <v>42491</v>
      </c>
      <c r="AY429" s="49">
        <v>42491</v>
      </c>
      <c r="AZ429" s="49">
        <v>42491</v>
      </c>
      <c r="BA429" s="49">
        <v>42491</v>
      </c>
    </row>
    <row r="430" spans="23:53" ht="16.2" customHeight="1" x14ac:dyDescent="0.4">
      <c r="W430" s="49">
        <v>42495</v>
      </c>
      <c r="X430" s="49">
        <v>42495</v>
      </c>
      <c r="Y430" s="49">
        <v>42495</v>
      </c>
      <c r="AY430" s="49">
        <v>42495</v>
      </c>
      <c r="AZ430" s="49">
        <v>42495</v>
      </c>
      <c r="BA430" s="49">
        <v>42495</v>
      </c>
    </row>
    <row r="431" spans="23:53" ht="16.2" customHeight="1" x14ac:dyDescent="0.4">
      <c r="W431" s="49">
        <v>42496</v>
      </c>
      <c r="X431" s="49">
        <v>42496</v>
      </c>
      <c r="Y431" s="49">
        <v>42496</v>
      </c>
      <c r="AY431" s="49">
        <v>42496</v>
      </c>
      <c r="AZ431" s="49">
        <v>42496</v>
      </c>
      <c r="BA431" s="49">
        <v>42496</v>
      </c>
    </row>
    <row r="432" spans="23:53" ht="16.2" customHeight="1" x14ac:dyDescent="0.4">
      <c r="W432" s="49">
        <v>42497</v>
      </c>
      <c r="X432" s="49">
        <v>42497</v>
      </c>
      <c r="Y432" s="49">
        <v>42497</v>
      </c>
      <c r="AY432" s="49">
        <v>42497</v>
      </c>
      <c r="AZ432" s="49">
        <v>42497</v>
      </c>
      <c r="BA432" s="49">
        <v>42497</v>
      </c>
    </row>
    <row r="433" spans="23:53" ht="16.2" customHeight="1" x14ac:dyDescent="0.4">
      <c r="W433" s="49">
        <v>42498</v>
      </c>
      <c r="X433" s="49">
        <v>42498</v>
      </c>
      <c r="Y433" s="49">
        <v>42498</v>
      </c>
      <c r="AY433" s="49">
        <v>42498</v>
      </c>
      <c r="AZ433" s="49">
        <v>42498</v>
      </c>
      <c r="BA433" s="49">
        <v>42498</v>
      </c>
    </row>
    <row r="434" spans="23:53" ht="16.2" customHeight="1" x14ac:dyDescent="0.4">
      <c r="W434" s="49">
        <v>42505</v>
      </c>
      <c r="X434" s="49">
        <v>42505</v>
      </c>
      <c r="Y434" s="49">
        <v>42505</v>
      </c>
      <c r="AY434" s="49">
        <v>42505</v>
      </c>
      <c r="AZ434" s="49">
        <v>42505</v>
      </c>
      <c r="BA434" s="49">
        <v>42505</v>
      </c>
    </row>
    <row r="435" spans="23:53" ht="16.2" customHeight="1" x14ac:dyDescent="0.4">
      <c r="W435" s="49">
        <v>42511</v>
      </c>
      <c r="X435" s="49">
        <v>42511</v>
      </c>
      <c r="Y435" s="49">
        <v>42511</v>
      </c>
      <c r="AY435" s="49">
        <v>42511</v>
      </c>
      <c r="AZ435" s="49">
        <v>42511</v>
      </c>
      <c r="BA435" s="49">
        <v>42511</v>
      </c>
    </row>
    <row r="436" spans="23:53" ht="16.2" customHeight="1" x14ac:dyDescent="0.4">
      <c r="W436" s="49">
        <v>42512</v>
      </c>
      <c r="X436" s="49">
        <v>42512</v>
      </c>
      <c r="Y436" s="49">
        <v>42512</v>
      </c>
      <c r="AY436" s="49">
        <v>42512</v>
      </c>
      <c r="AZ436" s="49">
        <v>42512</v>
      </c>
      <c r="BA436" s="49">
        <v>42512</v>
      </c>
    </row>
    <row r="437" spans="23:53" ht="16.2" customHeight="1" x14ac:dyDescent="0.4">
      <c r="W437" s="49">
        <v>42518</v>
      </c>
      <c r="X437" s="49">
        <v>42518</v>
      </c>
      <c r="Y437" s="49">
        <v>42518</v>
      </c>
      <c r="AY437" s="49">
        <v>42518</v>
      </c>
      <c r="AZ437" s="49">
        <v>42518</v>
      </c>
      <c r="BA437" s="49">
        <v>42518</v>
      </c>
    </row>
    <row r="438" spans="23:53" ht="16.2" customHeight="1" x14ac:dyDescent="0.4">
      <c r="W438" s="49">
        <v>42519</v>
      </c>
      <c r="X438" s="49">
        <v>42519</v>
      </c>
      <c r="Y438" s="49">
        <v>42519</v>
      </c>
      <c r="AY438" s="49">
        <v>42519</v>
      </c>
      <c r="AZ438" s="49">
        <v>42519</v>
      </c>
      <c r="BA438" s="49">
        <v>42519</v>
      </c>
    </row>
    <row r="439" spans="23:53" ht="16.2" customHeight="1" x14ac:dyDescent="0.4">
      <c r="W439" s="49">
        <v>42525</v>
      </c>
      <c r="X439" s="49">
        <v>42525</v>
      </c>
      <c r="Y439" s="49">
        <v>42525</v>
      </c>
      <c r="AY439" s="49">
        <v>42525</v>
      </c>
      <c r="AZ439" s="49">
        <v>42525</v>
      </c>
      <c r="BA439" s="49">
        <v>42525</v>
      </c>
    </row>
    <row r="440" spans="23:53" ht="16.2" customHeight="1" x14ac:dyDescent="0.4">
      <c r="W440" s="49">
        <v>42526</v>
      </c>
      <c r="X440" s="49">
        <v>42526</v>
      </c>
      <c r="Y440" s="49">
        <v>42526</v>
      </c>
      <c r="AY440" s="49">
        <v>42526</v>
      </c>
      <c r="AZ440" s="49">
        <v>42526</v>
      </c>
      <c r="BA440" s="49">
        <v>42526</v>
      </c>
    </row>
    <row r="441" spans="23:53" ht="16.2" customHeight="1" x14ac:dyDescent="0.4">
      <c r="W441" s="49">
        <v>42527</v>
      </c>
      <c r="X441" s="49">
        <v>42527</v>
      </c>
      <c r="Y441" s="49">
        <v>42527</v>
      </c>
      <c r="AY441" s="49">
        <v>42527</v>
      </c>
      <c r="AZ441" s="49">
        <v>42527</v>
      </c>
      <c r="BA441" s="49">
        <v>42527</v>
      </c>
    </row>
    <row r="442" spans="23:53" ht="16.2" customHeight="1" x14ac:dyDescent="0.4">
      <c r="W442" s="49">
        <v>42532</v>
      </c>
      <c r="X442" s="49">
        <v>42532</v>
      </c>
      <c r="Y442" s="49">
        <v>42532</v>
      </c>
      <c r="AY442" s="49">
        <v>42532</v>
      </c>
      <c r="AZ442" s="49">
        <v>42532</v>
      </c>
      <c r="BA442" s="49">
        <v>42532</v>
      </c>
    </row>
    <row r="443" spans="23:53" ht="16.2" customHeight="1" x14ac:dyDescent="0.4">
      <c r="W443" s="49">
        <v>42533</v>
      </c>
      <c r="X443" s="49">
        <v>42533</v>
      </c>
      <c r="Y443" s="49">
        <v>42533</v>
      </c>
      <c r="AY443" s="49">
        <v>42533</v>
      </c>
      <c r="AZ443" s="49">
        <v>42533</v>
      </c>
      <c r="BA443" s="49">
        <v>42533</v>
      </c>
    </row>
    <row r="444" spans="23:53" ht="16.2" customHeight="1" x14ac:dyDescent="0.4">
      <c r="W444" s="49">
        <v>42539</v>
      </c>
      <c r="X444" s="49">
        <v>42539</v>
      </c>
      <c r="Y444" s="49">
        <v>42539</v>
      </c>
      <c r="AY444" s="49">
        <v>42539</v>
      </c>
      <c r="AZ444" s="49">
        <v>42539</v>
      </c>
      <c r="BA444" s="49">
        <v>42539</v>
      </c>
    </row>
    <row r="445" spans="23:53" ht="16.2" customHeight="1" x14ac:dyDescent="0.4">
      <c r="W445" s="49">
        <v>42540</v>
      </c>
      <c r="X445" s="49">
        <v>42540</v>
      </c>
      <c r="Y445" s="49">
        <v>42540</v>
      </c>
      <c r="AY445" s="49">
        <v>42540</v>
      </c>
      <c r="AZ445" s="49">
        <v>42540</v>
      </c>
      <c r="BA445" s="49">
        <v>42540</v>
      </c>
    </row>
    <row r="446" spans="23:53" ht="16.2" customHeight="1" x14ac:dyDescent="0.4">
      <c r="W446" s="49">
        <v>42546</v>
      </c>
      <c r="X446" s="49">
        <v>42546</v>
      </c>
      <c r="Y446" s="49">
        <v>42546</v>
      </c>
      <c r="AY446" s="49">
        <v>42546</v>
      </c>
      <c r="AZ446" s="49">
        <v>42546</v>
      </c>
      <c r="BA446" s="49">
        <v>42546</v>
      </c>
    </row>
    <row r="447" spans="23:53" ht="16.2" customHeight="1" x14ac:dyDescent="0.4">
      <c r="W447" s="49">
        <v>42547</v>
      </c>
      <c r="X447" s="49">
        <v>42547</v>
      </c>
      <c r="Y447" s="49">
        <v>42547</v>
      </c>
      <c r="AY447" s="49">
        <v>42547</v>
      </c>
      <c r="AZ447" s="49">
        <v>42547</v>
      </c>
      <c r="BA447" s="49">
        <v>42547</v>
      </c>
    </row>
    <row r="448" spans="23:53" ht="16.2" customHeight="1" x14ac:dyDescent="0.4">
      <c r="W448" s="49">
        <v>42553</v>
      </c>
      <c r="X448" s="49">
        <v>42553</v>
      </c>
      <c r="Y448" s="49">
        <v>42553</v>
      </c>
      <c r="AY448" s="49">
        <v>42553</v>
      </c>
      <c r="AZ448" s="49">
        <v>42553</v>
      </c>
      <c r="BA448" s="49">
        <v>42553</v>
      </c>
    </row>
    <row r="449" spans="23:53" ht="16.2" customHeight="1" x14ac:dyDescent="0.4">
      <c r="W449" s="49">
        <v>42554</v>
      </c>
      <c r="X449" s="49">
        <v>42554</v>
      </c>
      <c r="Y449" s="49">
        <v>42554</v>
      </c>
      <c r="AY449" s="49">
        <v>42554</v>
      </c>
      <c r="AZ449" s="49">
        <v>42554</v>
      </c>
      <c r="BA449" s="49">
        <v>42554</v>
      </c>
    </row>
    <row r="450" spans="23:53" ht="16.2" customHeight="1" x14ac:dyDescent="0.4">
      <c r="W450" s="49">
        <v>42560</v>
      </c>
      <c r="X450" s="49">
        <v>42560</v>
      </c>
      <c r="Y450" s="49">
        <v>42560</v>
      </c>
      <c r="AY450" s="49">
        <v>42560</v>
      </c>
      <c r="AZ450" s="49">
        <v>42560</v>
      </c>
      <c r="BA450" s="49">
        <v>42560</v>
      </c>
    </row>
    <row r="451" spans="23:53" ht="16.2" customHeight="1" x14ac:dyDescent="0.4">
      <c r="W451" s="49">
        <v>42561</v>
      </c>
      <c r="X451" s="49">
        <v>42561</v>
      </c>
      <c r="Y451" s="49">
        <v>42561</v>
      </c>
      <c r="AY451" s="49">
        <v>42561</v>
      </c>
      <c r="AZ451" s="49">
        <v>42561</v>
      </c>
      <c r="BA451" s="49">
        <v>42561</v>
      </c>
    </row>
    <row r="452" spans="23:53" ht="16.2" customHeight="1" x14ac:dyDescent="0.4">
      <c r="W452" s="49">
        <v>42567</v>
      </c>
      <c r="X452" s="49">
        <v>42567</v>
      </c>
      <c r="Y452" s="49">
        <v>42567</v>
      </c>
      <c r="AY452" s="49">
        <v>42567</v>
      </c>
      <c r="AZ452" s="49">
        <v>42567</v>
      </c>
      <c r="BA452" s="49">
        <v>42567</v>
      </c>
    </row>
    <row r="453" spans="23:53" ht="16.2" customHeight="1" x14ac:dyDescent="0.4">
      <c r="W453" s="49">
        <v>42568</v>
      </c>
      <c r="X453" s="49">
        <v>42568</v>
      </c>
      <c r="Y453" s="49">
        <v>42568</v>
      </c>
      <c r="AY453" s="49">
        <v>42568</v>
      </c>
      <c r="AZ453" s="49">
        <v>42568</v>
      </c>
      <c r="BA453" s="49">
        <v>42568</v>
      </c>
    </row>
    <row r="454" spans="23:53" ht="16.2" customHeight="1" x14ac:dyDescent="0.4">
      <c r="W454" s="49">
        <v>42574</v>
      </c>
      <c r="X454" s="49">
        <v>42574</v>
      </c>
      <c r="Y454" s="49">
        <v>42574</v>
      </c>
      <c r="AY454" s="49">
        <v>42574</v>
      </c>
      <c r="AZ454" s="49">
        <v>42574</v>
      </c>
      <c r="BA454" s="49">
        <v>42574</v>
      </c>
    </row>
    <row r="455" spans="23:53" ht="16.2" customHeight="1" x14ac:dyDescent="0.4">
      <c r="W455" s="49">
        <v>42575</v>
      </c>
      <c r="X455" s="49">
        <v>42575</v>
      </c>
      <c r="Y455" s="49">
        <v>42575</v>
      </c>
      <c r="AY455" s="49">
        <v>42575</v>
      </c>
      <c r="AZ455" s="49">
        <v>42575</v>
      </c>
      <c r="BA455" s="49">
        <v>42575</v>
      </c>
    </row>
    <row r="456" spans="23:53" ht="16.2" customHeight="1" x14ac:dyDescent="0.4">
      <c r="W456" s="49">
        <v>42581</v>
      </c>
      <c r="X456" s="49">
        <v>42581</v>
      </c>
      <c r="Y456" s="49">
        <v>42581</v>
      </c>
      <c r="AY456" s="49">
        <v>42581</v>
      </c>
      <c r="AZ456" s="49">
        <v>42581</v>
      </c>
      <c r="BA456" s="49">
        <v>42581</v>
      </c>
    </row>
    <row r="457" spans="23:53" ht="16.2" customHeight="1" x14ac:dyDescent="0.4">
      <c r="W457" s="49">
        <v>42582</v>
      </c>
      <c r="X457" s="49">
        <v>42582</v>
      </c>
      <c r="Y457" s="49">
        <v>42582</v>
      </c>
      <c r="AY457" s="49">
        <v>42582</v>
      </c>
      <c r="AZ457" s="49">
        <v>42582</v>
      </c>
      <c r="BA457" s="49">
        <v>42582</v>
      </c>
    </row>
    <row r="458" spans="23:53" ht="16.2" customHeight="1" x14ac:dyDescent="0.4">
      <c r="W458" s="49">
        <v>42588</v>
      </c>
      <c r="X458" s="49">
        <v>42588</v>
      </c>
      <c r="Y458" s="49">
        <v>42588</v>
      </c>
      <c r="AY458" s="49">
        <v>42588</v>
      </c>
      <c r="AZ458" s="49">
        <v>42588</v>
      </c>
      <c r="BA458" s="49">
        <v>42588</v>
      </c>
    </row>
    <row r="459" spans="23:53" ht="16.2" customHeight="1" x14ac:dyDescent="0.4">
      <c r="W459" s="49">
        <v>42589</v>
      </c>
      <c r="X459" s="49">
        <v>42589</v>
      </c>
      <c r="Y459" s="49">
        <v>42589</v>
      </c>
      <c r="AY459" s="49">
        <v>42589</v>
      </c>
      <c r="AZ459" s="49">
        <v>42589</v>
      </c>
      <c r="BA459" s="49">
        <v>42589</v>
      </c>
    </row>
    <row r="460" spans="23:53" ht="16.2" customHeight="1" x14ac:dyDescent="0.4">
      <c r="W460" s="49">
        <v>42595</v>
      </c>
      <c r="X460" s="49">
        <v>42595</v>
      </c>
      <c r="Y460" s="49">
        <v>42595</v>
      </c>
      <c r="AY460" s="49">
        <v>42595</v>
      </c>
      <c r="AZ460" s="49">
        <v>42595</v>
      </c>
      <c r="BA460" s="49">
        <v>42595</v>
      </c>
    </row>
    <row r="461" spans="23:53" ht="16.2" customHeight="1" x14ac:dyDescent="0.4">
      <c r="W461" s="49">
        <v>42596</v>
      </c>
      <c r="X461" s="49">
        <v>42596</v>
      </c>
      <c r="Y461" s="49">
        <v>42596</v>
      </c>
      <c r="AY461" s="49">
        <v>42596</v>
      </c>
      <c r="AZ461" s="49">
        <v>42596</v>
      </c>
      <c r="BA461" s="49">
        <v>42596</v>
      </c>
    </row>
    <row r="462" spans="23:53" ht="16.2" customHeight="1" x14ac:dyDescent="0.4">
      <c r="W462" s="49">
        <v>42597</v>
      </c>
      <c r="X462" s="49">
        <v>42597</v>
      </c>
      <c r="Y462" s="49">
        <v>42597</v>
      </c>
      <c r="AY462" s="49">
        <v>42597</v>
      </c>
      <c r="AZ462" s="49">
        <v>42597</v>
      </c>
      <c r="BA462" s="49">
        <v>42597</v>
      </c>
    </row>
    <row r="463" spans="23:53" ht="16.2" customHeight="1" x14ac:dyDescent="0.4">
      <c r="W463" s="49">
        <v>42602</v>
      </c>
      <c r="X463" s="49">
        <v>42602</v>
      </c>
      <c r="Y463" s="49">
        <v>42602</v>
      </c>
      <c r="AY463" s="49">
        <v>42602</v>
      </c>
      <c r="AZ463" s="49">
        <v>42602</v>
      </c>
      <c r="BA463" s="49">
        <v>42602</v>
      </c>
    </row>
    <row r="464" spans="23:53" ht="16.2" customHeight="1" x14ac:dyDescent="0.4">
      <c r="W464" s="49">
        <v>42603</v>
      </c>
      <c r="X464" s="49">
        <v>42603</v>
      </c>
      <c r="Y464" s="49">
        <v>42603</v>
      </c>
      <c r="AY464" s="49">
        <v>42603</v>
      </c>
      <c r="AZ464" s="49">
        <v>42603</v>
      </c>
      <c r="BA464" s="49">
        <v>42603</v>
      </c>
    </row>
    <row r="465" spans="23:53" ht="16.2" customHeight="1" x14ac:dyDescent="0.4">
      <c r="W465" s="49">
        <v>42609</v>
      </c>
      <c r="X465" s="49">
        <v>42609</v>
      </c>
      <c r="Y465" s="49">
        <v>42609</v>
      </c>
      <c r="AY465" s="49">
        <v>42609</v>
      </c>
      <c r="AZ465" s="49">
        <v>42609</v>
      </c>
      <c r="BA465" s="49">
        <v>42609</v>
      </c>
    </row>
    <row r="466" spans="23:53" ht="16.2" customHeight="1" x14ac:dyDescent="0.4">
      <c r="W466" s="49">
        <v>42610</v>
      </c>
      <c r="X466" s="49">
        <v>42610</v>
      </c>
      <c r="Y466" s="49">
        <v>42610</v>
      </c>
      <c r="AY466" s="49">
        <v>42610</v>
      </c>
      <c r="AZ466" s="49">
        <v>42610</v>
      </c>
      <c r="BA466" s="49">
        <v>42610</v>
      </c>
    </row>
    <row r="467" spans="23:53" ht="16.2" customHeight="1" x14ac:dyDescent="0.4">
      <c r="W467" s="49">
        <v>42616</v>
      </c>
      <c r="X467" s="49">
        <v>42616</v>
      </c>
      <c r="Y467" s="49">
        <v>42616</v>
      </c>
      <c r="AY467" s="49">
        <v>42616</v>
      </c>
      <c r="AZ467" s="49">
        <v>42616</v>
      </c>
      <c r="BA467" s="49">
        <v>42616</v>
      </c>
    </row>
    <row r="468" spans="23:53" ht="16.2" customHeight="1" x14ac:dyDescent="0.4">
      <c r="W468" s="49">
        <v>42617</v>
      </c>
      <c r="X468" s="49">
        <v>42617</v>
      </c>
      <c r="Y468" s="49">
        <v>42617</v>
      </c>
      <c r="AY468" s="49">
        <v>42617</v>
      </c>
      <c r="AZ468" s="49">
        <v>42617</v>
      </c>
      <c r="BA468" s="49">
        <v>42617</v>
      </c>
    </row>
    <row r="469" spans="23:53" ht="16.2" customHeight="1" x14ac:dyDescent="0.4">
      <c r="W469" s="49">
        <v>42623</v>
      </c>
      <c r="X469" s="49">
        <v>42623</v>
      </c>
      <c r="Y469" s="49">
        <v>42623</v>
      </c>
      <c r="AY469" s="49">
        <v>42623</v>
      </c>
      <c r="AZ469" s="49">
        <v>42623</v>
      </c>
      <c r="BA469" s="49">
        <v>42623</v>
      </c>
    </row>
    <row r="470" spans="23:53" ht="16.2" customHeight="1" x14ac:dyDescent="0.4">
      <c r="W470" s="49">
        <v>42624</v>
      </c>
      <c r="X470" s="49">
        <v>42624</v>
      </c>
      <c r="Y470" s="49">
        <v>42624</v>
      </c>
      <c r="AY470" s="49">
        <v>42624</v>
      </c>
      <c r="AZ470" s="49">
        <v>42624</v>
      </c>
      <c r="BA470" s="49">
        <v>42624</v>
      </c>
    </row>
    <row r="471" spans="23:53" ht="16.2" customHeight="1" x14ac:dyDescent="0.4">
      <c r="W471" s="49">
        <v>42627</v>
      </c>
      <c r="X471" s="49">
        <v>42627</v>
      </c>
      <c r="Y471" s="49">
        <v>42627</v>
      </c>
      <c r="AY471" s="49">
        <v>42627</v>
      </c>
      <c r="AZ471" s="49">
        <v>42627</v>
      </c>
      <c r="BA471" s="49">
        <v>42627</v>
      </c>
    </row>
    <row r="472" spans="23:53" ht="16.2" customHeight="1" x14ac:dyDescent="0.4">
      <c r="W472" s="49">
        <v>42628</v>
      </c>
      <c r="X472" s="49">
        <v>42628</v>
      </c>
      <c r="Y472" s="49">
        <v>42628</v>
      </c>
      <c r="AY472" s="49">
        <v>42628</v>
      </c>
      <c r="AZ472" s="49">
        <v>42628</v>
      </c>
      <c r="BA472" s="49">
        <v>42628</v>
      </c>
    </row>
    <row r="473" spans="23:53" ht="16.2" customHeight="1" x14ac:dyDescent="0.4">
      <c r="W473" s="49">
        <v>42629</v>
      </c>
      <c r="X473" s="49">
        <v>42629</v>
      </c>
      <c r="Y473" s="49">
        <v>42629</v>
      </c>
      <c r="AY473" s="49">
        <v>42629</v>
      </c>
      <c r="AZ473" s="49">
        <v>42629</v>
      </c>
      <c r="BA473" s="49">
        <v>42629</v>
      </c>
    </row>
    <row r="474" spans="23:53" ht="16.2" customHeight="1" x14ac:dyDescent="0.4">
      <c r="W474" s="49">
        <v>42630</v>
      </c>
      <c r="X474" s="49">
        <v>42630</v>
      </c>
      <c r="Y474" s="49">
        <v>42630</v>
      </c>
      <c r="AY474" s="49">
        <v>42630</v>
      </c>
      <c r="AZ474" s="49">
        <v>42630</v>
      </c>
      <c r="BA474" s="49">
        <v>42630</v>
      </c>
    </row>
    <row r="475" spans="23:53" ht="16.2" customHeight="1" x14ac:dyDescent="0.4">
      <c r="W475" s="49">
        <v>42631</v>
      </c>
      <c r="X475" s="49">
        <v>42631</v>
      </c>
      <c r="Y475" s="49">
        <v>42631</v>
      </c>
      <c r="AY475" s="49">
        <v>42631</v>
      </c>
      <c r="AZ475" s="49">
        <v>42631</v>
      </c>
      <c r="BA475" s="49">
        <v>42631</v>
      </c>
    </row>
    <row r="476" spans="23:53" ht="16.2" customHeight="1" x14ac:dyDescent="0.4">
      <c r="W476" s="49">
        <v>42637</v>
      </c>
      <c r="X476" s="49">
        <v>42637</v>
      </c>
      <c r="Y476" s="49">
        <v>42637</v>
      </c>
      <c r="AY476" s="49">
        <v>42637</v>
      </c>
      <c r="AZ476" s="49">
        <v>42637</v>
      </c>
      <c r="BA476" s="49">
        <v>42637</v>
      </c>
    </row>
    <row r="477" spans="23:53" ht="16.2" customHeight="1" x14ac:dyDescent="0.4">
      <c r="W477" s="49">
        <v>42638</v>
      </c>
      <c r="X477" s="49">
        <v>42638</v>
      </c>
      <c r="Y477" s="49">
        <v>42638</v>
      </c>
      <c r="AY477" s="49">
        <v>42638</v>
      </c>
      <c r="AZ477" s="49">
        <v>42638</v>
      </c>
      <c r="BA477" s="49">
        <v>42638</v>
      </c>
    </row>
    <row r="478" spans="23:53" ht="16.2" customHeight="1" x14ac:dyDescent="0.4">
      <c r="W478" s="49">
        <v>42644</v>
      </c>
      <c r="X478" s="49">
        <v>42644</v>
      </c>
      <c r="Y478" s="49">
        <v>42644</v>
      </c>
      <c r="AY478" s="49">
        <v>42644</v>
      </c>
      <c r="AZ478" s="49">
        <v>42644</v>
      </c>
      <c r="BA478" s="49">
        <v>42644</v>
      </c>
    </row>
    <row r="479" spans="23:53" ht="16.2" customHeight="1" x14ac:dyDescent="0.4">
      <c r="W479" s="49">
        <v>42645</v>
      </c>
      <c r="X479" s="49">
        <v>42645</v>
      </c>
      <c r="Y479" s="49">
        <v>42645</v>
      </c>
      <c r="AY479" s="49">
        <v>42645</v>
      </c>
      <c r="AZ479" s="49">
        <v>42645</v>
      </c>
      <c r="BA479" s="49">
        <v>42645</v>
      </c>
    </row>
    <row r="480" spans="23:53" ht="16.2" customHeight="1" x14ac:dyDescent="0.4">
      <c r="W480" s="49">
        <v>42646</v>
      </c>
      <c r="X480" s="49">
        <v>42646</v>
      </c>
      <c r="Y480" s="49">
        <v>42646</v>
      </c>
      <c r="AY480" s="49">
        <v>42646</v>
      </c>
      <c r="AZ480" s="49">
        <v>42646</v>
      </c>
      <c r="BA480" s="49">
        <v>42646</v>
      </c>
    </row>
    <row r="481" spans="23:53" ht="16.2" customHeight="1" x14ac:dyDescent="0.4">
      <c r="W481" s="49">
        <v>42651</v>
      </c>
      <c r="X481" s="49">
        <v>42651</v>
      </c>
      <c r="Y481" s="49">
        <v>42651</v>
      </c>
      <c r="AY481" s="49">
        <v>42651</v>
      </c>
      <c r="AZ481" s="49">
        <v>42651</v>
      </c>
      <c r="BA481" s="49">
        <v>42651</v>
      </c>
    </row>
    <row r="482" spans="23:53" ht="16.2" customHeight="1" x14ac:dyDescent="0.4">
      <c r="W482" s="49">
        <v>42652</v>
      </c>
      <c r="X482" s="49">
        <v>42652</v>
      </c>
      <c r="Y482" s="49">
        <v>42652</v>
      </c>
      <c r="AY482" s="49">
        <v>42652</v>
      </c>
      <c r="AZ482" s="49">
        <v>42652</v>
      </c>
      <c r="BA482" s="49">
        <v>42652</v>
      </c>
    </row>
    <row r="483" spans="23:53" ht="16.2" customHeight="1" x14ac:dyDescent="0.4">
      <c r="W483" s="49">
        <v>42658</v>
      </c>
      <c r="X483" s="49">
        <v>42658</v>
      </c>
      <c r="Y483" s="49">
        <v>42658</v>
      </c>
      <c r="AY483" s="49">
        <v>42658</v>
      </c>
      <c r="AZ483" s="49">
        <v>42658</v>
      </c>
      <c r="BA483" s="49">
        <v>42658</v>
      </c>
    </row>
    <row r="484" spans="23:53" ht="16.2" customHeight="1" x14ac:dyDescent="0.4">
      <c r="W484" s="49">
        <v>42659</v>
      </c>
      <c r="X484" s="49">
        <v>42659</v>
      </c>
      <c r="Y484" s="49">
        <v>42659</v>
      </c>
      <c r="AY484" s="49">
        <v>42659</v>
      </c>
      <c r="AZ484" s="49">
        <v>42659</v>
      </c>
      <c r="BA484" s="49">
        <v>42659</v>
      </c>
    </row>
    <row r="485" spans="23:53" ht="16.2" customHeight="1" x14ac:dyDescent="0.4">
      <c r="W485" s="49">
        <v>42665</v>
      </c>
      <c r="X485" s="49">
        <v>42665</v>
      </c>
      <c r="Y485" s="49">
        <v>42665</v>
      </c>
      <c r="AY485" s="49">
        <v>42665</v>
      </c>
      <c r="AZ485" s="49">
        <v>42665</v>
      </c>
      <c r="BA485" s="49">
        <v>42665</v>
      </c>
    </row>
    <row r="486" spans="23:53" ht="16.2" customHeight="1" x14ac:dyDescent="0.4">
      <c r="W486" s="49">
        <v>42666</v>
      </c>
      <c r="X486" s="49">
        <v>42666</v>
      </c>
      <c r="Y486" s="49">
        <v>42666</v>
      </c>
      <c r="AY486" s="49">
        <v>42666</v>
      </c>
      <c r="AZ486" s="49">
        <v>42666</v>
      </c>
      <c r="BA486" s="49">
        <v>42666</v>
      </c>
    </row>
    <row r="487" spans="23:53" ht="16.2" customHeight="1" x14ac:dyDescent="0.4">
      <c r="W487" s="49">
        <v>42672</v>
      </c>
      <c r="X487" s="49">
        <v>42672</v>
      </c>
      <c r="Y487" s="49">
        <v>42672</v>
      </c>
      <c r="AY487" s="49">
        <v>42672</v>
      </c>
      <c r="AZ487" s="49">
        <v>42672</v>
      </c>
      <c r="BA487" s="49">
        <v>42672</v>
      </c>
    </row>
    <row r="488" spans="23:53" ht="16.2" customHeight="1" x14ac:dyDescent="0.4">
      <c r="W488" s="49">
        <v>42673</v>
      </c>
      <c r="X488" s="49">
        <v>42673</v>
      </c>
      <c r="Y488" s="49">
        <v>42673</v>
      </c>
      <c r="AY488" s="49">
        <v>42673</v>
      </c>
      <c r="AZ488" s="49">
        <v>42673</v>
      </c>
      <c r="BA488" s="49">
        <v>42673</v>
      </c>
    </row>
    <row r="489" spans="23:53" ht="16.2" customHeight="1" x14ac:dyDescent="0.4">
      <c r="W489" s="49">
        <v>42679</v>
      </c>
      <c r="X489" s="49">
        <v>42679</v>
      </c>
      <c r="Y489" s="49">
        <v>42679</v>
      </c>
      <c r="AY489" s="49">
        <v>42679</v>
      </c>
      <c r="AZ489" s="49">
        <v>42679</v>
      </c>
      <c r="BA489" s="49">
        <v>42679</v>
      </c>
    </row>
    <row r="490" spans="23:53" ht="16.2" customHeight="1" x14ac:dyDescent="0.4">
      <c r="W490" s="49">
        <v>42680</v>
      </c>
      <c r="X490" s="49">
        <v>42680</v>
      </c>
      <c r="Y490" s="49">
        <v>42680</v>
      </c>
      <c r="AY490" s="49">
        <v>42680</v>
      </c>
      <c r="AZ490" s="49">
        <v>42680</v>
      </c>
      <c r="BA490" s="49">
        <v>42680</v>
      </c>
    </row>
    <row r="491" spans="23:53" ht="16.2" customHeight="1" x14ac:dyDescent="0.4">
      <c r="W491" s="49">
        <v>42686</v>
      </c>
      <c r="X491" s="49">
        <v>42686</v>
      </c>
      <c r="Y491" s="49">
        <v>42686</v>
      </c>
      <c r="AY491" s="49">
        <v>42686</v>
      </c>
      <c r="AZ491" s="49">
        <v>42686</v>
      </c>
      <c r="BA491" s="49">
        <v>42686</v>
      </c>
    </row>
    <row r="492" spans="23:53" ht="16.2" customHeight="1" x14ac:dyDescent="0.4">
      <c r="W492" s="49">
        <v>42687</v>
      </c>
      <c r="X492" s="49">
        <v>42687</v>
      </c>
      <c r="Y492" s="49">
        <v>42687</v>
      </c>
      <c r="AY492" s="49">
        <v>42687</v>
      </c>
      <c r="AZ492" s="49">
        <v>42687</v>
      </c>
      <c r="BA492" s="49">
        <v>42687</v>
      </c>
    </row>
    <row r="493" spans="23:53" ht="16.2" customHeight="1" x14ac:dyDescent="0.4">
      <c r="W493" s="49">
        <v>42693</v>
      </c>
      <c r="X493" s="49">
        <v>42693</v>
      </c>
      <c r="Y493" s="49">
        <v>42693</v>
      </c>
      <c r="AY493" s="49">
        <v>42693</v>
      </c>
      <c r="AZ493" s="49">
        <v>42693</v>
      </c>
      <c r="BA493" s="49">
        <v>42693</v>
      </c>
    </row>
    <row r="494" spans="23:53" ht="16.2" customHeight="1" x14ac:dyDescent="0.4">
      <c r="W494" s="49">
        <v>42694</v>
      </c>
      <c r="X494" s="49">
        <v>42694</v>
      </c>
      <c r="Y494" s="49">
        <v>42694</v>
      </c>
      <c r="AY494" s="49">
        <v>42694</v>
      </c>
      <c r="AZ494" s="49">
        <v>42694</v>
      </c>
      <c r="BA494" s="49">
        <v>42694</v>
      </c>
    </row>
    <row r="495" spans="23:53" ht="16.2" customHeight="1" x14ac:dyDescent="0.4">
      <c r="W495" s="49">
        <v>42700</v>
      </c>
      <c r="X495" s="49">
        <v>42700</v>
      </c>
      <c r="Y495" s="49">
        <v>42700</v>
      </c>
      <c r="AY495" s="49">
        <v>42700</v>
      </c>
      <c r="AZ495" s="49">
        <v>42700</v>
      </c>
      <c r="BA495" s="49">
        <v>42700</v>
      </c>
    </row>
    <row r="496" spans="23:53" ht="16.2" customHeight="1" x14ac:dyDescent="0.4">
      <c r="W496" s="49">
        <v>42701</v>
      </c>
      <c r="X496" s="49">
        <v>42701</v>
      </c>
      <c r="Y496" s="49">
        <v>42701</v>
      </c>
      <c r="AY496" s="49">
        <v>42701</v>
      </c>
      <c r="AZ496" s="49">
        <v>42701</v>
      </c>
      <c r="BA496" s="49">
        <v>42701</v>
      </c>
    </row>
    <row r="497" spans="23:53" ht="16.2" customHeight="1" x14ac:dyDescent="0.4">
      <c r="W497" s="49">
        <v>42707</v>
      </c>
      <c r="X497" s="49">
        <v>42707</v>
      </c>
      <c r="Y497" s="49">
        <v>42707</v>
      </c>
      <c r="AY497" s="49">
        <v>42707</v>
      </c>
      <c r="AZ497" s="49">
        <v>42707</v>
      </c>
      <c r="BA497" s="49">
        <v>42707</v>
      </c>
    </row>
    <row r="498" spans="23:53" ht="16.2" customHeight="1" x14ac:dyDescent="0.4">
      <c r="W498" s="49">
        <v>42708</v>
      </c>
      <c r="X498" s="49">
        <v>42708</v>
      </c>
      <c r="Y498" s="49">
        <v>42708</v>
      </c>
      <c r="AY498" s="49">
        <v>42708</v>
      </c>
      <c r="AZ498" s="49">
        <v>42708</v>
      </c>
      <c r="BA498" s="49">
        <v>42708</v>
      </c>
    </row>
    <row r="499" spans="23:53" ht="16.2" customHeight="1" x14ac:dyDescent="0.4">
      <c r="W499" s="49">
        <v>42714</v>
      </c>
      <c r="X499" s="49">
        <v>42714</v>
      </c>
      <c r="Y499" s="49">
        <v>42714</v>
      </c>
      <c r="AY499" s="49">
        <v>42714</v>
      </c>
      <c r="AZ499" s="49">
        <v>42714</v>
      </c>
      <c r="BA499" s="49">
        <v>42714</v>
      </c>
    </row>
    <row r="500" spans="23:53" ht="16.2" customHeight="1" x14ac:dyDescent="0.4">
      <c r="W500" s="49">
        <v>42715</v>
      </c>
      <c r="X500" s="49">
        <v>42715</v>
      </c>
      <c r="Y500" s="49">
        <v>42715</v>
      </c>
      <c r="AY500" s="49">
        <v>42715</v>
      </c>
      <c r="AZ500" s="49">
        <v>42715</v>
      </c>
      <c r="BA500" s="49">
        <v>42715</v>
      </c>
    </row>
    <row r="501" spans="23:53" ht="16.2" customHeight="1" x14ac:dyDescent="0.4">
      <c r="W501" s="49">
        <v>42721</v>
      </c>
      <c r="X501" s="49">
        <v>42721</v>
      </c>
      <c r="Y501" s="49">
        <v>42721</v>
      </c>
      <c r="AY501" s="49">
        <v>42721</v>
      </c>
      <c r="AZ501" s="49">
        <v>42721</v>
      </c>
      <c r="BA501" s="49">
        <v>42721</v>
      </c>
    </row>
    <row r="502" spans="23:53" ht="16.2" customHeight="1" x14ac:dyDescent="0.4">
      <c r="W502" s="49">
        <v>42722</v>
      </c>
      <c r="X502" s="49">
        <v>42722</v>
      </c>
      <c r="Y502" s="49">
        <v>42722</v>
      </c>
      <c r="AY502" s="49">
        <v>42722</v>
      </c>
      <c r="AZ502" s="49">
        <v>42722</v>
      </c>
      <c r="BA502" s="49">
        <v>42722</v>
      </c>
    </row>
    <row r="503" spans="23:53" ht="16.2" customHeight="1" x14ac:dyDescent="0.4">
      <c r="W503" s="49">
        <v>42728</v>
      </c>
      <c r="X503" s="49">
        <v>42728</v>
      </c>
      <c r="Y503" s="49">
        <v>42728</v>
      </c>
      <c r="AY503" s="49">
        <v>42728</v>
      </c>
      <c r="AZ503" s="49">
        <v>42728</v>
      </c>
      <c r="BA503" s="49">
        <v>42728</v>
      </c>
    </row>
    <row r="504" spans="23:53" ht="16.2" customHeight="1" x14ac:dyDescent="0.4">
      <c r="W504" s="49">
        <v>42729</v>
      </c>
      <c r="X504" s="49">
        <v>42729</v>
      </c>
      <c r="Y504" s="49">
        <v>42729</v>
      </c>
      <c r="AY504" s="49">
        <v>42729</v>
      </c>
      <c r="AZ504" s="49">
        <v>42729</v>
      </c>
      <c r="BA504" s="49">
        <v>42729</v>
      </c>
    </row>
    <row r="505" spans="23:53" ht="16.2" customHeight="1" x14ac:dyDescent="0.4">
      <c r="W505" s="49">
        <v>42735</v>
      </c>
      <c r="X505" s="49">
        <v>42735</v>
      </c>
      <c r="Y505" s="49">
        <v>42735</v>
      </c>
      <c r="AY505" s="49">
        <v>42735</v>
      </c>
      <c r="AZ505" s="49">
        <v>42735</v>
      </c>
      <c r="BA505" s="49">
        <v>42735</v>
      </c>
    </row>
    <row r="506" spans="23:53" ht="16.2" customHeight="1" x14ac:dyDescent="0.4">
      <c r="W506" s="49">
        <v>42736</v>
      </c>
      <c r="X506" s="49">
        <v>42736</v>
      </c>
      <c r="Y506" s="49">
        <v>42736</v>
      </c>
      <c r="AY506" s="49">
        <v>42736</v>
      </c>
      <c r="AZ506" s="49">
        <v>42736</v>
      </c>
      <c r="BA506" s="49">
        <v>42736</v>
      </c>
    </row>
    <row r="507" spans="23:53" ht="16.2" customHeight="1" x14ac:dyDescent="0.4">
      <c r="W507" s="49">
        <v>42742</v>
      </c>
      <c r="X507" s="49">
        <v>42742</v>
      </c>
      <c r="Y507" s="49">
        <v>42742</v>
      </c>
      <c r="AY507" s="49">
        <v>42742</v>
      </c>
      <c r="AZ507" s="49">
        <v>42742</v>
      </c>
      <c r="BA507" s="49">
        <v>42742</v>
      </c>
    </row>
    <row r="508" spans="23:53" ht="16.2" customHeight="1" x14ac:dyDescent="0.4">
      <c r="W508" s="49">
        <v>42743</v>
      </c>
      <c r="X508" s="49">
        <v>42743</v>
      </c>
      <c r="Y508" s="49">
        <v>42743</v>
      </c>
      <c r="AY508" s="49">
        <v>42743</v>
      </c>
      <c r="AZ508" s="49">
        <v>42743</v>
      </c>
      <c r="BA508" s="49">
        <v>42743</v>
      </c>
    </row>
    <row r="509" spans="23:53" ht="16.2" customHeight="1" x14ac:dyDescent="0.4">
      <c r="W509" s="49">
        <v>42749</v>
      </c>
      <c r="X509" s="49">
        <v>42749</v>
      </c>
      <c r="Y509" s="49">
        <v>42749</v>
      </c>
      <c r="AY509" s="49">
        <v>42749</v>
      </c>
      <c r="AZ509" s="49">
        <v>42749</v>
      </c>
      <c r="BA509" s="49">
        <v>42749</v>
      </c>
    </row>
    <row r="510" spans="23:53" ht="16.2" customHeight="1" x14ac:dyDescent="0.4">
      <c r="W510" s="49">
        <v>42750</v>
      </c>
      <c r="X510" s="49">
        <v>42750</v>
      </c>
      <c r="Y510" s="49">
        <v>42750</v>
      </c>
      <c r="AY510" s="49">
        <v>42750</v>
      </c>
      <c r="AZ510" s="49">
        <v>42750</v>
      </c>
      <c r="BA510" s="49">
        <v>42750</v>
      </c>
    </row>
    <row r="511" spans="23:53" ht="16.2" customHeight="1" x14ac:dyDescent="0.4">
      <c r="W511" s="49">
        <v>42756</v>
      </c>
      <c r="X511" s="49">
        <v>42756</v>
      </c>
      <c r="Y511" s="49">
        <v>42756</v>
      </c>
      <c r="AY511" s="49">
        <v>42756</v>
      </c>
      <c r="AZ511" s="49">
        <v>42756</v>
      </c>
      <c r="BA511" s="49">
        <v>42756</v>
      </c>
    </row>
    <row r="512" spans="23:53" ht="16.2" customHeight="1" x14ac:dyDescent="0.4">
      <c r="W512" s="49">
        <v>42757</v>
      </c>
      <c r="X512" s="49">
        <v>42757</v>
      </c>
      <c r="Y512" s="49">
        <v>42757</v>
      </c>
      <c r="AY512" s="49">
        <v>42757</v>
      </c>
      <c r="AZ512" s="49">
        <v>42757</v>
      </c>
      <c r="BA512" s="49">
        <v>42757</v>
      </c>
    </row>
    <row r="513" spans="23:53" ht="16.2" customHeight="1" x14ac:dyDescent="0.4">
      <c r="W513" s="49">
        <v>42762</v>
      </c>
      <c r="X513" s="49">
        <v>42762</v>
      </c>
      <c r="Y513" s="49">
        <v>42762</v>
      </c>
      <c r="AY513" s="49">
        <v>42762</v>
      </c>
      <c r="AZ513" s="49">
        <v>42762</v>
      </c>
      <c r="BA513" s="49">
        <v>42762</v>
      </c>
    </row>
    <row r="514" spans="23:53" ht="16.2" customHeight="1" x14ac:dyDescent="0.4">
      <c r="W514" s="49">
        <v>42764</v>
      </c>
      <c r="X514" s="49">
        <v>42764</v>
      </c>
      <c r="Y514" s="49">
        <v>42764</v>
      </c>
      <c r="AY514" s="49">
        <v>42764</v>
      </c>
      <c r="AZ514" s="49">
        <v>42764</v>
      </c>
      <c r="BA514" s="49">
        <v>42764</v>
      </c>
    </row>
    <row r="515" spans="23:53" ht="16.2" customHeight="1" x14ac:dyDescent="0.4">
      <c r="W515" s="49">
        <v>42765</v>
      </c>
      <c r="X515" s="49">
        <v>42765</v>
      </c>
      <c r="Y515" s="49">
        <v>42765</v>
      </c>
      <c r="AY515" s="49">
        <v>42765</v>
      </c>
      <c r="AZ515" s="49">
        <v>42765</v>
      </c>
      <c r="BA515" s="49">
        <v>42765</v>
      </c>
    </row>
    <row r="516" spans="23:53" ht="16.2" customHeight="1" x14ac:dyDescent="0.4">
      <c r="W516" s="49">
        <v>42770</v>
      </c>
      <c r="X516" s="49">
        <v>42770</v>
      </c>
      <c r="Y516" s="49">
        <v>42770</v>
      </c>
      <c r="AY516" s="49">
        <v>42770</v>
      </c>
      <c r="AZ516" s="49">
        <v>42770</v>
      </c>
      <c r="BA516" s="49">
        <v>42770</v>
      </c>
    </row>
    <row r="517" spans="23:53" ht="16.2" customHeight="1" x14ac:dyDescent="0.4">
      <c r="W517" s="49">
        <v>42771</v>
      </c>
      <c r="X517" s="49">
        <v>42771</v>
      </c>
      <c r="Y517" s="49">
        <v>42771</v>
      </c>
      <c r="AY517" s="49">
        <v>42771</v>
      </c>
      <c r="AZ517" s="49">
        <v>42771</v>
      </c>
      <c r="BA517" s="49">
        <v>42771</v>
      </c>
    </row>
    <row r="518" spans="23:53" ht="16.2" customHeight="1" x14ac:dyDescent="0.4">
      <c r="W518" s="49">
        <v>42777</v>
      </c>
      <c r="X518" s="49">
        <v>42777</v>
      </c>
      <c r="Y518" s="49">
        <v>42777</v>
      </c>
      <c r="AY518" s="49">
        <v>42777</v>
      </c>
      <c r="AZ518" s="49">
        <v>42777</v>
      </c>
      <c r="BA518" s="49">
        <v>42777</v>
      </c>
    </row>
    <row r="519" spans="23:53" ht="16.2" customHeight="1" x14ac:dyDescent="0.4">
      <c r="W519" s="49">
        <v>42778</v>
      </c>
      <c r="X519" s="49">
        <v>42778</v>
      </c>
      <c r="Y519" s="49">
        <v>42778</v>
      </c>
      <c r="AY519" s="49">
        <v>42778</v>
      </c>
      <c r="AZ519" s="49">
        <v>42778</v>
      </c>
      <c r="BA519" s="49">
        <v>42778</v>
      </c>
    </row>
    <row r="520" spans="23:53" ht="16.2" customHeight="1" x14ac:dyDescent="0.4">
      <c r="W520" s="49">
        <v>42784</v>
      </c>
      <c r="X520" s="49">
        <v>42784</v>
      </c>
      <c r="Y520" s="49">
        <v>42784</v>
      </c>
      <c r="AY520" s="49">
        <v>42784</v>
      </c>
      <c r="AZ520" s="49">
        <v>42784</v>
      </c>
      <c r="BA520" s="49">
        <v>42784</v>
      </c>
    </row>
    <row r="521" spans="23:53" ht="16.2" customHeight="1" x14ac:dyDescent="0.4">
      <c r="W521" s="49">
        <v>42785</v>
      </c>
      <c r="X521" s="49">
        <v>42785</v>
      </c>
      <c r="Y521" s="49">
        <v>42785</v>
      </c>
      <c r="AY521" s="49">
        <v>42785</v>
      </c>
      <c r="AZ521" s="49">
        <v>42785</v>
      </c>
      <c r="BA521" s="49">
        <v>42785</v>
      </c>
    </row>
    <row r="522" spans="23:53" ht="16.2" customHeight="1" x14ac:dyDescent="0.4">
      <c r="W522" s="49">
        <v>42791</v>
      </c>
      <c r="X522" s="49">
        <v>42791</v>
      </c>
      <c r="Y522" s="49">
        <v>42791</v>
      </c>
      <c r="AY522" s="49">
        <v>42791</v>
      </c>
      <c r="AZ522" s="49">
        <v>42791</v>
      </c>
      <c r="BA522" s="49">
        <v>42791</v>
      </c>
    </row>
    <row r="523" spans="23:53" ht="16.2" customHeight="1" x14ac:dyDescent="0.4">
      <c r="W523" s="49">
        <v>42792</v>
      </c>
      <c r="X523" s="49">
        <v>42792</v>
      </c>
      <c r="Y523" s="49">
        <v>42792</v>
      </c>
      <c r="AY523" s="49">
        <v>42792</v>
      </c>
      <c r="AZ523" s="49">
        <v>42792</v>
      </c>
      <c r="BA523" s="49">
        <v>42792</v>
      </c>
    </row>
    <row r="524" spans="23:53" ht="16.2" customHeight="1" x14ac:dyDescent="0.4">
      <c r="W524" s="49">
        <v>42795</v>
      </c>
      <c r="X524" s="49">
        <v>42795</v>
      </c>
      <c r="Y524" s="49">
        <v>42795</v>
      </c>
      <c r="AY524" s="49">
        <v>42795</v>
      </c>
      <c r="AZ524" s="49">
        <v>42795</v>
      </c>
      <c r="BA524" s="49">
        <v>42795</v>
      </c>
    </row>
    <row r="525" spans="23:53" ht="16.2" customHeight="1" x14ac:dyDescent="0.4">
      <c r="W525" s="49">
        <v>42798</v>
      </c>
      <c r="X525" s="49">
        <v>42798</v>
      </c>
      <c r="Y525" s="49">
        <v>42798</v>
      </c>
      <c r="AY525" s="49">
        <v>42798</v>
      </c>
      <c r="AZ525" s="49">
        <v>42798</v>
      </c>
      <c r="BA525" s="49">
        <v>42798</v>
      </c>
    </row>
    <row r="526" spans="23:53" ht="16.2" customHeight="1" x14ac:dyDescent="0.4">
      <c r="W526" s="49">
        <v>42799</v>
      </c>
      <c r="X526" s="49">
        <v>42799</v>
      </c>
      <c r="Y526" s="49">
        <v>42799</v>
      </c>
      <c r="AY526" s="49">
        <v>42799</v>
      </c>
      <c r="AZ526" s="49">
        <v>42799</v>
      </c>
      <c r="BA526" s="49">
        <v>42799</v>
      </c>
    </row>
    <row r="527" spans="23:53" ht="16.2" customHeight="1" x14ac:dyDescent="0.4">
      <c r="W527" s="49">
        <v>42805</v>
      </c>
      <c r="X527" s="49">
        <v>42805</v>
      </c>
      <c r="Y527" s="49">
        <v>42805</v>
      </c>
      <c r="AY527" s="49">
        <v>42805</v>
      </c>
      <c r="AZ527" s="49">
        <v>42805</v>
      </c>
      <c r="BA527" s="49">
        <v>42805</v>
      </c>
    </row>
    <row r="528" spans="23:53" ht="16.2" customHeight="1" x14ac:dyDescent="0.4">
      <c r="W528" s="49">
        <v>42806</v>
      </c>
      <c r="X528" s="49">
        <v>42806</v>
      </c>
      <c r="Y528" s="49">
        <v>42806</v>
      </c>
      <c r="AY528" s="49">
        <v>42806</v>
      </c>
      <c r="AZ528" s="49">
        <v>42806</v>
      </c>
      <c r="BA528" s="49">
        <v>42806</v>
      </c>
    </row>
    <row r="529" spans="23:53" ht="16.2" customHeight="1" x14ac:dyDescent="0.4">
      <c r="W529" s="49">
        <v>42812</v>
      </c>
      <c r="X529" s="49">
        <v>42812</v>
      </c>
      <c r="Y529" s="49">
        <v>42812</v>
      </c>
      <c r="AY529" s="49">
        <v>42812</v>
      </c>
      <c r="AZ529" s="49">
        <v>42812</v>
      </c>
      <c r="BA529" s="49">
        <v>42812</v>
      </c>
    </row>
    <row r="530" spans="23:53" ht="16.2" customHeight="1" x14ac:dyDescent="0.4">
      <c r="W530" s="49">
        <v>42813</v>
      </c>
      <c r="X530" s="49">
        <v>42813</v>
      </c>
      <c r="Y530" s="49">
        <v>42813</v>
      </c>
      <c r="AY530" s="49">
        <v>42813</v>
      </c>
      <c r="AZ530" s="49">
        <v>42813</v>
      </c>
      <c r="BA530" s="49">
        <v>42813</v>
      </c>
    </row>
    <row r="531" spans="23:53" ht="16.2" customHeight="1" x14ac:dyDescent="0.4">
      <c r="W531" s="49">
        <v>42819</v>
      </c>
      <c r="X531" s="49">
        <v>42819</v>
      </c>
      <c r="Y531" s="49">
        <v>42819</v>
      </c>
      <c r="AY531" s="49">
        <v>42819</v>
      </c>
      <c r="AZ531" s="49">
        <v>42819</v>
      </c>
      <c r="BA531" s="49">
        <v>42819</v>
      </c>
    </row>
    <row r="532" spans="23:53" ht="16.2" customHeight="1" x14ac:dyDescent="0.4">
      <c r="W532" s="49">
        <v>42820</v>
      </c>
      <c r="X532" s="49">
        <v>42820</v>
      </c>
      <c r="Y532" s="49">
        <v>42820</v>
      </c>
      <c r="AY532" s="49">
        <v>42820</v>
      </c>
      <c r="AZ532" s="49">
        <v>42820</v>
      </c>
      <c r="BA532" s="49">
        <v>42820</v>
      </c>
    </row>
    <row r="533" spans="23:53" ht="16.2" customHeight="1" x14ac:dyDescent="0.4">
      <c r="W533" s="49">
        <v>42826</v>
      </c>
      <c r="X533" s="49">
        <v>42826</v>
      </c>
      <c r="Y533" s="49">
        <v>42826</v>
      </c>
      <c r="AY533" s="49">
        <v>42826</v>
      </c>
      <c r="AZ533" s="49">
        <v>42826</v>
      </c>
      <c r="BA533" s="49">
        <v>42826</v>
      </c>
    </row>
    <row r="534" spans="23:53" ht="16.2" customHeight="1" x14ac:dyDescent="0.4">
      <c r="W534" s="49">
        <v>42827</v>
      </c>
      <c r="X534" s="49">
        <v>42827</v>
      </c>
      <c r="Y534" s="49">
        <v>42827</v>
      </c>
      <c r="AY534" s="49">
        <v>42827</v>
      </c>
      <c r="AZ534" s="49">
        <v>42827</v>
      </c>
      <c r="BA534" s="49">
        <v>42827</v>
      </c>
    </row>
    <row r="535" spans="23:53" ht="16.2" customHeight="1" x14ac:dyDescent="0.4">
      <c r="W535" s="49">
        <v>42833</v>
      </c>
      <c r="X535" s="49">
        <v>42833</v>
      </c>
      <c r="Y535" s="49">
        <v>42833</v>
      </c>
      <c r="AY535" s="49">
        <v>42833</v>
      </c>
      <c r="AZ535" s="49">
        <v>42833</v>
      </c>
      <c r="BA535" s="49">
        <v>42833</v>
      </c>
    </row>
    <row r="536" spans="23:53" ht="16.2" customHeight="1" x14ac:dyDescent="0.4">
      <c r="W536" s="49">
        <v>42834</v>
      </c>
      <c r="X536" s="49">
        <v>42834</v>
      </c>
      <c r="Y536" s="49">
        <v>42834</v>
      </c>
      <c r="AY536" s="49">
        <v>42834</v>
      </c>
      <c r="AZ536" s="49">
        <v>42834</v>
      </c>
      <c r="BA536" s="49">
        <v>42834</v>
      </c>
    </row>
    <row r="537" spans="23:53" ht="16.2" customHeight="1" x14ac:dyDescent="0.4">
      <c r="W537" s="49">
        <v>42840</v>
      </c>
      <c r="X537" s="49">
        <v>42840</v>
      </c>
      <c r="Y537" s="49">
        <v>42840</v>
      </c>
      <c r="AY537" s="49">
        <v>42840</v>
      </c>
      <c r="AZ537" s="49">
        <v>42840</v>
      </c>
      <c r="BA537" s="49">
        <v>42840</v>
      </c>
    </row>
    <row r="538" spans="23:53" ht="16.2" customHeight="1" x14ac:dyDescent="0.4">
      <c r="W538" s="49">
        <v>42841</v>
      </c>
      <c r="X538" s="49">
        <v>42841</v>
      </c>
      <c r="Y538" s="49">
        <v>42841</v>
      </c>
      <c r="AY538" s="49">
        <v>42841</v>
      </c>
      <c r="AZ538" s="49">
        <v>42841</v>
      </c>
      <c r="BA538" s="49">
        <v>42841</v>
      </c>
    </row>
    <row r="539" spans="23:53" ht="16.2" customHeight="1" x14ac:dyDescent="0.4">
      <c r="W539" s="49">
        <v>42847</v>
      </c>
      <c r="X539" s="49">
        <v>42847</v>
      </c>
      <c r="Y539" s="49">
        <v>42847</v>
      </c>
      <c r="AY539" s="49">
        <v>42847</v>
      </c>
      <c r="AZ539" s="49">
        <v>42847</v>
      </c>
      <c r="BA539" s="49">
        <v>42847</v>
      </c>
    </row>
    <row r="540" spans="23:53" ht="16.2" customHeight="1" x14ac:dyDescent="0.4">
      <c r="W540" s="49">
        <v>42848</v>
      </c>
      <c r="X540" s="49">
        <v>42848</v>
      </c>
      <c r="Y540" s="49">
        <v>42848</v>
      </c>
      <c r="AY540" s="49">
        <v>42848</v>
      </c>
      <c r="AZ540" s="49">
        <v>42848</v>
      </c>
      <c r="BA540" s="49">
        <v>42848</v>
      </c>
    </row>
    <row r="541" spans="23:53" ht="16.2" customHeight="1" x14ac:dyDescent="0.4">
      <c r="W541" s="49">
        <v>42854</v>
      </c>
      <c r="X541" s="49">
        <v>42854</v>
      </c>
      <c r="Y541" s="49">
        <v>42854</v>
      </c>
      <c r="AY541" s="49">
        <v>42854</v>
      </c>
      <c r="AZ541" s="49">
        <v>42854</v>
      </c>
      <c r="BA541" s="49">
        <v>42854</v>
      </c>
    </row>
    <row r="542" spans="23:53" ht="16.2" customHeight="1" x14ac:dyDescent="0.4">
      <c r="W542" s="49">
        <v>42855</v>
      </c>
      <c r="X542" s="49">
        <v>42855</v>
      </c>
      <c r="Y542" s="49">
        <v>42855</v>
      </c>
      <c r="AY542" s="49">
        <v>42855</v>
      </c>
      <c r="AZ542" s="49">
        <v>42855</v>
      </c>
      <c r="BA542" s="49">
        <v>42855</v>
      </c>
    </row>
    <row r="543" spans="23:53" ht="16.2" customHeight="1" x14ac:dyDescent="0.4">
      <c r="W543" s="49">
        <v>42856</v>
      </c>
      <c r="X543" s="49">
        <v>42856</v>
      </c>
      <c r="Y543" s="49">
        <v>42856</v>
      </c>
      <c r="AY543" s="49">
        <v>42856</v>
      </c>
      <c r="AZ543" s="49">
        <v>42856</v>
      </c>
      <c r="BA543" s="49">
        <v>42856</v>
      </c>
    </row>
    <row r="544" spans="23:53" ht="16.2" customHeight="1" x14ac:dyDescent="0.4">
      <c r="W544" s="49">
        <v>42858</v>
      </c>
      <c r="X544" s="49">
        <v>42858</v>
      </c>
      <c r="Y544" s="49">
        <v>42858</v>
      </c>
      <c r="AY544" s="49">
        <v>42858</v>
      </c>
      <c r="AZ544" s="49">
        <v>42858</v>
      </c>
      <c r="BA544" s="49">
        <v>42858</v>
      </c>
    </row>
    <row r="545" spans="23:53" ht="16.2" customHeight="1" x14ac:dyDescent="0.4">
      <c r="W545" s="49">
        <v>42860</v>
      </c>
      <c r="X545" s="49">
        <v>42860</v>
      </c>
      <c r="Y545" s="49">
        <v>42860</v>
      </c>
      <c r="AY545" s="49">
        <v>42860</v>
      </c>
      <c r="AZ545" s="49">
        <v>42860</v>
      </c>
      <c r="BA545" s="49">
        <v>42860</v>
      </c>
    </row>
    <row r="546" spans="23:53" ht="16.2" customHeight="1" x14ac:dyDescent="0.4">
      <c r="W546" s="49">
        <v>42861</v>
      </c>
      <c r="X546" s="49">
        <v>42861</v>
      </c>
      <c r="Y546" s="49">
        <v>42861</v>
      </c>
      <c r="AY546" s="49">
        <v>42861</v>
      </c>
      <c r="AZ546" s="49">
        <v>42861</v>
      </c>
      <c r="BA546" s="49">
        <v>42861</v>
      </c>
    </row>
    <row r="547" spans="23:53" ht="16.2" customHeight="1" x14ac:dyDescent="0.4">
      <c r="W547" s="49">
        <v>42862</v>
      </c>
      <c r="X547" s="49">
        <v>42862</v>
      </c>
      <c r="Y547" s="49">
        <v>42862</v>
      </c>
      <c r="AY547" s="49">
        <v>42862</v>
      </c>
      <c r="AZ547" s="49">
        <v>42862</v>
      </c>
      <c r="BA547" s="49">
        <v>42862</v>
      </c>
    </row>
    <row r="548" spans="23:53" ht="16.2" customHeight="1" x14ac:dyDescent="0.4">
      <c r="W548" s="49">
        <v>42868</v>
      </c>
      <c r="X548" s="49">
        <v>42868</v>
      </c>
      <c r="Y548" s="49">
        <v>42868</v>
      </c>
      <c r="AY548" s="49">
        <v>42868</v>
      </c>
      <c r="AZ548" s="49">
        <v>42868</v>
      </c>
      <c r="BA548" s="49">
        <v>42868</v>
      </c>
    </row>
    <row r="549" spans="23:53" ht="16.2" customHeight="1" x14ac:dyDescent="0.4">
      <c r="W549" s="49">
        <v>42869</v>
      </c>
      <c r="X549" s="49">
        <v>42869</v>
      </c>
      <c r="Y549" s="49">
        <v>42869</v>
      </c>
      <c r="AY549" s="49">
        <v>42869</v>
      </c>
      <c r="AZ549" s="49">
        <v>42869</v>
      </c>
      <c r="BA549" s="49">
        <v>42869</v>
      </c>
    </row>
    <row r="550" spans="23:53" ht="16.2" customHeight="1" x14ac:dyDescent="0.4">
      <c r="W550" s="49">
        <v>42875</v>
      </c>
      <c r="X550" s="49">
        <v>42875</v>
      </c>
      <c r="Y550" s="49">
        <v>42875</v>
      </c>
      <c r="AY550" s="49">
        <v>42875</v>
      </c>
      <c r="AZ550" s="49">
        <v>42875</v>
      </c>
      <c r="BA550" s="49">
        <v>42875</v>
      </c>
    </row>
    <row r="551" spans="23:53" ht="16.2" customHeight="1" x14ac:dyDescent="0.4">
      <c r="W551" s="49">
        <v>42876</v>
      </c>
      <c r="X551" s="49">
        <v>42876</v>
      </c>
      <c r="Y551" s="49">
        <v>42876</v>
      </c>
      <c r="AY551" s="49">
        <v>42876</v>
      </c>
      <c r="AZ551" s="49">
        <v>42876</v>
      </c>
      <c r="BA551" s="49">
        <v>42876</v>
      </c>
    </row>
    <row r="552" spans="23:53" ht="16.2" customHeight="1" x14ac:dyDescent="0.4">
      <c r="W552" s="49">
        <v>42882</v>
      </c>
      <c r="X552" s="49">
        <v>42882</v>
      </c>
      <c r="Y552" s="49">
        <v>42882</v>
      </c>
      <c r="AY552" s="49">
        <v>42882</v>
      </c>
      <c r="AZ552" s="49">
        <v>42882</v>
      </c>
      <c r="BA552" s="49">
        <v>42882</v>
      </c>
    </row>
    <row r="553" spans="23:53" ht="16.2" customHeight="1" x14ac:dyDescent="0.4">
      <c r="W553" s="49">
        <v>42883</v>
      </c>
      <c r="X553" s="49">
        <v>42883</v>
      </c>
      <c r="Y553" s="49">
        <v>42883</v>
      </c>
      <c r="AY553" s="49">
        <v>42883</v>
      </c>
      <c r="AZ553" s="49">
        <v>42883</v>
      </c>
      <c r="BA553" s="49">
        <v>42883</v>
      </c>
    </row>
    <row r="554" spans="23:53" ht="16.2" customHeight="1" x14ac:dyDescent="0.4">
      <c r="W554" s="49">
        <v>42889</v>
      </c>
      <c r="X554" s="49">
        <v>42889</v>
      </c>
      <c r="Y554" s="49">
        <v>42889</v>
      </c>
      <c r="AY554" s="49">
        <v>42889</v>
      </c>
      <c r="AZ554" s="49">
        <v>42889</v>
      </c>
      <c r="BA554" s="49">
        <v>42889</v>
      </c>
    </row>
    <row r="555" spans="23:53" ht="16.2" customHeight="1" x14ac:dyDescent="0.4">
      <c r="W555" s="49">
        <v>42890</v>
      </c>
      <c r="X555" s="49">
        <v>42890</v>
      </c>
      <c r="Y555" s="49">
        <v>42890</v>
      </c>
      <c r="AY555" s="49">
        <v>42890</v>
      </c>
      <c r="AZ555" s="49">
        <v>42890</v>
      </c>
      <c r="BA555" s="49">
        <v>42890</v>
      </c>
    </row>
    <row r="556" spans="23:53" ht="16.2" customHeight="1" x14ac:dyDescent="0.4">
      <c r="W556" s="49">
        <v>42892</v>
      </c>
      <c r="X556" s="49">
        <v>42892</v>
      </c>
      <c r="Y556" s="49">
        <v>42892</v>
      </c>
      <c r="AY556" s="49">
        <v>42892</v>
      </c>
      <c r="AZ556" s="49">
        <v>42892</v>
      </c>
      <c r="BA556" s="49">
        <v>42892</v>
      </c>
    </row>
    <row r="557" spans="23:53" ht="16.2" customHeight="1" x14ac:dyDescent="0.4">
      <c r="W557" s="49">
        <v>42896</v>
      </c>
      <c r="X557" s="49">
        <v>42896</v>
      </c>
      <c r="Y557" s="49">
        <v>42896</v>
      </c>
      <c r="AY557" s="49">
        <v>42896</v>
      </c>
      <c r="AZ557" s="49">
        <v>42896</v>
      </c>
      <c r="BA557" s="49">
        <v>42896</v>
      </c>
    </row>
    <row r="558" spans="23:53" ht="16.2" customHeight="1" x14ac:dyDescent="0.4">
      <c r="W558" s="49">
        <v>42897</v>
      </c>
      <c r="X558" s="49">
        <v>42897</v>
      </c>
      <c r="Y558" s="49">
        <v>42897</v>
      </c>
      <c r="AY558" s="49">
        <v>42897</v>
      </c>
      <c r="AZ558" s="49">
        <v>42897</v>
      </c>
      <c r="BA558" s="49">
        <v>42897</v>
      </c>
    </row>
    <row r="559" spans="23:53" ht="16.2" customHeight="1" x14ac:dyDescent="0.4">
      <c r="W559" s="49">
        <v>42903</v>
      </c>
      <c r="X559" s="49">
        <v>42903</v>
      </c>
      <c r="Y559" s="49">
        <v>42903</v>
      </c>
      <c r="AY559" s="49">
        <v>42903</v>
      </c>
      <c r="AZ559" s="49">
        <v>42903</v>
      </c>
      <c r="BA559" s="49">
        <v>42903</v>
      </c>
    </row>
    <row r="560" spans="23:53" ht="16.2" customHeight="1" x14ac:dyDescent="0.4">
      <c r="W560" s="49">
        <v>42904</v>
      </c>
      <c r="X560" s="49">
        <v>42904</v>
      </c>
      <c r="Y560" s="49">
        <v>42904</v>
      </c>
      <c r="AY560" s="49">
        <v>42904</v>
      </c>
      <c r="AZ560" s="49">
        <v>42904</v>
      </c>
      <c r="BA560" s="49">
        <v>42904</v>
      </c>
    </row>
    <row r="561" spans="23:53" ht="16.2" customHeight="1" x14ac:dyDescent="0.4">
      <c r="W561" s="49">
        <v>42910</v>
      </c>
      <c r="X561" s="49">
        <v>42910</v>
      </c>
      <c r="Y561" s="49">
        <v>42910</v>
      </c>
      <c r="AY561" s="49">
        <v>42910</v>
      </c>
      <c r="AZ561" s="49">
        <v>42910</v>
      </c>
      <c r="BA561" s="49">
        <v>42910</v>
      </c>
    </row>
    <row r="562" spans="23:53" ht="16.2" customHeight="1" x14ac:dyDescent="0.4">
      <c r="W562" s="49">
        <v>42911</v>
      </c>
      <c r="X562" s="49">
        <v>42911</v>
      </c>
      <c r="Y562" s="49">
        <v>42911</v>
      </c>
      <c r="AY562" s="49">
        <v>42911</v>
      </c>
      <c r="AZ562" s="49">
        <v>42911</v>
      </c>
      <c r="BA562" s="49">
        <v>42911</v>
      </c>
    </row>
    <row r="563" spans="23:53" ht="16.2" customHeight="1" x14ac:dyDescent="0.4">
      <c r="W563" s="49">
        <v>42917</v>
      </c>
      <c r="X563" s="49">
        <v>42917</v>
      </c>
      <c r="Y563" s="49">
        <v>42917</v>
      </c>
      <c r="AY563" s="49">
        <v>42917</v>
      </c>
      <c r="AZ563" s="49">
        <v>42917</v>
      </c>
      <c r="BA563" s="49">
        <v>42917</v>
      </c>
    </row>
    <row r="564" spans="23:53" ht="16.2" customHeight="1" x14ac:dyDescent="0.4">
      <c r="W564" s="49">
        <v>42918</v>
      </c>
      <c r="X564" s="49">
        <v>42918</v>
      </c>
      <c r="Y564" s="49">
        <v>42918</v>
      </c>
      <c r="AY564" s="49">
        <v>42918</v>
      </c>
      <c r="AZ564" s="49">
        <v>42918</v>
      </c>
      <c r="BA564" s="49">
        <v>42918</v>
      </c>
    </row>
    <row r="565" spans="23:53" ht="16.2" customHeight="1" x14ac:dyDescent="0.4">
      <c r="W565" s="49">
        <v>42924</v>
      </c>
      <c r="X565" s="49">
        <v>42924</v>
      </c>
      <c r="Y565" s="49">
        <v>42924</v>
      </c>
      <c r="AY565" s="49">
        <v>42924</v>
      </c>
      <c r="AZ565" s="49">
        <v>42924</v>
      </c>
      <c r="BA565" s="49">
        <v>42924</v>
      </c>
    </row>
    <row r="566" spans="23:53" ht="16.2" customHeight="1" x14ac:dyDescent="0.4">
      <c r="W566" s="49">
        <v>42925</v>
      </c>
      <c r="X566" s="49">
        <v>42925</v>
      </c>
      <c r="Y566" s="49">
        <v>42925</v>
      </c>
      <c r="AY566" s="49">
        <v>42925</v>
      </c>
      <c r="AZ566" s="49">
        <v>42925</v>
      </c>
      <c r="BA566" s="49">
        <v>42925</v>
      </c>
    </row>
    <row r="567" spans="23:53" ht="16.2" customHeight="1" x14ac:dyDescent="0.4">
      <c r="W567" s="49">
        <v>42931</v>
      </c>
      <c r="X567" s="49">
        <v>42931</v>
      </c>
      <c r="Y567" s="49">
        <v>42931</v>
      </c>
      <c r="AY567" s="49">
        <v>42931</v>
      </c>
      <c r="AZ567" s="49">
        <v>42931</v>
      </c>
      <c r="BA567" s="49">
        <v>42931</v>
      </c>
    </row>
    <row r="568" spans="23:53" ht="16.2" customHeight="1" x14ac:dyDescent="0.4">
      <c r="W568" s="49">
        <v>42932</v>
      </c>
      <c r="X568" s="49">
        <v>42932</v>
      </c>
      <c r="Y568" s="49">
        <v>42932</v>
      </c>
      <c r="AY568" s="49">
        <v>42932</v>
      </c>
      <c r="AZ568" s="49">
        <v>42932</v>
      </c>
      <c r="BA568" s="49">
        <v>42932</v>
      </c>
    </row>
    <row r="569" spans="23:53" ht="16.2" customHeight="1" x14ac:dyDescent="0.4">
      <c r="W569" s="49">
        <v>42938</v>
      </c>
      <c r="X569" s="49">
        <v>42938</v>
      </c>
      <c r="Y569" s="49">
        <v>42938</v>
      </c>
      <c r="AY569" s="49">
        <v>42938</v>
      </c>
      <c r="AZ569" s="49">
        <v>42938</v>
      </c>
      <c r="BA569" s="49">
        <v>42938</v>
      </c>
    </row>
    <row r="570" spans="23:53" ht="16.2" customHeight="1" x14ac:dyDescent="0.4">
      <c r="W570" s="49">
        <v>42939</v>
      </c>
      <c r="X570" s="49">
        <v>42939</v>
      </c>
      <c r="Y570" s="49">
        <v>42939</v>
      </c>
      <c r="AY570" s="49">
        <v>42939</v>
      </c>
      <c r="AZ570" s="49">
        <v>42939</v>
      </c>
      <c r="BA570" s="49">
        <v>42939</v>
      </c>
    </row>
    <row r="571" spans="23:53" ht="16.2" customHeight="1" x14ac:dyDescent="0.4">
      <c r="W571" s="49">
        <v>42945</v>
      </c>
      <c r="X571" s="49">
        <v>42945</v>
      </c>
      <c r="Y571" s="49">
        <v>42945</v>
      </c>
      <c r="AY571" s="49">
        <v>42945</v>
      </c>
      <c r="AZ571" s="49">
        <v>42945</v>
      </c>
      <c r="BA571" s="49">
        <v>42945</v>
      </c>
    </row>
    <row r="572" spans="23:53" ht="16.2" customHeight="1" x14ac:dyDescent="0.4">
      <c r="W572" s="49">
        <v>42946</v>
      </c>
      <c r="X572" s="49">
        <v>42946</v>
      </c>
      <c r="Y572" s="49">
        <v>42946</v>
      </c>
      <c r="AY572" s="49">
        <v>42946</v>
      </c>
      <c r="AZ572" s="49">
        <v>42946</v>
      </c>
      <c r="BA572" s="49">
        <v>42946</v>
      </c>
    </row>
    <row r="573" spans="23:53" ht="16.2" customHeight="1" x14ac:dyDescent="0.4">
      <c r="W573" s="49">
        <v>42952</v>
      </c>
      <c r="X573" s="49">
        <v>42952</v>
      </c>
      <c r="Y573" s="49">
        <v>42952</v>
      </c>
      <c r="AY573" s="49">
        <v>42952</v>
      </c>
      <c r="AZ573" s="49">
        <v>42952</v>
      </c>
      <c r="BA573" s="49">
        <v>42952</v>
      </c>
    </row>
    <row r="574" spans="23:53" ht="16.2" customHeight="1" x14ac:dyDescent="0.4">
      <c r="W574" s="49">
        <v>42953</v>
      </c>
      <c r="X574" s="49">
        <v>42953</v>
      </c>
      <c r="Y574" s="49">
        <v>42953</v>
      </c>
      <c r="AY574" s="49">
        <v>42953</v>
      </c>
      <c r="AZ574" s="49">
        <v>42953</v>
      </c>
      <c r="BA574" s="49">
        <v>42953</v>
      </c>
    </row>
    <row r="575" spans="23:53" ht="16.2" customHeight="1" x14ac:dyDescent="0.4">
      <c r="W575" s="49">
        <v>42959</v>
      </c>
      <c r="X575" s="49">
        <v>42959</v>
      </c>
      <c r="Y575" s="49">
        <v>42959</v>
      </c>
      <c r="AY575" s="49">
        <v>42959</v>
      </c>
      <c r="AZ575" s="49">
        <v>42959</v>
      </c>
      <c r="BA575" s="49">
        <v>42959</v>
      </c>
    </row>
    <row r="576" spans="23:53" ht="16.2" customHeight="1" x14ac:dyDescent="0.4">
      <c r="W576" s="49">
        <v>42960</v>
      </c>
      <c r="X576" s="49">
        <v>42960</v>
      </c>
      <c r="Y576" s="49">
        <v>42960</v>
      </c>
      <c r="AY576" s="49">
        <v>42960</v>
      </c>
      <c r="AZ576" s="49">
        <v>42960</v>
      </c>
      <c r="BA576" s="49">
        <v>42960</v>
      </c>
    </row>
    <row r="577" spans="23:53" ht="16.2" customHeight="1" x14ac:dyDescent="0.4">
      <c r="W577" s="49">
        <v>42962</v>
      </c>
      <c r="X577" s="49">
        <v>42962</v>
      </c>
      <c r="Y577" s="49">
        <v>42962</v>
      </c>
      <c r="AY577" s="49">
        <v>42962</v>
      </c>
      <c r="AZ577" s="49">
        <v>42962</v>
      </c>
      <c r="BA577" s="49">
        <v>42962</v>
      </c>
    </row>
    <row r="578" spans="23:53" ht="16.2" customHeight="1" x14ac:dyDescent="0.4">
      <c r="W578" s="49">
        <v>42966</v>
      </c>
      <c r="X578" s="49">
        <v>42966</v>
      </c>
      <c r="Y578" s="49">
        <v>42966</v>
      </c>
      <c r="AY578" s="49">
        <v>42966</v>
      </c>
      <c r="AZ578" s="49">
        <v>42966</v>
      </c>
      <c r="BA578" s="49">
        <v>42966</v>
      </c>
    </row>
    <row r="579" spans="23:53" ht="16.2" customHeight="1" x14ac:dyDescent="0.4">
      <c r="W579" s="49">
        <v>42967</v>
      </c>
      <c r="X579" s="49">
        <v>42967</v>
      </c>
      <c r="Y579" s="49">
        <v>42967</v>
      </c>
      <c r="AY579" s="49">
        <v>42967</v>
      </c>
      <c r="AZ579" s="49">
        <v>42967</v>
      </c>
      <c r="BA579" s="49">
        <v>42967</v>
      </c>
    </row>
    <row r="580" spans="23:53" ht="16.2" customHeight="1" x14ac:dyDescent="0.4">
      <c r="W580" s="49">
        <v>42973</v>
      </c>
      <c r="X580" s="49">
        <v>42973</v>
      </c>
      <c r="Y580" s="49">
        <v>42973</v>
      </c>
      <c r="AY580" s="49">
        <v>42973</v>
      </c>
      <c r="AZ580" s="49">
        <v>42973</v>
      </c>
      <c r="BA580" s="49">
        <v>42973</v>
      </c>
    </row>
    <row r="581" spans="23:53" ht="16.2" customHeight="1" x14ac:dyDescent="0.4">
      <c r="W581" s="49">
        <v>42974</v>
      </c>
      <c r="X581" s="49">
        <v>42974</v>
      </c>
      <c r="Y581" s="49">
        <v>42974</v>
      </c>
      <c r="AY581" s="49">
        <v>42974</v>
      </c>
      <c r="AZ581" s="49">
        <v>42974</v>
      </c>
      <c r="BA581" s="49">
        <v>42974</v>
      </c>
    </row>
    <row r="582" spans="23:53" ht="16.2" customHeight="1" x14ac:dyDescent="0.4">
      <c r="W582" s="49">
        <v>42980</v>
      </c>
      <c r="X582" s="49">
        <v>42980</v>
      </c>
      <c r="Y582" s="49">
        <v>42980</v>
      </c>
      <c r="AY582" s="49">
        <v>42980</v>
      </c>
      <c r="AZ582" s="49">
        <v>42980</v>
      </c>
      <c r="BA582" s="49">
        <v>42980</v>
      </c>
    </row>
    <row r="583" spans="23:53" ht="16.2" customHeight="1" x14ac:dyDescent="0.4">
      <c r="W583" s="49">
        <v>42981</v>
      </c>
      <c r="X583" s="49">
        <v>42981</v>
      </c>
      <c r="Y583" s="49">
        <v>42981</v>
      </c>
      <c r="AY583" s="49">
        <v>42981</v>
      </c>
      <c r="AZ583" s="49">
        <v>42981</v>
      </c>
      <c r="BA583" s="49">
        <v>42981</v>
      </c>
    </row>
    <row r="584" spans="23:53" ht="16.2" customHeight="1" x14ac:dyDescent="0.4">
      <c r="W584" s="49">
        <v>42987</v>
      </c>
      <c r="X584" s="49">
        <v>42987</v>
      </c>
      <c r="Y584" s="49">
        <v>42987</v>
      </c>
      <c r="AY584" s="49">
        <v>42987</v>
      </c>
      <c r="AZ584" s="49">
        <v>42987</v>
      </c>
      <c r="BA584" s="49">
        <v>42987</v>
      </c>
    </row>
    <row r="585" spans="23:53" ht="16.2" customHeight="1" x14ac:dyDescent="0.4">
      <c r="W585" s="49">
        <v>42988</v>
      </c>
      <c r="X585" s="49">
        <v>42988</v>
      </c>
      <c r="Y585" s="49">
        <v>42988</v>
      </c>
      <c r="AY585" s="49">
        <v>42988</v>
      </c>
      <c r="AZ585" s="49">
        <v>42988</v>
      </c>
      <c r="BA585" s="49">
        <v>42988</v>
      </c>
    </row>
    <row r="586" spans="23:53" ht="16.2" customHeight="1" x14ac:dyDescent="0.4">
      <c r="W586" s="49">
        <v>42994</v>
      </c>
      <c r="X586" s="49">
        <v>42994</v>
      </c>
      <c r="Y586" s="49">
        <v>42994</v>
      </c>
      <c r="AY586" s="49">
        <v>42994</v>
      </c>
      <c r="AZ586" s="49">
        <v>42994</v>
      </c>
      <c r="BA586" s="49">
        <v>42994</v>
      </c>
    </row>
    <row r="587" spans="23:53" ht="16.2" customHeight="1" x14ac:dyDescent="0.4">
      <c r="W587" s="49">
        <v>42995</v>
      </c>
      <c r="X587" s="49">
        <v>42995</v>
      </c>
      <c r="Y587" s="49">
        <v>42995</v>
      </c>
      <c r="AY587" s="49">
        <v>42995</v>
      </c>
      <c r="AZ587" s="49">
        <v>42995</v>
      </c>
      <c r="BA587" s="49">
        <v>42995</v>
      </c>
    </row>
    <row r="588" spans="23:53" ht="16.2" customHeight="1" x14ac:dyDescent="0.4">
      <c r="W588" s="49">
        <v>43001</v>
      </c>
      <c r="X588" s="49">
        <v>43001</v>
      </c>
      <c r="Y588" s="49">
        <v>43001</v>
      </c>
      <c r="AY588" s="49">
        <v>43001</v>
      </c>
      <c r="AZ588" s="49">
        <v>43001</v>
      </c>
      <c r="BA588" s="49">
        <v>43001</v>
      </c>
    </row>
    <row r="589" spans="23:53" ht="16.2" customHeight="1" x14ac:dyDescent="0.4">
      <c r="W589" s="49">
        <v>43002</v>
      </c>
      <c r="X589" s="49">
        <v>43002</v>
      </c>
      <c r="Y589" s="49">
        <v>43002</v>
      </c>
      <c r="AY589" s="49">
        <v>43002</v>
      </c>
      <c r="AZ589" s="49">
        <v>43002</v>
      </c>
      <c r="BA589" s="49">
        <v>43002</v>
      </c>
    </row>
    <row r="590" spans="23:53" ht="16.2" customHeight="1" x14ac:dyDescent="0.4">
      <c r="W590" s="49">
        <v>43008</v>
      </c>
      <c r="X590" s="49">
        <v>43008</v>
      </c>
      <c r="Y590" s="49">
        <v>43008</v>
      </c>
      <c r="AY590" s="49">
        <v>43008</v>
      </c>
      <c r="AZ590" s="49">
        <v>43008</v>
      </c>
      <c r="BA590" s="49">
        <v>43008</v>
      </c>
    </row>
    <row r="591" spans="23:53" ht="16.2" customHeight="1" x14ac:dyDescent="0.4">
      <c r="W591" s="49">
        <v>43009</v>
      </c>
      <c r="X591" s="49">
        <v>43009</v>
      </c>
      <c r="Y591" s="49">
        <v>43009</v>
      </c>
      <c r="AY591" s="49">
        <v>43009</v>
      </c>
      <c r="AZ591" s="49">
        <v>43009</v>
      </c>
      <c r="BA591" s="49">
        <v>43009</v>
      </c>
    </row>
    <row r="592" spans="23:53" ht="16.2" customHeight="1" x14ac:dyDescent="0.4">
      <c r="W592" s="49">
        <v>43011</v>
      </c>
      <c r="X592" s="49">
        <v>43011</v>
      </c>
      <c r="Y592" s="49">
        <v>43011</v>
      </c>
      <c r="AY592" s="49">
        <v>43011</v>
      </c>
      <c r="AZ592" s="49">
        <v>43011</v>
      </c>
      <c r="BA592" s="49">
        <v>43011</v>
      </c>
    </row>
    <row r="593" spans="23:53" ht="16.2" customHeight="1" x14ac:dyDescent="0.4">
      <c r="W593" s="49">
        <v>43012</v>
      </c>
      <c r="X593" s="49">
        <v>43012</v>
      </c>
      <c r="Y593" s="49">
        <v>43012</v>
      </c>
      <c r="AY593" s="49">
        <v>43012</v>
      </c>
      <c r="AZ593" s="49">
        <v>43012</v>
      </c>
      <c r="BA593" s="49">
        <v>43012</v>
      </c>
    </row>
    <row r="594" spans="23:53" ht="16.2" customHeight="1" x14ac:dyDescent="0.4">
      <c r="W594" s="49">
        <v>43013</v>
      </c>
      <c r="X594" s="49">
        <v>43013</v>
      </c>
      <c r="Y594" s="49">
        <v>43013</v>
      </c>
      <c r="AY594" s="49">
        <v>43013</v>
      </c>
      <c r="AZ594" s="49">
        <v>43013</v>
      </c>
      <c r="BA594" s="49">
        <v>43013</v>
      </c>
    </row>
    <row r="595" spans="23:53" ht="16.2" customHeight="1" x14ac:dyDescent="0.4">
      <c r="W595" s="49">
        <v>43015</v>
      </c>
      <c r="X595" s="49">
        <v>43015</v>
      </c>
      <c r="Y595" s="49">
        <v>43015</v>
      </c>
      <c r="AY595" s="49">
        <v>43015</v>
      </c>
      <c r="AZ595" s="49">
        <v>43015</v>
      </c>
      <c r="BA595" s="49">
        <v>43015</v>
      </c>
    </row>
    <row r="596" spans="23:53" ht="16.2" customHeight="1" x14ac:dyDescent="0.4">
      <c r="W596" s="49">
        <v>43016</v>
      </c>
      <c r="X596" s="49">
        <v>43016</v>
      </c>
      <c r="Y596" s="49">
        <v>43016</v>
      </c>
      <c r="AY596" s="49">
        <v>43016</v>
      </c>
      <c r="AZ596" s="49">
        <v>43016</v>
      </c>
      <c r="BA596" s="49">
        <v>43016</v>
      </c>
    </row>
    <row r="597" spans="23:53" ht="16.2" customHeight="1" x14ac:dyDescent="0.4">
      <c r="W597" s="49">
        <v>43017</v>
      </c>
      <c r="X597" s="49">
        <v>43017</v>
      </c>
      <c r="Y597" s="49">
        <v>43017</v>
      </c>
      <c r="AY597" s="49">
        <v>43017</v>
      </c>
      <c r="AZ597" s="49">
        <v>43017</v>
      </c>
      <c r="BA597" s="49">
        <v>43017</v>
      </c>
    </row>
    <row r="598" spans="23:53" ht="16.2" customHeight="1" x14ac:dyDescent="0.4">
      <c r="W598" s="49">
        <v>43022</v>
      </c>
      <c r="X598" s="49">
        <v>43022</v>
      </c>
      <c r="Y598" s="49">
        <v>43022</v>
      </c>
      <c r="AY598" s="49">
        <v>43022</v>
      </c>
      <c r="AZ598" s="49">
        <v>43022</v>
      </c>
      <c r="BA598" s="49">
        <v>43022</v>
      </c>
    </row>
    <row r="599" spans="23:53" ht="16.2" customHeight="1" x14ac:dyDescent="0.4">
      <c r="W599" s="49">
        <v>43023</v>
      </c>
      <c r="X599" s="49">
        <v>43023</v>
      </c>
      <c r="Y599" s="49">
        <v>43023</v>
      </c>
      <c r="AY599" s="49">
        <v>43023</v>
      </c>
      <c r="AZ599" s="49">
        <v>43023</v>
      </c>
      <c r="BA599" s="49">
        <v>43023</v>
      </c>
    </row>
    <row r="600" spans="23:53" ht="16.2" customHeight="1" x14ac:dyDescent="0.4">
      <c r="W600" s="49">
        <v>43029</v>
      </c>
      <c r="X600" s="49">
        <v>43029</v>
      </c>
      <c r="Y600" s="49">
        <v>43029</v>
      </c>
      <c r="AY600" s="49">
        <v>43029</v>
      </c>
      <c r="AZ600" s="49">
        <v>43029</v>
      </c>
      <c r="BA600" s="49">
        <v>43029</v>
      </c>
    </row>
    <row r="601" spans="23:53" ht="16.2" customHeight="1" x14ac:dyDescent="0.4">
      <c r="W601" s="49">
        <v>43030</v>
      </c>
      <c r="X601" s="49">
        <v>43030</v>
      </c>
      <c r="Y601" s="49">
        <v>43030</v>
      </c>
      <c r="AY601" s="49">
        <v>43030</v>
      </c>
      <c r="AZ601" s="49">
        <v>43030</v>
      </c>
      <c r="BA601" s="49">
        <v>43030</v>
      </c>
    </row>
    <row r="602" spans="23:53" ht="16.2" customHeight="1" x14ac:dyDescent="0.4">
      <c r="W602" s="49">
        <v>43036</v>
      </c>
      <c r="X602" s="49">
        <v>43036</v>
      </c>
      <c r="Y602" s="49">
        <v>43036</v>
      </c>
      <c r="AY602" s="49">
        <v>43036</v>
      </c>
      <c r="AZ602" s="49">
        <v>43036</v>
      </c>
      <c r="BA602" s="49">
        <v>43036</v>
      </c>
    </row>
    <row r="603" spans="23:53" ht="16.2" customHeight="1" x14ac:dyDescent="0.4">
      <c r="W603" s="49">
        <v>43037</v>
      </c>
      <c r="X603" s="49">
        <v>43037</v>
      </c>
      <c r="Y603" s="49">
        <v>43037</v>
      </c>
      <c r="AY603" s="49">
        <v>43037</v>
      </c>
      <c r="AZ603" s="49">
        <v>43037</v>
      </c>
      <c r="BA603" s="49">
        <v>43037</v>
      </c>
    </row>
    <row r="604" spans="23:53" ht="16.2" customHeight="1" x14ac:dyDescent="0.4">
      <c r="W604" s="49">
        <v>43043</v>
      </c>
      <c r="X604" s="49">
        <v>43043</v>
      </c>
      <c r="Y604" s="49">
        <v>43043</v>
      </c>
      <c r="AY604" s="49">
        <v>43043</v>
      </c>
      <c r="AZ604" s="49">
        <v>43043</v>
      </c>
      <c r="BA604" s="49">
        <v>43043</v>
      </c>
    </row>
    <row r="605" spans="23:53" ht="16.2" customHeight="1" x14ac:dyDescent="0.4">
      <c r="W605" s="49">
        <v>43044</v>
      </c>
      <c r="X605" s="49">
        <v>43044</v>
      </c>
      <c r="Y605" s="49">
        <v>43044</v>
      </c>
      <c r="AY605" s="49">
        <v>43044</v>
      </c>
      <c r="AZ605" s="49">
        <v>43044</v>
      </c>
      <c r="BA605" s="49">
        <v>43044</v>
      </c>
    </row>
    <row r="606" spans="23:53" ht="16.2" customHeight="1" x14ac:dyDescent="0.4">
      <c r="W606" s="49">
        <v>43050</v>
      </c>
      <c r="X606" s="49">
        <v>43050</v>
      </c>
      <c r="Y606" s="49">
        <v>43050</v>
      </c>
      <c r="AY606" s="49">
        <v>43050</v>
      </c>
      <c r="AZ606" s="49">
        <v>43050</v>
      </c>
      <c r="BA606" s="49">
        <v>43050</v>
      </c>
    </row>
    <row r="607" spans="23:53" ht="16.2" customHeight="1" x14ac:dyDescent="0.4">
      <c r="W607" s="49">
        <v>43051</v>
      </c>
      <c r="X607" s="49">
        <v>43051</v>
      </c>
      <c r="Y607" s="49">
        <v>43051</v>
      </c>
      <c r="AY607" s="49">
        <v>43051</v>
      </c>
      <c r="AZ607" s="49">
        <v>43051</v>
      </c>
      <c r="BA607" s="49">
        <v>43051</v>
      </c>
    </row>
    <row r="608" spans="23:53" ht="16.2" customHeight="1" x14ac:dyDescent="0.4">
      <c r="W608" s="49">
        <v>43057</v>
      </c>
      <c r="X608" s="49">
        <v>43057</v>
      </c>
      <c r="Y608" s="49">
        <v>43057</v>
      </c>
      <c r="AY608" s="49">
        <v>43057</v>
      </c>
      <c r="AZ608" s="49">
        <v>43057</v>
      </c>
      <c r="BA608" s="49">
        <v>43057</v>
      </c>
    </row>
    <row r="609" spans="23:53" ht="16.2" customHeight="1" x14ac:dyDescent="0.4">
      <c r="W609" s="49">
        <v>43058</v>
      </c>
      <c r="X609" s="49">
        <v>43058</v>
      </c>
      <c r="Y609" s="49">
        <v>43058</v>
      </c>
      <c r="AY609" s="49">
        <v>43058</v>
      </c>
      <c r="AZ609" s="49">
        <v>43058</v>
      </c>
      <c r="BA609" s="49">
        <v>43058</v>
      </c>
    </row>
    <row r="610" spans="23:53" ht="16.2" customHeight="1" x14ac:dyDescent="0.4">
      <c r="W610" s="49">
        <v>43064</v>
      </c>
      <c r="X610" s="49">
        <v>43064</v>
      </c>
      <c r="Y610" s="49">
        <v>43064</v>
      </c>
      <c r="AY610" s="49">
        <v>43064</v>
      </c>
      <c r="AZ610" s="49">
        <v>43064</v>
      </c>
      <c r="BA610" s="49">
        <v>43064</v>
      </c>
    </row>
    <row r="611" spans="23:53" ht="16.2" customHeight="1" x14ac:dyDescent="0.4">
      <c r="W611" s="49">
        <v>43065</v>
      </c>
      <c r="X611" s="49">
        <v>43065</v>
      </c>
      <c r="Y611" s="49">
        <v>43065</v>
      </c>
      <c r="AY611" s="49">
        <v>43065</v>
      </c>
      <c r="AZ611" s="49">
        <v>43065</v>
      </c>
      <c r="BA611" s="49">
        <v>43065</v>
      </c>
    </row>
    <row r="612" spans="23:53" ht="16.2" customHeight="1" x14ac:dyDescent="0.4">
      <c r="W612" s="49">
        <v>43071</v>
      </c>
      <c r="X612" s="49">
        <v>43071</v>
      </c>
      <c r="Y612" s="49">
        <v>43071</v>
      </c>
      <c r="AY612" s="49">
        <v>43071</v>
      </c>
      <c r="AZ612" s="49">
        <v>43071</v>
      </c>
      <c r="BA612" s="49">
        <v>43071</v>
      </c>
    </row>
    <row r="613" spans="23:53" ht="16.2" customHeight="1" x14ac:dyDescent="0.4">
      <c r="W613" s="49">
        <v>43072</v>
      </c>
      <c r="X613" s="49">
        <v>43072</v>
      </c>
      <c r="Y613" s="49">
        <v>43072</v>
      </c>
      <c r="AY613" s="49">
        <v>43072</v>
      </c>
      <c r="AZ613" s="49">
        <v>43072</v>
      </c>
      <c r="BA613" s="49">
        <v>43072</v>
      </c>
    </row>
    <row r="614" spans="23:53" ht="16.2" customHeight="1" x14ac:dyDescent="0.4">
      <c r="W614" s="49">
        <v>43078</v>
      </c>
      <c r="X614" s="49">
        <v>43078</v>
      </c>
      <c r="Y614" s="49">
        <v>43078</v>
      </c>
      <c r="AY614" s="49">
        <v>43078</v>
      </c>
      <c r="AZ614" s="49">
        <v>43078</v>
      </c>
      <c r="BA614" s="49">
        <v>43078</v>
      </c>
    </row>
    <row r="615" spans="23:53" ht="16.2" customHeight="1" x14ac:dyDescent="0.4">
      <c r="W615" s="49">
        <v>43079</v>
      </c>
      <c r="X615" s="49">
        <v>43079</v>
      </c>
      <c r="Y615" s="49">
        <v>43079</v>
      </c>
      <c r="AY615" s="49">
        <v>43079</v>
      </c>
      <c r="AZ615" s="49">
        <v>43079</v>
      </c>
      <c r="BA615" s="49">
        <v>43079</v>
      </c>
    </row>
    <row r="616" spans="23:53" ht="16.2" customHeight="1" x14ac:dyDescent="0.4">
      <c r="W616" s="49">
        <v>43085</v>
      </c>
      <c r="X616" s="49">
        <v>43085</v>
      </c>
      <c r="Y616" s="49">
        <v>43085</v>
      </c>
      <c r="AY616" s="49">
        <v>43085</v>
      </c>
      <c r="AZ616" s="49">
        <v>43085</v>
      </c>
      <c r="BA616" s="49">
        <v>43085</v>
      </c>
    </row>
    <row r="617" spans="23:53" ht="16.2" customHeight="1" x14ac:dyDescent="0.4">
      <c r="W617" s="49">
        <v>43086</v>
      </c>
      <c r="X617" s="49">
        <v>43086</v>
      </c>
      <c r="Y617" s="49">
        <v>43086</v>
      </c>
      <c r="AY617" s="49">
        <v>43086</v>
      </c>
      <c r="AZ617" s="49">
        <v>43086</v>
      </c>
      <c r="BA617" s="49">
        <v>43086</v>
      </c>
    </row>
    <row r="618" spans="23:53" ht="16.2" customHeight="1" x14ac:dyDescent="0.4">
      <c r="W618" s="49">
        <v>43089</v>
      </c>
      <c r="X618" s="49">
        <v>43089</v>
      </c>
      <c r="Y618" s="49">
        <v>43089</v>
      </c>
      <c r="AY618" s="49">
        <v>43089</v>
      </c>
      <c r="AZ618" s="49">
        <v>43089</v>
      </c>
      <c r="BA618" s="49">
        <v>43089</v>
      </c>
    </row>
    <row r="619" spans="23:53" ht="16.2" customHeight="1" x14ac:dyDescent="0.4">
      <c r="W619" s="49">
        <v>43092</v>
      </c>
      <c r="X619" s="49">
        <v>43092</v>
      </c>
      <c r="Y619" s="49">
        <v>43092</v>
      </c>
      <c r="AY619" s="49">
        <v>43092</v>
      </c>
      <c r="AZ619" s="49">
        <v>43092</v>
      </c>
      <c r="BA619" s="49">
        <v>43092</v>
      </c>
    </row>
    <row r="620" spans="23:53" ht="16.2" customHeight="1" x14ac:dyDescent="0.4">
      <c r="W620" s="49">
        <v>43093</v>
      </c>
      <c r="X620" s="49">
        <v>43093</v>
      </c>
      <c r="Y620" s="49">
        <v>43093</v>
      </c>
      <c r="AY620" s="49">
        <v>43093</v>
      </c>
      <c r="AZ620" s="49">
        <v>43093</v>
      </c>
      <c r="BA620" s="49">
        <v>43093</v>
      </c>
    </row>
    <row r="621" spans="23:53" ht="16.2" customHeight="1" x14ac:dyDescent="0.4">
      <c r="W621" s="49">
        <v>43094</v>
      </c>
      <c r="X621" s="49">
        <v>43094</v>
      </c>
      <c r="Y621" s="49">
        <v>43094</v>
      </c>
      <c r="AY621" s="49">
        <v>43094</v>
      </c>
      <c r="AZ621" s="49">
        <v>43094</v>
      </c>
      <c r="BA621" s="49">
        <v>43094</v>
      </c>
    </row>
    <row r="622" spans="23:53" ht="16.2" customHeight="1" x14ac:dyDescent="0.4">
      <c r="W622" s="49">
        <v>43099</v>
      </c>
      <c r="X622" s="49">
        <v>43099</v>
      </c>
      <c r="Y622" s="49">
        <v>43099</v>
      </c>
      <c r="AY622" s="49">
        <v>43099</v>
      </c>
      <c r="AZ622" s="49">
        <v>43099</v>
      </c>
      <c r="BA622" s="49">
        <v>43099</v>
      </c>
    </row>
    <row r="623" spans="23:53" ht="16.2" customHeight="1" x14ac:dyDescent="0.4">
      <c r="W623" s="49">
        <v>43100</v>
      </c>
      <c r="X623" s="49">
        <v>43100</v>
      </c>
      <c r="Y623" s="49">
        <v>43100</v>
      </c>
      <c r="AY623" s="49">
        <v>43100</v>
      </c>
      <c r="AZ623" s="49">
        <v>43100</v>
      </c>
      <c r="BA623" s="49">
        <v>43100</v>
      </c>
    </row>
    <row r="624" spans="23:53" ht="16.2" customHeight="1" x14ac:dyDescent="0.4">
      <c r="W624" s="49">
        <v>43101</v>
      </c>
      <c r="X624" s="49">
        <v>43101</v>
      </c>
      <c r="Y624" s="49">
        <v>43101</v>
      </c>
      <c r="AY624" s="49">
        <v>43101</v>
      </c>
      <c r="AZ624" s="49">
        <v>43101</v>
      </c>
      <c r="BA624" s="49">
        <v>43101</v>
      </c>
    </row>
    <row r="625" spans="23:53" ht="16.2" customHeight="1" x14ac:dyDescent="0.4">
      <c r="W625" s="49">
        <v>43106</v>
      </c>
      <c r="X625" s="49">
        <v>43106</v>
      </c>
      <c r="Y625" s="49">
        <v>43106</v>
      </c>
      <c r="AY625" s="49">
        <v>43106</v>
      </c>
      <c r="AZ625" s="49">
        <v>43106</v>
      </c>
      <c r="BA625" s="49">
        <v>43106</v>
      </c>
    </row>
    <row r="626" spans="23:53" ht="16.2" customHeight="1" x14ac:dyDescent="0.4">
      <c r="W626" s="49">
        <v>43107</v>
      </c>
      <c r="X626" s="49">
        <v>43107</v>
      </c>
      <c r="Y626" s="49">
        <v>43107</v>
      </c>
      <c r="AY626" s="49">
        <v>43107</v>
      </c>
      <c r="AZ626" s="49">
        <v>43107</v>
      </c>
      <c r="BA626" s="49">
        <v>43107</v>
      </c>
    </row>
    <row r="627" spans="23:53" ht="16.2" customHeight="1" x14ac:dyDescent="0.4">
      <c r="W627" s="49">
        <v>43113</v>
      </c>
      <c r="X627" s="49">
        <v>43113</v>
      </c>
      <c r="Y627" s="49">
        <v>43113</v>
      </c>
      <c r="AY627" s="49">
        <v>43113</v>
      </c>
      <c r="AZ627" s="49">
        <v>43113</v>
      </c>
      <c r="BA627" s="49">
        <v>43113</v>
      </c>
    </row>
    <row r="628" spans="23:53" ht="16.2" customHeight="1" x14ac:dyDescent="0.4">
      <c r="W628" s="49">
        <v>43114</v>
      </c>
      <c r="X628" s="49">
        <v>43114</v>
      </c>
      <c r="Y628" s="49">
        <v>43114</v>
      </c>
      <c r="AY628" s="49">
        <v>43114</v>
      </c>
      <c r="AZ628" s="49">
        <v>43114</v>
      </c>
      <c r="BA628" s="49">
        <v>43114</v>
      </c>
    </row>
    <row r="629" spans="23:53" ht="16.2" customHeight="1" x14ac:dyDescent="0.4">
      <c r="W629" s="49">
        <v>43120</v>
      </c>
      <c r="X629" s="49">
        <v>43120</v>
      </c>
      <c r="Y629" s="49">
        <v>43120</v>
      </c>
      <c r="AY629" s="49">
        <v>43120</v>
      </c>
      <c r="AZ629" s="49">
        <v>43120</v>
      </c>
      <c r="BA629" s="49">
        <v>43120</v>
      </c>
    </row>
    <row r="630" spans="23:53" ht="16.2" customHeight="1" x14ac:dyDescent="0.4">
      <c r="W630" s="49">
        <v>43121</v>
      </c>
      <c r="X630" s="49">
        <v>43121</v>
      </c>
      <c r="Y630" s="49">
        <v>43121</v>
      </c>
      <c r="AY630" s="49">
        <v>43121</v>
      </c>
      <c r="AZ630" s="49">
        <v>43121</v>
      </c>
      <c r="BA630" s="49">
        <v>43121</v>
      </c>
    </row>
    <row r="631" spans="23:53" ht="16.2" customHeight="1" x14ac:dyDescent="0.4">
      <c r="W631" s="49">
        <v>43127</v>
      </c>
      <c r="X631" s="49">
        <v>43127</v>
      </c>
      <c r="Y631" s="49">
        <v>43127</v>
      </c>
      <c r="AY631" s="49">
        <v>43127</v>
      </c>
      <c r="AZ631" s="49">
        <v>43127</v>
      </c>
      <c r="BA631" s="49">
        <v>43127</v>
      </c>
    </row>
    <row r="632" spans="23:53" ht="16.2" customHeight="1" x14ac:dyDescent="0.4">
      <c r="W632" s="49">
        <v>43128</v>
      </c>
      <c r="X632" s="49">
        <v>43128</v>
      </c>
      <c r="Y632" s="49">
        <v>43128</v>
      </c>
      <c r="AY632" s="49">
        <v>43128</v>
      </c>
      <c r="AZ632" s="49">
        <v>43128</v>
      </c>
      <c r="BA632" s="49">
        <v>43128</v>
      </c>
    </row>
    <row r="633" spans="23:53" ht="16.2" customHeight="1" x14ac:dyDescent="0.4">
      <c r="W633" s="49">
        <v>43134</v>
      </c>
      <c r="X633" s="49">
        <v>43134</v>
      </c>
      <c r="Y633" s="49">
        <v>43134</v>
      </c>
      <c r="AY633" s="49">
        <v>43134</v>
      </c>
      <c r="AZ633" s="49">
        <v>43134</v>
      </c>
      <c r="BA633" s="49">
        <v>43134</v>
      </c>
    </row>
    <row r="634" spans="23:53" ht="16.2" customHeight="1" x14ac:dyDescent="0.4">
      <c r="W634" s="49">
        <v>43135</v>
      </c>
      <c r="X634" s="49">
        <v>43135</v>
      </c>
      <c r="Y634" s="49">
        <v>43135</v>
      </c>
      <c r="AY634" s="49">
        <v>43135</v>
      </c>
      <c r="AZ634" s="49">
        <v>43135</v>
      </c>
      <c r="BA634" s="49">
        <v>43135</v>
      </c>
    </row>
    <row r="635" spans="23:53" ht="16.2" customHeight="1" x14ac:dyDescent="0.4">
      <c r="W635" s="49">
        <v>43141</v>
      </c>
      <c r="X635" s="49">
        <v>43141</v>
      </c>
      <c r="Y635" s="49">
        <v>43141</v>
      </c>
      <c r="AY635" s="49">
        <v>43141</v>
      </c>
      <c r="AZ635" s="49">
        <v>43141</v>
      </c>
      <c r="BA635" s="49">
        <v>43141</v>
      </c>
    </row>
    <row r="636" spans="23:53" ht="16.2" customHeight="1" x14ac:dyDescent="0.4">
      <c r="W636" s="49">
        <v>43142</v>
      </c>
      <c r="X636" s="49">
        <v>43142</v>
      </c>
      <c r="Y636" s="49">
        <v>43142</v>
      </c>
      <c r="AY636" s="49">
        <v>43142</v>
      </c>
      <c r="AZ636" s="49">
        <v>43142</v>
      </c>
      <c r="BA636" s="49">
        <v>43142</v>
      </c>
    </row>
    <row r="637" spans="23:53" ht="16.2" customHeight="1" x14ac:dyDescent="0.4">
      <c r="W637" s="49">
        <v>43146</v>
      </c>
      <c r="X637" s="49">
        <v>43146</v>
      </c>
      <c r="Y637" s="49">
        <v>43146</v>
      </c>
      <c r="AY637" s="49">
        <v>43146</v>
      </c>
      <c r="AZ637" s="49">
        <v>43146</v>
      </c>
      <c r="BA637" s="49">
        <v>43146</v>
      </c>
    </row>
    <row r="638" spans="23:53" ht="16.2" customHeight="1" x14ac:dyDescent="0.4">
      <c r="W638" s="49">
        <v>43147</v>
      </c>
      <c r="X638" s="49">
        <v>43147</v>
      </c>
      <c r="Y638" s="49">
        <v>43147</v>
      </c>
      <c r="AY638" s="49">
        <v>43147</v>
      </c>
      <c r="AZ638" s="49">
        <v>43147</v>
      </c>
      <c r="BA638" s="49">
        <v>43147</v>
      </c>
    </row>
    <row r="639" spans="23:53" ht="16.2" customHeight="1" x14ac:dyDescent="0.4">
      <c r="W639" s="49">
        <v>43149</v>
      </c>
      <c r="X639" s="49">
        <v>43149</v>
      </c>
      <c r="Y639" s="49">
        <v>43149</v>
      </c>
      <c r="AY639" s="49">
        <v>43149</v>
      </c>
      <c r="AZ639" s="49">
        <v>43149</v>
      </c>
      <c r="BA639" s="49">
        <v>43149</v>
      </c>
    </row>
    <row r="640" spans="23:53" ht="16.2" customHeight="1" x14ac:dyDescent="0.4">
      <c r="W640" s="49">
        <v>43155</v>
      </c>
      <c r="X640" s="49">
        <v>43155</v>
      </c>
      <c r="Y640" s="49">
        <v>43155</v>
      </c>
      <c r="AY640" s="49">
        <v>43155</v>
      </c>
      <c r="AZ640" s="49">
        <v>43155</v>
      </c>
      <c r="BA640" s="49">
        <v>43155</v>
      </c>
    </row>
    <row r="641" spans="23:53" ht="16.2" customHeight="1" x14ac:dyDescent="0.4">
      <c r="W641" s="49">
        <v>43156</v>
      </c>
      <c r="X641" s="49">
        <v>43156</v>
      </c>
      <c r="Y641" s="49">
        <v>43156</v>
      </c>
      <c r="AY641" s="49">
        <v>43156</v>
      </c>
      <c r="AZ641" s="49">
        <v>43156</v>
      </c>
      <c r="BA641" s="49">
        <v>43156</v>
      </c>
    </row>
    <row r="642" spans="23:53" ht="16.2" customHeight="1" x14ac:dyDescent="0.4">
      <c r="W642" s="49">
        <v>43160</v>
      </c>
      <c r="X642" s="49">
        <v>43160</v>
      </c>
      <c r="Y642" s="49">
        <v>43160</v>
      </c>
      <c r="AY642" s="49">
        <v>43160</v>
      </c>
      <c r="AZ642" s="49">
        <v>43160</v>
      </c>
      <c r="BA642" s="49">
        <v>43160</v>
      </c>
    </row>
    <row r="643" spans="23:53" ht="16.2" customHeight="1" x14ac:dyDescent="0.4">
      <c r="W643" s="49">
        <v>43162</v>
      </c>
      <c r="X643" s="49">
        <v>43162</v>
      </c>
      <c r="Y643" s="49">
        <v>43162</v>
      </c>
      <c r="AY643" s="49">
        <v>43162</v>
      </c>
      <c r="AZ643" s="49">
        <v>43162</v>
      </c>
      <c r="BA643" s="49">
        <v>43162</v>
      </c>
    </row>
    <row r="644" spans="23:53" ht="16.2" customHeight="1" x14ac:dyDescent="0.4">
      <c r="W644" s="49">
        <v>43163</v>
      </c>
      <c r="X644" s="49">
        <v>43163</v>
      </c>
      <c r="Y644" s="49">
        <v>43163</v>
      </c>
      <c r="AY644" s="49">
        <v>43163</v>
      </c>
      <c r="AZ644" s="49">
        <v>43163</v>
      </c>
      <c r="BA644" s="49">
        <v>43163</v>
      </c>
    </row>
    <row r="645" spans="23:53" ht="16.2" customHeight="1" x14ac:dyDescent="0.4">
      <c r="W645" s="49">
        <v>43169</v>
      </c>
      <c r="X645" s="49">
        <v>43169</v>
      </c>
      <c r="Y645" s="49">
        <v>43169</v>
      </c>
      <c r="AY645" s="49">
        <v>43169</v>
      </c>
      <c r="AZ645" s="49">
        <v>43169</v>
      </c>
      <c r="BA645" s="49">
        <v>43169</v>
      </c>
    </row>
    <row r="646" spans="23:53" ht="16.2" customHeight="1" x14ac:dyDescent="0.4">
      <c r="W646" s="49">
        <v>43170</v>
      </c>
      <c r="X646" s="49">
        <v>43170</v>
      </c>
      <c r="Y646" s="49">
        <v>43170</v>
      </c>
      <c r="AY646" s="49">
        <v>43170</v>
      </c>
      <c r="AZ646" s="49">
        <v>43170</v>
      </c>
      <c r="BA646" s="49">
        <v>43170</v>
      </c>
    </row>
    <row r="647" spans="23:53" ht="16.2" customHeight="1" x14ac:dyDescent="0.4">
      <c r="W647" s="49">
        <v>43176</v>
      </c>
      <c r="X647" s="49">
        <v>43176</v>
      </c>
      <c r="Y647" s="49">
        <v>43176</v>
      </c>
      <c r="AY647" s="49">
        <v>43176</v>
      </c>
      <c r="AZ647" s="49">
        <v>43176</v>
      </c>
      <c r="BA647" s="49">
        <v>43176</v>
      </c>
    </row>
    <row r="648" spans="23:53" ht="16.2" customHeight="1" x14ac:dyDescent="0.4">
      <c r="W648" s="49">
        <v>43177</v>
      </c>
      <c r="X648" s="49">
        <v>43177</v>
      </c>
      <c r="Y648" s="49">
        <v>43177</v>
      </c>
      <c r="AY648" s="49">
        <v>43177</v>
      </c>
      <c r="AZ648" s="49">
        <v>43177</v>
      </c>
      <c r="BA648" s="49">
        <v>43177</v>
      </c>
    </row>
    <row r="649" spans="23:53" ht="16.2" customHeight="1" x14ac:dyDescent="0.4">
      <c r="W649" s="49">
        <v>43183</v>
      </c>
      <c r="X649" s="49">
        <v>43183</v>
      </c>
      <c r="Y649" s="49">
        <v>43183</v>
      </c>
      <c r="AY649" s="49">
        <v>43183</v>
      </c>
      <c r="AZ649" s="49">
        <v>43183</v>
      </c>
      <c r="BA649" s="49">
        <v>43183</v>
      </c>
    </row>
    <row r="650" spans="23:53" ht="16.2" customHeight="1" x14ac:dyDescent="0.4">
      <c r="W650" s="49">
        <v>43184</v>
      </c>
      <c r="X650" s="49">
        <v>43184</v>
      </c>
      <c r="Y650" s="49">
        <v>43184</v>
      </c>
      <c r="AY650" s="49">
        <v>43184</v>
      </c>
      <c r="AZ650" s="49">
        <v>43184</v>
      </c>
      <c r="BA650" s="49">
        <v>43184</v>
      </c>
    </row>
    <row r="651" spans="23:53" ht="16.2" customHeight="1" x14ac:dyDescent="0.4">
      <c r="W651" s="49">
        <v>43190</v>
      </c>
      <c r="X651" s="49">
        <v>43190</v>
      </c>
      <c r="Y651" s="49">
        <v>43190</v>
      </c>
      <c r="AY651" s="49">
        <v>43190</v>
      </c>
      <c r="AZ651" s="49">
        <v>43190</v>
      </c>
      <c r="BA651" s="49">
        <v>43190</v>
      </c>
    </row>
    <row r="652" spans="23:53" ht="16.2" customHeight="1" x14ac:dyDescent="0.4">
      <c r="W652" s="49">
        <v>43191</v>
      </c>
      <c r="X652" s="49">
        <v>43191</v>
      </c>
      <c r="Y652" s="49">
        <v>43191</v>
      </c>
      <c r="AY652" s="49">
        <v>43191</v>
      </c>
      <c r="AZ652" s="49">
        <v>43191</v>
      </c>
      <c r="BA652" s="49">
        <v>43191</v>
      </c>
    </row>
    <row r="653" spans="23:53" ht="16.2" customHeight="1" x14ac:dyDescent="0.4">
      <c r="W653" s="49">
        <v>43197</v>
      </c>
      <c r="X653" s="49">
        <v>43197</v>
      </c>
      <c r="Y653" s="49">
        <v>43197</v>
      </c>
      <c r="AY653" s="49">
        <v>43197</v>
      </c>
      <c r="AZ653" s="49">
        <v>43197</v>
      </c>
      <c r="BA653" s="49">
        <v>43197</v>
      </c>
    </row>
    <row r="654" spans="23:53" ht="16.2" customHeight="1" x14ac:dyDescent="0.4">
      <c r="W654" s="49">
        <v>43198</v>
      </c>
      <c r="X654" s="49">
        <v>43198</v>
      </c>
      <c r="Y654" s="49">
        <v>43198</v>
      </c>
      <c r="AY654" s="49">
        <v>43198</v>
      </c>
      <c r="AZ654" s="49">
        <v>43198</v>
      </c>
      <c r="BA654" s="49">
        <v>43198</v>
      </c>
    </row>
    <row r="655" spans="23:53" ht="16.2" customHeight="1" x14ac:dyDescent="0.4">
      <c r="W655" s="49">
        <v>43204</v>
      </c>
      <c r="X655" s="49">
        <v>43204</v>
      </c>
      <c r="Y655" s="49">
        <v>43204</v>
      </c>
      <c r="AY655" s="49">
        <v>43204</v>
      </c>
      <c r="AZ655" s="49">
        <v>43204</v>
      </c>
      <c r="BA655" s="49">
        <v>43204</v>
      </c>
    </row>
    <row r="656" spans="23:53" ht="16.2" customHeight="1" x14ac:dyDescent="0.4">
      <c r="W656" s="49">
        <v>43205</v>
      </c>
      <c r="X656" s="49">
        <v>43205</v>
      </c>
      <c r="Y656" s="49">
        <v>43205</v>
      </c>
      <c r="AY656" s="49">
        <v>43205</v>
      </c>
      <c r="AZ656" s="49">
        <v>43205</v>
      </c>
      <c r="BA656" s="49">
        <v>43205</v>
      </c>
    </row>
    <row r="657" spans="23:53" ht="16.2" customHeight="1" x14ac:dyDescent="0.4">
      <c r="W657" s="49">
        <v>43211</v>
      </c>
      <c r="X657" s="49">
        <v>43211</v>
      </c>
      <c r="Y657" s="49">
        <v>43211</v>
      </c>
      <c r="AY657" s="49">
        <v>43211</v>
      </c>
      <c r="AZ657" s="49">
        <v>43211</v>
      </c>
      <c r="BA657" s="49">
        <v>43211</v>
      </c>
    </row>
    <row r="658" spans="23:53" ht="16.2" customHeight="1" x14ac:dyDescent="0.4">
      <c r="W658" s="49">
        <v>43212</v>
      </c>
      <c r="X658" s="49">
        <v>43212</v>
      </c>
      <c r="Y658" s="49">
        <v>43212</v>
      </c>
      <c r="AY658" s="49">
        <v>43212</v>
      </c>
      <c r="AZ658" s="49">
        <v>43212</v>
      </c>
      <c r="BA658" s="49">
        <v>43212</v>
      </c>
    </row>
    <row r="659" spans="23:53" ht="16.2" customHeight="1" x14ac:dyDescent="0.4">
      <c r="W659" s="49">
        <v>43218</v>
      </c>
      <c r="X659" s="49">
        <v>43218</v>
      </c>
      <c r="Y659" s="49">
        <v>43218</v>
      </c>
      <c r="AY659" s="49">
        <v>43218</v>
      </c>
      <c r="AZ659" s="49">
        <v>43218</v>
      </c>
      <c r="BA659" s="49">
        <v>43218</v>
      </c>
    </row>
    <row r="660" spans="23:53" ht="16.2" customHeight="1" x14ac:dyDescent="0.4">
      <c r="W660" s="49">
        <v>43219</v>
      </c>
      <c r="X660" s="49">
        <v>43219</v>
      </c>
      <c r="Y660" s="49">
        <v>43219</v>
      </c>
      <c r="AY660" s="49">
        <v>43219</v>
      </c>
      <c r="AZ660" s="49">
        <v>43219</v>
      </c>
      <c r="BA660" s="49">
        <v>43219</v>
      </c>
    </row>
    <row r="661" spans="23:53" ht="16.2" customHeight="1" x14ac:dyDescent="0.4">
      <c r="W661" s="49">
        <v>43221</v>
      </c>
      <c r="X661" s="49">
        <v>43221</v>
      </c>
      <c r="Y661" s="49">
        <v>43221</v>
      </c>
      <c r="AY661" s="49">
        <v>43221</v>
      </c>
      <c r="AZ661" s="49">
        <v>43221</v>
      </c>
      <c r="BA661" s="49">
        <v>43221</v>
      </c>
    </row>
    <row r="662" spans="23:53" ht="16.2" customHeight="1" x14ac:dyDescent="0.4">
      <c r="W662" s="49">
        <v>43226</v>
      </c>
      <c r="X662" s="49">
        <v>43226</v>
      </c>
      <c r="Y662" s="49">
        <v>43226</v>
      </c>
      <c r="AY662" s="49">
        <v>43226</v>
      </c>
      <c r="AZ662" s="49">
        <v>43226</v>
      </c>
      <c r="BA662" s="49">
        <v>43226</v>
      </c>
    </row>
    <row r="663" spans="23:53" ht="16.2" customHeight="1" x14ac:dyDescent="0.4">
      <c r="W663" s="49">
        <v>43227</v>
      </c>
      <c r="X663" s="49">
        <v>43227</v>
      </c>
      <c r="Y663" s="49">
        <v>43227</v>
      </c>
      <c r="AY663" s="49">
        <v>43227</v>
      </c>
      <c r="AZ663" s="49">
        <v>43227</v>
      </c>
      <c r="BA663" s="49">
        <v>43227</v>
      </c>
    </row>
    <row r="664" spans="23:53" ht="16.2" customHeight="1" x14ac:dyDescent="0.4">
      <c r="W664" s="49">
        <v>43232</v>
      </c>
      <c r="X664" s="49">
        <v>43232</v>
      </c>
      <c r="Y664" s="49">
        <v>43232</v>
      </c>
      <c r="AY664" s="49">
        <v>43232</v>
      </c>
      <c r="AZ664" s="49">
        <v>43232</v>
      </c>
      <c r="BA664" s="49">
        <v>43232</v>
      </c>
    </row>
    <row r="665" spans="23:53" ht="16.2" customHeight="1" x14ac:dyDescent="0.4">
      <c r="W665" s="49">
        <v>43233</v>
      </c>
      <c r="X665" s="49">
        <v>43233</v>
      </c>
      <c r="Y665" s="49">
        <v>43233</v>
      </c>
      <c r="AY665" s="49">
        <v>43233</v>
      </c>
      <c r="AZ665" s="49">
        <v>43233</v>
      </c>
      <c r="BA665" s="49">
        <v>43233</v>
      </c>
    </row>
    <row r="666" spans="23:53" ht="16.2" customHeight="1" x14ac:dyDescent="0.4">
      <c r="W666" s="49">
        <v>43239</v>
      </c>
      <c r="X666" s="49">
        <v>43239</v>
      </c>
      <c r="Y666" s="49">
        <v>43239</v>
      </c>
      <c r="AY666" s="49">
        <v>43239</v>
      </c>
      <c r="AZ666" s="49">
        <v>43239</v>
      </c>
      <c r="BA666" s="49">
        <v>43239</v>
      </c>
    </row>
    <row r="667" spans="23:53" ht="16.2" customHeight="1" x14ac:dyDescent="0.4">
      <c r="W667" s="49">
        <v>43240</v>
      </c>
      <c r="X667" s="49">
        <v>43240</v>
      </c>
      <c r="Y667" s="49">
        <v>43240</v>
      </c>
      <c r="AY667" s="49">
        <v>43240</v>
      </c>
      <c r="AZ667" s="49">
        <v>43240</v>
      </c>
      <c r="BA667" s="49">
        <v>43240</v>
      </c>
    </row>
    <row r="668" spans="23:53" ht="16.2" customHeight="1" x14ac:dyDescent="0.4">
      <c r="W668" s="49">
        <v>43242</v>
      </c>
      <c r="X668" s="49">
        <v>43242</v>
      </c>
      <c r="Y668" s="49">
        <v>43242</v>
      </c>
      <c r="AY668" s="49">
        <v>43242</v>
      </c>
      <c r="AZ668" s="49">
        <v>43242</v>
      </c>
      <c r="BA668" s="49">
        <v>43242</v>
      </c>
    </row>
    <row r="669" spans="23:53" ht="16.2" customHeight="1" x14ac:dyDescent="0.4">
      <c r="W669" s="49">
        <v>43246</v>
      </c>
      <c r="X669" s="49">
        <v>43246</v>
      </c>
      <c r="Y669" s="49">
        <v>43246</v>
      </c>
      <c r="AY669" s="49">
        <v>43246</v>
      </c>
      <c r="AZ669" s="49">
        <v>43246</v>
      </c>
      <c r="BA669" s="49">
        <v>43246</v>
      </c>
    </row>
    <row r="670" spans="23:53" ht="16.2" customHeight="1" x14ac:dyDescent="0.4">
      <c r="W670" s="49">
        <v>43247</v>
      </c>
      <c r="X670" s="49">
        <v>43247</v>
      </c>
      <c r="Y670" s="49">
        <v>43247</v>
      </c>
      <c r="AY670" s="49">
        <v>43247</v>
      </c>
      <c r="AZ670" s="49">
        <v>43247</v>
      </c>
      <c r="BA670" s="49">
        <v>43247</v>
      </c>
    </row>
    <row r="671" spans="23:53" ht="16.2" customHeight="1" x14ac:dyDescent="0.4">
      <c r="W671" s="49">
        <v>43253</v>
      </c>
      <c r="X671" s="49">
        <v>43253</v>
      </c>
      <c r="Y671" s="49">
        <v>43253</v>
      </c>
      <c r="AY671" s="49">
        <v>43253</v>
      </c>
      <c r="AZ671" s="49">
        <v>43253</v>
      </c>
      <c r="BA671" s="49">
        <v>43253</v>
      </c>
    </row>
    <row r="672" spans="23:53" ht="16.2" customHeight="1" x14ac:dyDescent="0.4">
      <c r="W672" s="49">
        <v>43254</v>
      </c>
      <c r="X672" s="49">
        <v>43254</v>
      </c>
      <c r="Y672" s="49">
        <v>43254</v>
      </c>
      <c r="AY672" s="49">
        <v>43254</v>
      </c>
      <c r="AZ672" s="49">
        <v>43254</v>
      </c>
      <c r="BA672" s="49">
        <v>43254</v>
      </c>
    </row>
    <row r="673" spans="23:53" ht="16.2" customHeight="1" x14ac:dyDescent="0.4">
      <c r="W673" s="49">
        <v>43257</v>
      </c>
      <c r="X673" s="49">
        <v>43257</v>
      </c>
      <c r="Y673" s="49">
        <v>43257</v>
      </c>
      <c r="AY673" s="49">
        <v>43257</v>
      </c>
      <c r="AZ673" s="49">
        <v>43257</v>
      </c>
      <c r="BA673" s="49">
        <v>43257</v>
      </c>
    </row>
    <row r="674" spans="23:53" ht="16.2" customHeight="1" x14ac:dyDescent="0.4">
      <c r="W674" s="49">
        <v>43260</v>
      </c>
      <c r="X674" s="49">
        <v>43260</v>
      </c>
      <c r="Y674" s="49">
        <v>43260</v>
      </c>
      <c r="AY674" s="49">
        <v>43260</v>
      </c>
      <c r="AZ674" s="49">
        <v>43260</v>
      </c>
      <c r="BA674" s="49">
        <v>43260</v>
      </c>
    </row>
    <row r="675" spans="23:53" ht="16.2" customHeight="1" x14ac:dyDescent="0.4">
      <c r="W675" s="49">
        <v>43261</v>
      </c>
      <c r="X675" s="49">
        <v>43261</v>
      </c>
      <c r="Y675" s="49">
        <v>43261</v>
      </c>
      <c r="AY675" s="49">
        <v>43261</v>
      </c>
      <c r="AZ675" s="49">
        <v>43261</v>
      </c>
      <c r="BA675" s="49">
        <v>43261</v>
      </c>
    </row>
    <row r="676" spans="23:53" ht="16.2" customHeight="1" x14ac:dyDescent="0.4">
      <c r="W676" s="49">
        <v>43264</v>
      </c>
      <c r="X676" s="49">
        <v>43264</v>
      </c>
      <c r="Y676" s="49">
        <v>43264</v>
      </c>
      <c r="AY676" s="49">
        <v>43264</v>
      </c>
      <c r="AZ676" s="49">
        <v>43264</v>
      </c>
      <c r="BA676" s="49">
        <v>43264</v>
      </c>
    </row>
    <row r="677" spans="23:53" ht="16.2" customHeight="1" x14ac:dyDescent="0.4">
      <c r="W677" s="49">
        <v>43267</v>
      </c>
      <c r="X677" s="49">
        <v>43267</v>
      </c>
      <c r="Y677" s="49">
        <v>43267</v>
      </c>
      <c r="AY677" s="49">
        <v>43267</v>
      </c>
      <c r="AZ677" s="49">
        <v>43267</v>
      </c>
      <c r="BA677" s="49">
        <v>43267</v>
      </c>
    </row>
    <row r="678" spans="23:53" ht="16.2" customHeight="1" x14ac:dyDescent="0.4">
      <c r="W678" s="49">
        <v>43268</v>
      </c>
      <c r="X678" s="49">
        <v>43268</v>
      </c>
      <c r="Y678" s="49">
        <v>43268</v>
      </c>
      <c r="AY678" s="49">
        <v>43268</v>
      </c>
      <c r="AZ678" s="49">
        <v>43268</v>
      </c>
      <c r="BA678" s="49">
        <v>43268</v>
      </c>
    </row>
    <row r="679" spans="23:53" ht="16.2" customHeight="1" x14ac:dyDescent="0.4">
      <c r="W679" s="49">
        <v>43274</v>
      </c>
      <c r="X679" s="49">
        <v>43274</v>
      </c>
      <c r="Y679" s="49">
        <v>43274</v>
      </c>
      <c r="AY679" s="49">
        <v>43274</v>
      </c>
      <c r="AZ679" s="49">
        <v>43274</v>
      </c>
      <c r="BA679" s="49">
        <v>43274</v>
      </c>
    </row>
    <row r="680" spans="23:53" ht="16.2" customHeight="1" x14ac:dyDescent="0.4">
      <c r="W680" s="49">
        <v>43275</v>
      </c>
      <c r="X680" s="49">
        <v>43275</v>
      </c>
      <c r="Y680" s="49">
        <v>43275</v>
      </c>
      <c r="AY680" s="49">
        <v>43275</v>
      </c>
      <c r="AZ680" s="49">
        <v>43275</v>
      </c>
      <c r="BA680" s="49">
        <v>43275</v>
      </c>
    </row>
    <row r="681" spans="23:53" ht="16.2" customHeight="1" x14ac:dyDescent="0.4">
      <c r="W681" s="49">
        <v>43281</v>
      </c>
      <c r="X681" s="49">
        <v>43281</v>
      </c>
      <c r="Y681" s="49">
        <v>43281</v>
      </c>
      <c r="AY681" s="49">
        <v>43281</v>
      </c>
      <c r="AZ681" s="49">
        <v>43281</v>
      </c>
      <c r="BA681" s="49">
        <v>43281</v>
      </c>
    </row>
    <row r="682" spans="23:53" ht="16.2" customHeight="1" x14ac:dyDescent="0.4">
      <c r="W682" s="49">
        <v>43282</v>
      </c>
      <c r="X682" s="49">
        <v>43282</v>
      </c>
      <c r="Y682" s="49">
        <v>43282</v>
      </c>
      <c r="AY682" s="49">
        <v>43282</v>
      </c>
      <c r="AZ682" s="49">
        <v>43282</v>
      </c>
      <c r="BA682" s="49">
        <v>43282</v>
      </c>
    </row>
    <row r="683" spans="23:53" ht="16.2" customHeight="1" x14ac:dyDescent="0.4">
      <c r="W683" s="49">
        <v>43288</v>
      </c>
      <c r="X683" s="49">
        <v>43288</v>
      </c>
      <c r="Y683" s="49">
        <v>43288</v>
      </c>
      <c r="AY683" s="49">
        <v>43288</v>
      </c>
      <c r="AZ683" s="49">
        <v>43288</v>
      </c>
      <c r="BA683" s="49">
        <v>43288</v>
      </c>
    </row>
    <row r="684" spans="23:53" ht="16.2" customHeight="1" x14ac:dyDescent="0.4">
      <c r="W684" s="49">
        <v>43289</v>
      </c>
      <c r="X684" s="49">
        <v>43289</v>
      </c>
      <c r="Y684" s="49">
        <v>43289</v>
      </c>
      <c r="AY684" s="49">
        <v>43289</v>
      </c>
      <c r="AZ684" s="49">
        <v>43289</v>
      </c>
      <c r="BA684" s="49">
        <v>43289</v>
      </c>
    </row>
    <row r="685" spans="23:53" ht="16.2" customHeight="1" x14ac:dyDescent="0.4">
      <c r="W685" s="49">
        <v>43295</v>
      </c>
      <c r="X685" s="49">
        <v>43295</v>
      </c>
      <c r="Y685" s="49">
        <v>43295</v>
      </c>
      <c r="AY685" s="49">
        <v>43295</v>
      </c>
      <c r="AZ685" s="49">
        <v>43295</v>
      </c>
      <c r="BA685" s="49">
        <v>43295</v>
      </c>
    </row>
    <row r="686" spans="23:53" ht="16.2" customHeight="1" x14ac:dyDescent="0.4">
      <c r="W686" s="49">
        <v>43296</v>
      </c>
      <c r="X686" s="49">
        <v>43296</v>
      </c>
      <c r="Y686" s="49">
        <v>43296</v>
      </c>
      <c r="AY686" s="49">
        <v>43296</v>
      </c>
      <c r="AZ686" s="49">
        <v>43296</v>
      </c>
      <c r="BA686" s="49">
        <v>43296</v>
      </c>
    </row>
    <row r="687" spans="23:53" ht="16.2" customHeight="1" x14ac:dyDescent="0.4">
      <c r="W687" s="49">
        <v>43302</v>
      </c>
      <c r="X687" s="49">
        <v>43302</v>
      </c>
      <c r="Y687" s="49">
        <v>43302</v>
      </c>
      <c r="AY687" s="49">
        <v>43302</v>
      </c>
      <c r="AZ687" s="49">
        <v>43302</v>
      </c>
      <c r="BA687" s="49">
        <v>43302</v>
      </c>
    </row>
    <row r="688" spans="23:53" ht="16.2" customHeight="1" x14ac:dyDescent="0.4">
      <c r="W688" s="49">
        <v>43303</v>
      </c>
      <c r="X688" s="49">
        <v>43303</v>
      </c>
      <c r="Y688" s="49">
        <v>43303</v>
      </c>
      <c r="AY688" s="49">
        <v>43303</v>
      </c>
      <c r="AZ688" s="49">
        <v>43303</v>
      </c>
      <c r="BA688" s="49">
        <v>43303</v>
      </c>
    </row>
    <row r="689" spans="23:53" ht="16.2" customHeight="1" x14ac:dyDescent="0.4">
      <c r="W689" s="49">
        <v>43309</v>
      </c>
      <c r="X689" s="49">
        <v>43309</v>
      </c>
      <c r="Y689" s="49">
        <v>43309</v>
      </c>
      <c r="AY689" s="49">
        <v>43309</v>
      </c>
      <c r="AZ689" s="49">
        <v>43309</v>
      </c>
      <c r="BA689" s="49">
        <v>43309</v>
      </c>
    </row>
    <row r="690" spans="23:53" ht="16.2" customHeight="1" x14ac:dyDescent="0.4">
      <c r="W690" s="49">
        <v>43310</v>
      </c>
      <c r="X690" s="49">
        <v>43310</v>
      </c>
      <c r="Y690" s="49">
        <v>43310</v>
      </c>
      <c r="AY690" s="49">
        <v>43310</v>
      </c>
      <c r="AZ690" s="49">
        <v>43310</v>
      </c>
      <c r="BA690" s="49">
        <v>43310</v>
      </c>
    </row>
    <row r="691" spans="23:53" ht="16.2" customHeight="1" x14ac:dyDescent="0.4">
      <c r="W691" s="49">
        <v>43316</v>
      </c>
      <c r="X691" s="49">
        <v>43316</v>
      </c>
      <c r="Y691" s="49">
        <v>43316</v>
      </c>
      <c r="AY691" s="49">
        <v>43316</v>
      </c>
      <c r="AZ691" s="49">
        <v>43316</v>
      </c>
      <c r="BA691" s="49">
        <v>43316</v>
      </c>
    </row>
    <row r="692" spans="23:53" ht="16.2" customHeight="1" x14ac:dyDescent="0.4">
      <c r="W692" s="49">
        <v>43317</v>
      </c>
      <c r="X692" s="49">
        <v>43317</v>
      </c>
      <c r="Y692" s="49">
        <v>43317</v>
      </c>
      <c r="AY692" s="49">
        <v>43317</v>
      </c>
      <c r="AZ692" s="49">
        <v>43317</v>
      </c>
      <c r="BA692" s="49">
        <v>43317</v>
      </c>
    </row>
    <row r="693" spans="23:53" ht="16.2" customHeight="1" x14ac:dyDescent="0.4">
      <c r="W693" s="49">
        <v>43323</v>
      </c>
      <c r="X693" s="49">
        <v>43323</v>
      </c>
      <c r="Y693" s="49">
        <v>43323</v>
      </c>
      <c r="AY693" s="49">
        <v>43323</v>
      </c>
      <c r="AZ693" s="49">
        <v>43323</v>
      </c>
      <c r="BA693" s="49">
        <v>43323</v>
      </c>
    </row>
    <row r="694" spans="23:53" ht="16.2" customHeight="1" x14ac:dyDescent="0.4">
      <c r="W694" s="49">
        <v>43324</v>
      </c>
      <c r="X694" s="49">
        <v>43324</v>
      </c>
      <c r="Y694" s="49">
        <v>43324</v>
      </c>
      <c r="AY694" s="49">
        <v>43324</v>
      </c>
      <c r="AZ694" s="49">
        <v>43324</v>
      </c>
      <c r="BA694" s="49">
        <v>43324</v>
      </c>
    </row>
    <row r="695" spans="23:53" ht="16.2" customHeight="1" x14ac:dyDescent="0.4">
      <c r="W695" s="49">
        <v>43327</v>
      </c>
      <c r="X695" s="49">
        <v>43327</v>
      </c>
      <c r="Y695" s="49">
        <v>43327</v>
      </c>
      <c r="AY695" s="49">
        <v>43327</v>
      </c>
      <c r="AZ695" s="49">
        <v>43327</v>
      </c>
      <c r="BA695" s="49">
        <v>43327</v>
      </c>
    </row>
    <row r="696" spans="23:53" ht="16.2" customHeight="1" x14ac:dyDescent="0.4">
      <c r="W696" s="49">
        <v>43330</v>
      </c>
      <c r="X696" s="49">
        <v>43330</v>
      </c>
      <c r="Y696" s="49">
        <v>43330</v>
      </c>
      <c r="AY696" s="49">
        <v>43330</v>
      </c>
      <c r="AZ696" s="49">
        <v>43330</v>
      </c>
      <c r="BA696" s="49">
        <v>43330</v>
      </c>
    </row>
    <row r="697" spans="23:53" ht="16.2" customHeight="1" x14ac:dyDescent="0.4">
      <c r="W697" s="49">
        <v>43331</v>
      </c>
      <c r="X697" s="49">
        <v>43331</v>
      </c>
      <c r="Y697" s="49">
        <v>43331</v>
      </c>
      <c r="AY697" s="49">
        <v>43331</v>
      </c>
      <c r="AZ697" s="49">
        <v>43331</v>
      </c>
      <c r="BA697" s="49">
        <v>43331</v>
      </c>
    </row>
    <row r="698" spans="23:53" ht="16.2" customHeight="1" x14ac:dyDescent="0.4">
      <c r="W698" s="49">
        <v>43337</v>
      </c>
      <c r="X698" s="49">
        <v>43337</v>
      </c>
      <c r="Y698" s="49">
        <v>43337</v>
      </c>
      <c r="AY698" s="49">
        <v>43337</v>
      </c>
      <c r="AZ698" s="49">
        <v>43337</v>
      </c>
      <c r="BA698" s="49">
        <v>43337</v>
      </c>
    </row>
    <row r="699" spans="23:53" ht="16.2" customHeight="1" x14ac:dyDescent="0.4">
      <c r="W699" s="49">
        <v>43338</v>
      </c>
      <c r="X699" s="49">
        <v>43338</v>
      </c>
      <c r="Y699" s="49">
        <v>43338</v>
      </c>
      <c r="AY699" s="49">
        <v>43338</v>
      </c>
      <c r="AZ699" s="49">
        <v>43338</v>
      </c>
      <c r="BA699" s="49">
        <v>43338</v>
      </c>
    </row>
    <row r="700" spans="23:53" ht="16.2" customHeight="1" x14ac:dyDescent="0.4">
      <c r="W700" s="49">
        <v>43344</v>
      </c>
      <c r="X700" s="49">
        <v>43344</v>
      </c>
      <c r="Y700" s="49">
        <v>43344</v>
      </c>
      <c r="AY700" s="49">
        <v>43344</v>
      </c>
      <c r="AZ700" s="49">
        <v>43344</v>
      </c>
      <c r="BA700" s="49">
        <v>43344</v>
      </c>
    </row>
    <row r="701" spans="23:53" ht="16.2" customHeight="1" x14ac:dyDescent="0.4">
      <c r="W701" s="49">
        <v>43345</v>
      </c>
      <c r="X701" s="49">
        <v>43345</v>
      </c>
      <c r="Y701" s="49">
        <v>43345</v>
      </c>
      <c r="AY701" s="49">
        <v>43345</v>
      </c>
      <c r="AZ701" s="49">
        <v>43345</v>
      </c>
      <c r="BA701" s="49">
        <v>43345</v>
      </c>
    </row>
    <row r="702" spans="23:53" ht="16.2" customHeight="1" x14ac:dyDescent="0.4">
      <c r="W702" s="49">
        <v>43351</v>
      </c>
      <c r="X702" s="49">
        <v>43351</v>
      </c>
      <c r="Y702" s="49">
        <v>43351</v>
      </c>
      <c r="AY702" s="49">
        <v>43351</v>
      </c>
      <c r="AZ702" s="49">
        <v>43351</v>
      </c>
      <c r="BA702" s="49">
        <v>43351</v>
      </c>
    </row>
    <row r="703" spans="23:53" ht="16.2" customHeight="1" x14ac:dyDescent="0.4">
      <c r="W703" s="49">
        <v>43352</v>
      </c>
      <c r="X703" s="49">
        <v>43352</v>
      </c>
      <c r="Y703" s="49">
        <v>43352</v>
      </c>
      <c r="AY703" s="49">
        <v>43352</v>
      </c>
      <c r="AZ703" s="49">
        <v>43352</v>
      </c>
      <c r="BA703" s="49">
        <v>43352</v>
      </c>
    </row>
    <row r="704" spans="23:53" ht="16.2" customHeight="1" x14ac:dyDescent="0.4">
      <c r="W704" s="49">
        <v>43358</v>
      </c>
      <c r="X704" s="49">
        <v>43358</v>
      </c>
      <c r="Y704" s="49">
        <v>43358</v>
      </c>
      <c r="AY704" s="49">
        <v>43358</v>
      </c>
      <c r="AZ704" s="49">
        <v>43358</v>
      </c>
      <c r="BA704" s="49">
        <v>43358</v>
      </c>
    </row>
    <row r="705" spans="23:53" ht="16.2" customHeight="1" x14ac:dyDescent="0.4">
      <c r="W705" s="49">
        <v>43359</v>
      </c>
      <c r="X705" s="49">
        <v>43359</v>
      </c>
      <c r="Y705" s="49">
        <v>43359</v>
      </c>
      <c r="AY705" s="49">
        <v>43359</v>
      </c>
      <c r="AZ705" s="49">
        <v>43359</v>
      </c>
      <c r="BA705" s="49">
        <v>43359</v>
      </c>
    </row>
    <row r="706" spans="23:53" ht="16.2" customHeight="1" x14ac:dyDescent="0.4">
      <c r="W706" s="49">
        <v>43365</v>
      </c>
      <c r="X706" s="49">
        <v>43365</v>
      </c>
      <c r="Y706" s="49">
        <v>43365</v>
      </c>
      <c r="AY706" s="49">
        <v>43365</v>
      </c>
      <c r="AZ706" s="49">
        <v>43365</v>
      </c>
      <c r="BA706" s="49">
        <v>43365</v>
      </c>
    </row>
    <row r="707" spans="23:53" ht="16.2" customHeight="1" x14ac:dyDescent="0.4">
      <c r="W707" s="49">
        <v>43366</v>
      </c>
      <c r="X707" s="49">
        <v>43366</v>
      </c>
      <c r="Y707" s="49">
        <v>43366</v>
      </c>
      <c r="AY707" s="49">
        <v>43366</v>
      </c>
      <c r="AZ707" s="49">
        <v>43366</v>
      </c>
      <c r="BA707" s="49">
        <v>43366</v>
      </c>
    </row>
    <row r="708" spans="23:53" ht="16.2" customHeight="1" x14ac:dyDescent="0.4">
      <c r="W708" s="49">
        <v>43367</v>
      </c>
      <c r="X708" s="49">
        <v>43367</v>
      </c>
      <c r="Y708" s="49">
        <v>43367</v>
      </c>
      <c r="AY708" s="49">
        <v>43367</v>
      </c>
      <c r="AZ708" s="49">
        <v>43367</v>
      </c>
      <c r="BA708" s="49">
        <v>43367</v>
      </c>
    </row>
    <row r="709" spans="23:53" ht="16.2" customHeight="1" x14ac:dyDescent="0.4">
      <c r="W709" s="49">
        <v>43368</v>
      </c>
      <c r="X709" s="49">
        <v>43368</v>
      </c>
      <c r="Y709" s="49">
        <v>43368</v>
      </c>
      <c r="AY709" s="49">
        <v>43368</v>
      </c>
      <c r="AZ709" s="49">
        <v>43368</v>
      </c>
      <c r="BA709" s="49">
        <v>43368</v>
      </c>
    </row>
    <row r="710" spans="23:53" ht="16.2" customHeight="1" x14ac:dyDescent="0.4">
      <c r="W710" s="49">
        <v>43369</v>
      </c>
      <c r="X710" s="49">
        <v>43369</v>
      </c>
      <c r="Y710" s="49">
        <v>43369</v>
      </c>
      <c r="AY710" s="49">
        <v>43369</v>
      </c>
      <c r="AZ710" s="49">
        <v>43369</v>
      </c>
      <c r="BA710" s="49">
        <v>43369</v>
      </c>
    </row>
    <row r="711" spans="23:53" ht="16.2" customHeight="1" x14ac:dyDescent="0.4">
      <c r="W711" s="49">
        <v>43372</v>
      </c>
      <c r="X711" s="49">
        <v>43372</v>
      </c>
      <c r="Y711" s="49">
        <v>43372</v>
      </c>
      <c r="AY711" s="49">
        <v>43372</v>
      </c>
      <c r="AZ711" s="49">
        <v>43372</v>
      </c>
      <c r="BA711" s="49">
        <v>43372</v>
      </c>
    </row>
    <row r="712" spans="23:53" ht="16.2" customHeight="1" x14ac:dyDescent="0.4">
      <c r="W712" s="49">
        <v>43373</v>
      </c>
      <c r="X712" s="49">
        <v>43373</v>
      </c>
      <c r="Y712" s="49">
        <v>43373</v>
      </c>
      <c r="AY712" s="49">
        <v>43373</v>
      </c>
      <c r="AZ712" s="49">
        <v>43373</v>
      </c>
      <c r="BA712" s="49">
        <v>43373</v>
      </c>
    </row>
    <row r="713" spans="23:53" ht="16.2" customHeight="1" x14ac:dyDescent="0.4">
      <c r="W713" s="49">
        <v>43376</v>
      </c>
      <c r="X713" s="49">
        <v>43376</v>
      </c>
      <c r="Y713" s="49">
        <v>43376</v>
      </c>
      <c r="AY713" s="49">
        <v>43376</v>
      </c>
      <c r="AZ713" s="49">
        <v>43376</v>
      </c>
      <c r="BA713" s="49">
        <v>43376</v>
      </c>
    </row>
    <row r="714" spans="23:53" ht="16.2" customHeight="1" x14ac:dyDescent="0.4">
      <c r="W714" s="49">
        <v>43379</v>
      </c>
      <c r="X714" s="49">
        <v>43379</v>
      </c>
      <c r="Y714" s="49">
        <v>43379</v>
      </c>
      <c r="AY714" s="49">
        <v>43379</v>
      </c>
      <c r="AZ714" s="49">
        <v>43379</v>
      </c>
      <c r="BA714" s="49">
        <v>43379</v>
      </c>
    </row>
    <row r="715" spans="23:53" ht="16.2" customHeight="1" x14ac:dyDescent="0.4">
      <c r="W715" s="49">
        <v>43380</v>
      </c>
      <c r="X715" s="49">
        <v>43380</v>
      </c>
      <c r="Y715" s="49">
        <v>43380</v>
      </c>
      <c r="AY715" s="49">
        <v>43380</v>
      </c>
      <c r="AZ715" s="49">
        <v>43380</v>
      </c>
      <c r="BA715" s="49">
        <v>43380</v>
      </c>
    </row>
    <row r="716" spans="23:53" ht="16.2" customHeight="1" x14ac:dyDescent="0.4">
      <c r="W716" s="49">
        <v>43382</v>
      </c>
      <c r="X716" s="49">
        <v>43382</v>
      </c>
      <c r="Y716" s="49">
        <v>43382</v>
      </c>
      <c r="AY716" s="49">
        <v>43382</v>
      </c>
      <c r="AZ716" s="49">
        <v>43382</v>
      </c>
      <c r="BA716" s="49">
        <v>43382</v>
      </c>
    </row>
    <row r="717" spans="23:53" ht="16.2" customHeight="1" x14ac:dyDescent="0.4">
      <c r="W717" s="49">
        <v>43386</v>
      </c>
      <c r="X717" s="49">
        <v>43386</v>
      </c>
      <c r="Y717" s="49">
        <v>43386</v>
      </c>
      <c r="AY717" s="49">
        <v>43386</v>
      </c>
      <c r="AZ717" s="49">
        <v>43386</v>
      </c>
      <c r="BA717" s="49">
        <v>43386</v>
      </c>
    </row>
    <row r="718" spans="23:53" ht="16.2" customHeight="1" x14ac:dyDescent="0.4">
      <c r="W718" s="49">
        <v>43387</v>
      </c>
      <c r="X718" s="49">
        <v>43387</v>
      </c>
      <c r="Y718" s="49">
        <v>43387</v>
      </c>
      <c r="AY718" s="49">
        <v>43387</v>
      </c>
      <c r="AZ718" s="49">
        <v>43387</v>
      </c>
      <c r="BA718" s="49">
        <v>43387</v>
      </c>
    </row>
    <row r="719" spans="23:53" ht="16.2" customHeight="1" x14ac:dyDescent="0.4">
      <c r="W719" s="49">
        <v>43393</v>
      </c>
      <c r="X719" s="49">
        <v>43393</v>
      </c>
      <c r="Y719" s="49">
        <v>43393</v>
      </c>
      <c r="AY719" s="49">
        <v>43393</v>
      </c>
      <c r="AZ719" s="49">
        <v>43393</v>
      </c>
      <c r="BA719" s="49">
        <v>43393</v>
      </c>
    </row>
    <row r="720" spans="23:53" ht="16.2" customHeight="1" x14ac:dyDescent="0.4">
      <c r="W720" s="49">
        <v>43394</v>
      </c>
      <c r="X720" s="49">
        <v>43394</v>
      </c>
      <c r="Y720" s="49">
        <v>43394</v>
      </c>
      <c r="AY720" s="49">
        <v>43394</v>
      </c>
      <c r="AZ720" s="49">
        <v>43394</v>
      </c>
      <c r="BA720" s="49">
        <v>43394</v>
      </c>
    </row>
    <row r="721" spans="23:53" ht="16.2" customHeight="1" x14ac:dyDescent="0.4">
      <c r="W721" s="49">
        <v>43400</v>
      </c>
      <c r="X721" s="49">
        <v>43400</v>
      </c>
      <c r="Y721" s="49">
        <v>43400</v>
      </c>
      <c r="AY721" s="49">
        <v>43400</v>
      </c>
      <c r="AZ721" s="49">
        <v>43400</v>
      </c>
      <c r="BA721" s="49">
        <v>43400</v>
      </c>
    </row>
    <row r="722" spans="23:53" ht="16.2" customHeight="1" x14ac:dyDescent="0.4">
      <c r="W722" s="49">
        <v>43401</v>
      </c>
      <c r="X722" s="49">
        <v>43401</v>
      </c>
      <c r="Y722" s="49">
        <v>43401</v>
      </c>
      <c r="AY722" s="49">
        <v>43401</v>
      </c>
      <c r="AZ722" s="49">
        <v>43401</v>
      </c>
      <c r="BA722" s="49">
        <v>43401</v>
      </c>
    </row>
    <row r="723" spans="23:53" ht="16.2" customHeight="1" x14ac:dyDescent="0.4">
      <c r="W723" s="49">
        <v>43407</v>
      </c>
      <c r="X723" s="49">
        <v>43407</v>
      </c>
      <c r="Y723" s="49">
        <v>43407</v>
      </c>
      <c r="AY723" s="49">
        <v>43407</v>
      </c>
      <c r="AZ723" s="49">
        <v>43407</v>
      </c>
      <c r="BA723" s="49">
        <v>43407</v>
      </c>
    </row>
    <row r="724" spans="23:53" ht="16.2" customHeight="1" x14ac:dyDescent="0.4">
      <c r="W724" s="49">
        <v>43408</v>
      </c>
      <c r="X724" s="49">
        <v>43408</v>
      </c>
      <c r="Y724" s="49">
        <v>43408</v>
      </c>
      <c r="AY724" s="49">
        <v>43408</v>
      </c>
      <c r="AZ724" s="49">
        <v>43408</v>
      </c>
      <c r="BA724" s="49">
        <v>43408</v>
      </c>
    </row>
    <row r="725" spans="23:53" ht="16.2" customHeight="1" x14ac:dyDescent="0.4">
      <c r="W725" s="49">
        <v>43414</v>
      </c>
      <c r="X725" s="49">
        <v>43414</v>
      </c>
      <c r="Y725" s="49">
        <v>43414</v>
      </c>
      <c r="AY725" s="49">
        <v>43414</v>
      </c>
      <c r="AZ725" s="49">
        <v>43414</v>
      </c>
      <c r="BA725" s="49">
        <v>43414</v>
      </c>
    </row>
    <row r="726" spans="23:53" ht="16.2" customHeight="1" x14ac:dyDescent="0.4">
      <c r="W726" s="49">
        <v>43415</v>
      </c>
      <c r="X726" s="49">
        <v>43415</v>
      </c>
      <c r="Y726" s="49">
        <v>43415</v>
      </c>
      <c r="AY726" s="49">
        <v>43415</v>
      </c>
      <c r="AZ726" s="49">
        <v>43415</v>
      </c>
      <c r="BA726" s="49">
        <v>43415</v>
      </c>
    </row>
    <row r="727" spans="23:53" ht="16.2" customHeight="1" x14ac:dyDescent="0.4">
      <c r="W727" s="49">
        <v>43421</v>
      </c>
      <c r="X727" s="49">
        <v>43421</v>
      </c>
      <c r="Y727" s="49">
        <v>43421</v>
      </c>
      <c r="AY727" s="49">
        <v>43421</v>
      </c>
      <c r="AZ727" s="49">
        <v>43421</v>
      </c>
      <c r="BA727" s="49">
        <v>43421</v>
      </c>
    </row>
    <row r="728" spans="23:53" ht="16.2" customHeight="1" x14ac:dyDescent="0.4">
      <c r="W728" s="49">
        <v>43422</v>
      </c>
      <c r="X728" s="49">
        <v>43422</v>
      </c>
      <c r="Y728" s="49">
        <v>43422</v>
      </c>
      <c r="AY728" s="49">
        <v>43422</v>
      </c>
      <c r="AZ728" s="49">
        <v>43422</v>
      </c>
      <c r="BA728" s="49">
        <v>43422</v>
      </c>
    </row>
    <row r="729" spans="23:53" ht="16.2" customHeight="1" x14ac:dyDescent="0.4">
      <c r="W729" s="49">
        <v>43428</v>
      </c>
      <c r="X729" s="49">
        <v>43428</v>
      </c>
      <c r="Y729" s="49">
        <v>43428</v>
      </c>
      <c r="AY729" s="49">
        <v>43428</v>
      </c>
      <c r="AZ729" s="49">
        <v>43428</v>
      </c>
      <c r="BA729" s="49">
        <v>43428</v>
      </c>
    </row>
    <row r="730" spans="23:53" ht="16.2" customHeight="1" x14ac:dyDescent="0.4">
      <c r="W730" s="49">
        <v>43429</v>
      </c>
      <c r="X730" s="49">
        <v>43429</v>
      </c>
      <c r="Y730" s="49">
        <v>43429</v>
      </c>
      <c r="AY730" s="49">
        <v>43429</v>
      </c>
      <c r="AZ730" s="49">
        <v>43429</v>
      </c>
      <c r="BA730" s="49">
        <v>43429</v>
      </c>
    </row>
    <row r="731" spans="23:53" ht="16.2" customHeight="1" x14ac:dyDescent="0.4">
      <c r="W731" s="49">
        <v>43435</v>
      </c>
      <c r="X731" s="49">
        <v>43435</v>
      </c>
      <c r="Y731" s="49">
        <v>43435</v>
      </c>
      <c r="AY731" s="49">
        <v>43435</v>
      </c>
      <c r="AZ731" s="49">
        <v>43435</v>
      </c>
      <c r="BA731" s="49">
        <v>43435</v>
      </c>
    </row>
    <row r="732" spans="23:53" ht="16.2" customHeight="1" x14ac:dyDescent="0.4">
      <c r="W732" s="49">
        <v>43436</v>
      </c>
      <c r="X732" s="49">
        <v>43436</v>
      </c>
      <c r="Y732" s="49">
        <v>43436</v>
      </c>
      <c r="AY732" s="49">
        <v>43436</v>
      </c>
      <c r="AZ732" s="49">
        <v>43436</v>
      </c>
      <c r="BA732" s="49">
        <v>43436</v>
      </c>
    </row>
    <row r="733" spans="23:53" ht="16.2" customHeight="1" x14ac:dyDescent="0.4">
      <c r="W733" s="49">
        <v>43442</v>
      </c>
      <c r="X733" s="49">
        <v>43442</v>
      </c>
      <c r="Y733" s="49">
        <v>43442</v>
      </c>
      <c r="AY733" s="49">
        <v>43442</v>
      </c>
      <c r="AZ733" s="49">
        <v>43442</v>
      </c>
      <c r="BA733" s="49">
        <v>43442</v>
      </c>
    </row>
    <row r="734" spans="23:53" ht="16.2" customHeight="1" x14ac:dyDescent="0.4">
      <c r="W734" s="49">
        <v>43443</v>
      </c>
      <c r="X734" s="49">
        <v>43443</v>
      </c>
      <c r="Y734" s="49">
        <v>43443</v>
      </c>
      <c r="AY734" s="49">
        <v>43443</v>
      </c>
      <c r="AZ734" s="49">
        <v>43443</v>
      </c>
      <c r="BA734" s="49">
        <v>43443</v>
      </c>
    </row>
    <row r="735" spans="23:53" ht="16.2" customHeight="1" x14ac:dyDescent="0.4">
      <c r="W735" s="49">
        <v>43449</v>
      </c>
      <c r="X735" s="49">
        <v>43449</v>
      </c>
      <c r="Y735" s="49">
        <v>43449</v>
      </c>
      <c r="AY735" s="49">
        <v>43449</v>
      </c>
      <c r="AZ735" s="49">
        <v>43449</v>
      </c>
      <c r="BA735" s="49">
        <v>43449</v>
      </c>
    </row>
    <row r="736" spans="23:53" ht="16.2" customHeight="1" x14ac:dyDescent="0.4">
      <c r="W736" s="49">
        <v>43450</v>
      </c>
      <c r="X736" s="49">
        <v>43450</v>
      </c>
      <c r="Y736" s="49">
        <v>43450</v>
      </c>
      <c r="AY736" s="49">
        <v>43450</v>
      </c>
      <c r="AZ736" s="49">
        <v>43450</v>
      </c>
      <c r="BA736" s="49">
        <v>43450</v>
      </c>
    </row>
    <row r="737" spans="23:53" ht="16.2" customHeight="1" x14ac:dyDescent="0.4">
      <c r="W737" s="49">
        <v>43456</v>
      </c>
      <c r="X737" s="49">
        <v>43456</v>
      </c>
      <c r="Y737" s="49">
        <v>43456</v>
      </c>
      <c r="AY737" s="49">
        <v>43456</v>
      </c>
      <c r="AZ737" s="49">
        <v>43456</v>
      </c>
      <c r="BA737" s="49">
        <v>43456</v>
      </c>
    </row>
    <row r="738" spans="23:53" ht="16.2" customHeight="1" x14ac:dyDescent="0.4">
      <c r="W738" s="49">
        <v>43457</v>
      </c>
      <c r="X738" s="49">
        <v>43457</v>
      </c>
      <c r="Y738" s="49">
        <v>43457</v>
      </c>
      <c r="AY738" s="49">
        <v>43457</v>
      </c>
      <c r="AZ738" s="49">
        <v>43457</v>
      </c>
      <c r="BA738" s="49">
        <v>43457</v>
      </c>
    </row>
    <row r="739" spans="23:53" ht="16.2" customHeight="1" x14ac:dyDescent="0.4">
      <c r="W739" s="49">
        <v>43459</v>
      </c>
      <c r="X739" s="49">
        <v>43459</v>
      </c>
      <c r="Y739" s="49">
        <v>43459</v>
      </c>
      <c r="AY739" s="49">
        <v>43459</v>
      </c>
      <c r="AZ739" s="49">
        <v>43459</v>
      </c>
      <c r="BA739" s="49">
        <v>43459</v>
      </c>
    </row>
    <row r="740" spans="23:53" ht="16.2" customHeight="1" x14ac:dyDescent="0.4">
      <c r="W740" s="49">
        <v>43463</v>
      </c>
      <c r="X740" s="49">
        <v>43463</v>
      </c>
      <c r="Y740" s="49">
        <v>43463</v>
      </c>
      <c r="AY740" s="49">
        <v>43463</v>
      </c>
      <c r="AZ740" s="49">
        <v>43463</v>
      </c>
      <c r="BA740" s="49">
        <v>43463</v>
      </c>
    </row>
    <row r="741" spans="23:53" ht="16.2" customHeight="1" x14ac:dyDescent="0.4">
      <c r="W741" s="49">
        <v>43464</v>
      </c>
      <c r="X741" s="49">
        <v>43464</v>
      </c>
      <c r="Y741" s="49">
        <v>43464</v>
      </c>
      <c r="AY741" s="49">
        <v>43464</v>
      </c>
      <c r="AZ741" s="49">
        <v>43464</v>
      </c>
      <c r="BA741" s="49">
        <v>43464</v>
      </c>
    </row>
    <row r="742" spans="23:53" ht="16.2" customHeight="1" x14ac:dyDescent="0.4">
      <c r="W742" s="49">
        <v>43466</v>
      </c>
      <c r="X742" s="49">
        <v>43466</v>
      </c>
      <c r="Y742" s="49">
        <v>43466</v>
      </c>
      <c r="AY742" s="49">
        <v>43466</v>
      </c>
      <c r="AZ742" s="49">
        <v>43466</v>
      </c>
      <c r="BA742" s="49">
        <v>43466</v>
      </c>
    </row>
    <row r="743" spans="23:53" ht="16.2" customHeight="1" x14ac:dyDescent="0.4">
      <c r="W743" s="49">
        <v>43470</v>
      </c>
      <c r="X743" s="49">
        <v>43470</v>
      </c>
      <c r="Y743" s="49">
        <v>43470</v>
      </c>
      <c r="AY743" s="49">
        <v>43470</v>
      </c>
      <c r="AZ743" s="49">
        <v>43470</v>
      </c>
      <c r="BA743" s="49">
        <v>43470</v>
      </c>
    </row>
    <row r="744" spans="23:53" ht="16.2" customHeight="1" x14ac:dyDescent="0.4">
      <c r="W744" s="49">
        <v>43471</v>
      </c>
      <c r="X744" s="49">
        <v>43471</v>
      </c>
      <c r="Y744" s="49">
        <v>43471</v>
      </c>
      <c r="AY744" s="49">
        <v>43471</v>
      </c>
      <c r="AZ744" s="49">
        <v>43471</v>
      </c>
      <c r="BA744" s="49">
        <v>43471</v>
      </c>
    </row>
    <row r="745" spans="23:53" ht="16.2" customHeight="1" x14ac:dyDescent="0.4">
      <c r="W745" s="49">
        <v>43477</v>
      </c>
      <c r="X745" s="49">
        <v>43477</v>
      </c>
      <c r="Y745" s="49">
        <v>43477</v>
      </c>
      <c r="AY745" s="49">
        <v>43477</v>
      </c>
      <c r="AZ745" s="49">
        <v>43477</v>
      </c>
      <c r="BA745" s="49">
        <v>43477</v>
      </c>
    </row>
    <row r="746" spans="23:53" ht="16.2" customHeight="1" x14ac:dyDescent="0.4">
      <c r="W746" s="49">
        <v>43478</v>
      </c>
      <c r="X746" s="49">
        <v>43478</v>
      </c>
      <c r="Y746" s="49">
        <v>43478</v>
      </c>
      <c r="AY746" s="49">
        <v>43478</v>
      </c>
      <c r="AZ746" s="49">
        <v>43478</v>
      </c>
      <c r="BA746" s="49">
        <v>43478</v>
      </c>
    </row>
    <row r="747" spans="23:53" ht="16.2" customHeight="1" x14ac:dyDescent="0.4">
      <c r="W747" s="49">
        <v>43484</v>
      </c>
      <c r="X747" s="49">
        <v>43484</v>
      </c>
      <c r="Y747" s="49">
        <v>43484</v>
      </c>
      <c r="AY747" s="49">
        <v>43484</v>
      </c>
      <c r="AZ747" s="49">
        <v>43484</v>
      </c>
      <c r="BA747" s="49">
        <v>43484</v>
      </c>
    </row>
    <row r="748" spans="23:53" ht="16.2" customHeight="1" x14ac:dyDescent="0.4">
      <c r="W748" s="49">
        <v>43485</v>
      </c>
      <c r="X748" s="49">
        <v>43485</v>
      </c>
      <c r="Y748" s="49">
        <v>43485</v>
      </c>
      <c r="AY748" s="49">
        <v>43485</v>
      </c>
      <c r="AZ748" s="49">
        <v>43485</v>
      </c>
      <c r="BA748" s="49">
        <v>43485</v>
      </c>
    </row>
    <row r="749" spans="23:53" ht="16.2" customHeight="1" x14ac:dyDescent="0.4">
      <c r="W749" s="49">
        <v>43491</v>
      </c>
      <c r="X749" s="49">
        <v>43491</v>
      </c>
      <c r="Y749" s="49">
        <v>43491</v>
      </c>
      <c r="AY749" s="49">
        <v>43491</v>
      </c>
      <c r="AZ749" s="49">
        <v>43491</v>
      </c>
      <c r="BA749" s="49">
        <v>43491</v>
      </c>
    </row>
    <row r="750" spans="23:53" ht="16.2" customHeight="1" x14ac:dyDescent="0.4">
      <c r="W750" s="49">
        <v>43492</v>
      </c>
      <c r="X750" s="49">
        <v>43492</v>
      </c>
      <c r="Y750" s="49">
        <v>43492</v>
      </c>
      <c r="AY750" s="49">
        <v>43492</v>
      </c>
      <c r="AZ750" s="49">
        <v>43492</v>
      </c>
      <c r="BA750" s="49">
        <v>43492</v>
      </c>
    </row>
    <row r="751" spans="23:53" ht="16.2" customHeight="1" x14ac:dyDescent="0.4">
      <c r="W751" s="49">
        <v>43498</v>
      </c>
      <c r="X751" s="49">
        <v>43498</v>
      </c>
      <c r="Y751" s="49">
        <v>43498</v>
      </c>
      <c r="AY751" s="49">
        <v>43498</v>
      </c>
      <c r="AZ751" s="49">
        <v>43498</v>
      </c>
      <c r="BA751" s="49">
        <v>43498</v>
      </c>
    </row>
    <row r="752" spans="23:53" ht="16.2" customHeight="1" x14ac:dyDescent="0.4">
      <c r="W752" s="49">
        <v>43499</v>
      </c>
      <c r="X752" s="49">
        <v>43499</v>
      </c>
      <c r="Y752" s="49">
        <v>43499</v>
      </c>
      <c r="AY752" s="49">
        <v>43499</v>
      </c>
      <c r="AZ752" s="49">
        <v>43499</v>
      </c>
      <c r="BA752" s="49">
        <v>43499</v>
      </c>
    </row>
    <row r="753" spans="23:53" ht="16.2" customHeight="1" x14ac:dyDescent="0.4">
      <c r="W753" s="49">
        <v>43500</v>
      </c>
      <c r="X753" s="49">
        <v>43500</v>
      </c>
      <c r="Y753" s="49">
        <v>43500</v>
      </c>
      <c r="AY753" s="49">
        <v>43500</v>
      </c>
      <c r="AZ753" s="49">
        <v>43500</v>
      </c>
      <c r="BA753" s="49">
        <v>43500</v>
      </c>
    </row>
    <row r="754" spans="23:53" ht="16.2" customHeight="1" x14ac:dyDescent="0.4">
      <c r="W754" s="49">
        <v>43501</v>
      </c>
      <c r="X754" s="49">
        <v>43501</v>
      </c>
      <c r="Y754" s="49">
        <v>43501</v>
      </c>
      <c r="AY754" s="49">
        <v>43501</v>
      </c>
      <c r="AZ754" s="49">
        <v>43501</v>
      </c>
      <c r="BA754" s="49">
        <v>43501</v>
      </c>
    </row>
    <row r="755" spans="23:53" ht="16.2" customHeight="1" x14ac:dyDescent="0.4">
      <c r="W755" s="49">
        <v>43502</v>
      </c>
      <c r="X755" s="49">
        <v>43502</v>
      </c>
      <c r="Y755" s="49">
        <v>43502</v>
      </c>
      <c r="AY755" s="49">
        <v>43502</v>
      </c>
      <c r="AZ755" s="49">
        <v>43502</v>
      </c>
      <c r="BA755" s="49">
        <v>43502</v>
      </c>
    </row>
    <row r="756" spans="23:53" ht="16.2" customHeight="1" x14ac:dyDescent="0.4">
      <c r="W756" s="49">
        <v>43505</v>
      </c>
      <c r="X756" s="49">
        <v>43505</v>
      </c>
      <c r="Y756" s="49">
        <v>43505</v>
      </c>
      <c r="AY756" s="49">
        <v>43505</v>
      </c>
      <c r="AZ756" s="49">
        <v>43505</v>
      </c>
      <c r="BA756" s="49">
        <v>43505</v>
      </c>
    </row>
    <row r="757" spans="23:53" ht="16.2" customHeight="1" x14ac:dyDescent="0.4">
      <c r="W757" s="49">
        <v>43506</v>
      </c>
      <c r="X757" s="49">
        <v>43506</v>
      </c>
      <c r="Y757" s="49">
        <v>43506</v>
      </c>
      <c r="AY757" s="49">
        <v>43506</v>
      </c>
      <c r="AZ757" s="49">
        <v>43506</v>
      </c>
      <c r="BA757" s="49">
        <v>43506</v>
      </c>
    </row>
    <row r="758" spans="23:53" ht="16.2" customHeight="1" x14ac:dyDescent="0.4">
      <c r="W758" s="49">
        <v>43512</v>
      </c>
      <c r="X758" s="49">
        <v>43512</v>
      </c>
      <c r="Y758" s="49">
        <v>43512</v>
      </c>
      <c r="AY758" s="49">
        <v>43512</v>
      </c>
      <c r="AZ758" s="49">
        <v>43512</v>
      </c>
      <c r="BA758" s="49">
        <v>43512</v>
      </c>
    </row>
    <row r="759" spans="23:53" ht="16.2" customHeight="1" x14ac:dyDescent="0.4">
      <c r="W759" s="49">
        <v>43513</v>
      </c>
      <c r="X759" s="49">
        <v>43513</v>
      </c>
      <c r="Y759" s="49">
        <v>43513</v>
      </c>
      <c r="AY759" s="49">
        <v>43513</v>
      </c>
      <c r="AZ759" s="49">
        <v>43513</v>
      </c>
      <c r="BA759" s="49">
        <v>43513</v>
      </c>
    </row>
    <row r="760" spans="23:53" ht="16.2" customHeight="1" x14ac:dyDescent="0.4">
      <c r="W760" s="49">
        <v>43519</v>
      </c>
      <c r="X760" s="49">
        <v>43519</v>
      </c>
      <c r="Y760" s="49">
        <v>43519</v>
      </c>
      <c r="AY760" s="49">
        <v>43519</v>
      </c>
      <c r="AZ760" s="49">
        <v>43519</v>
      </c>
      <c r="BA760" s="49">
        <v>43519</v>
      </c>
    </row>
    <row r="761" spans="23:53" ht="16.2" customHeight="1" x14ac:dyDescent="0.4">
      <c r="W761" s="49">
        <v>43520</v>
      </c>
      <c r="X761" s="49">
        <v>43520</v>
      </c>
      <c r="Y761" s="49">
        <v>43520</v>
      </c>
      <c r="AY761" s="49">
        <v>43520</v>
      </c>
      <c r="AZ761" s="49">
        <v>43520</v>
      </c>
      <c r="BA761" s="49">
        <v>43520</v>
      </c>
    </row>
    <row r="762" spans="23:53" ht="16.2" customHeight="1" x14ac:dyDescent="0.4">
      <c r="W762" s="49">
        <v>43525</v>
      </c>
      <c r="X762" s="49">
        <v>43525</v>
      </c>
      <c r="Y762" s="49">
        <v>43525</v>
      </c>
      <c r="AY762" s="49">
        <v>43525</v>
      </c>
      <c r="AZ762" s="49">
        <v>43525</v>
      </c>
      <c r="BA762" s="49">
        <v>43525</v>
      </c>
    </row>
    <row r="763" spans="23:53" ht="16.2" customHeight="1" x14ac:dyDescent="0.4">
      <c r="W763" s="49">
        <v>43526</v>
      </c>
      <c r="X763" s="49">
        <v>43526</v>
      </c>
      <c r="Y763" s="49">
        <v>43526</v>
      </c>
      <c r="AY763" s="49">
        <v>43526</v>
      </c>
      <c r="AZ763" s="49">
        <v>43526</v>
      </c>
      <c r="BA763" s="49">
        <v>43526</v>
      </c>
    </row>
    <row r="764" spans="23:53" ht="16.2" customHeight="1" x14ac:dyDescent="0.4">
      <c r="W764" s="49">
        <v>43527</v>
      </c>
      <c r="X764" s="49">
        <v>43527</v>
      </c>
      <c r="Y764" s="49">
        <v>43527</v>
      </c>
      <c r="AY764" s="49">
        <v>43527</v>
      </c>
      <c r="AZ764" s="49">
        <v>43527</v>
      </c>
      <c r="BA764" s="49">
        <v>43527</v>
      </c>
    </row>
    <row r="765" spans="23:53" ht="16.2" customHeight="1" x14ac:dyDescent="0.4">
      <c r="W765" s="49">
        <v>43533</v>
      </c>
      <c r="X765" s="49">
        <v>43533</v>
      </c>
      <c r="Y765" s="49">
        <v>43533</v>
      </c>
      <c r="AY765" s="49">
        <v>43533</v>
      </c>
      <c r="AZ765" s="49">
        <v>43533</v>
      </c>
      <c r="BA765" s="49">
        <v>43533</v>
      </c>
    </row>
    <row r="766" spans="23:53" ht="16.2" customHeight="1" x14ac:dyDescent="0.4">
      <c r="W766" s="49">
        <v>43534</v>
      </c>
      <c r="X766" s="49">
        <v>43534</v>
      </c>
      <c r="Y766" s="49">
        <v>43534</v>
      </c>
      <c r="AY766" s="49">
        <v>43534</v>
      </c>
      <c r="AZ766" s="49">
        <v>43534</v>
      </c>
      <c r="BA766" s="49">
        <v>43534</v>
      </c>
    </row>
    <row r="767" spans="23:53" ht="16.2" customHeight="1" x14ac:dyDescent="0.4">
      <c r="W767" s="49">
        <v>43540</v>
      </c>
      <c r="X767" s="49">
        <v>43540</v>
      </c>
      <c r="Y767" s="49">
        <v>43540</v>
      </c>
      <c r="AY767" s="49">
        <v>43540</v>
      </c>
      <c r="AZ767" s="49">
        <v>43540</v>
      </c>
      <c r="BA767" s="49">
        <v>43540</v>
      </c>
    </row>
    <row r="768" spans="23:53" ht="16.2" customHeight="1" x14ac:dyDescent="0.4">
      <c r="W768" s="49">
        <v>43541</v>
      </c>
      <c r="X768" s="49">
        <v>43541</v>
      </c>
      <c r="Y768" s="49">
        <v>43541</v>
      </c>
      <c r="AY768" s="49">
        <v>43541</v>
      </c>
      <c r="AZ768" s="49">
        <v>43541</v>
      </c>
      <c r="BA768" s="49">
        <v>43541</v>
      </c>
    </row>
    <row r="769" spans="23:53" ht="16.2" customHeight="1" x14ac:dyDescent="0.4">
      <c r="W769" s="49">
        <v>43547</v>
      </c>
      <c r="X769" s="49">
        <v>43547</v>
      </c>
      <c r="Y769" s="49">
        <v>43547</v>
      </c>
      <c r="AY769" s="49">
        <v>43547</v>
      </c>
      <c r="AZ769" s="49">
        <v>43547</v>
      </c>
      <c r="BA769" s="49">
        <v>43547</v>
      </c>
    </row>
    <row r="770" spans="23:53" ht="16.2" customHeight="1" x14ac:dyDescent="0.4">
      <c r="W770" s="49">
        <v>43548</v>
      </c>
      <c r="X770" s="49">
        <v>43548</v>
      </c>
      <c r="Y770" s="49">
        <v>43548</v>
      </c>
      <c r="AY770" s="49">
        <v>43548</v>
      </c>
      <c r="AZ770" s="49">
        <v>43548</v>
      </c>
      <c r="BA770" s="49">
        <v>43548</v>
      </c>
    </row>
    <row r="771" spans="23:53" ht="16.2" customHeight="1" x14ac:dyDescent="0.4">
      <c r="W771" s="49">
        <v>43554</v>
      </c>
      <c r="X771" s="49">
        <v>43554</v>
      </c>
      <c r="Y771" s="49">
        <v>43554</v>
      </c>
      <c r="AY771" s="49">
        <v>43554</v>
      </c>
      <c r="AZ771" s="49">
        <v>43554</v>
      </c>
      <c r="BA771" s="49">
        <v>43554</v>
      </c>
    </row>
    <row r="772" spans="23:53" ht="16.2" customHeight="1" x14ac:dyDescent="0.4">
      <c r="W772" s="49">
        <v>43555</v>
      </c>
      <c r="X772" s="49">
        <v>43555</v>
      </c>
      <c r="Y772" s="49">
        <v>43555</v>
      </c>
      <c r="AY772" s="49">
        <v>43555</v>
      </c>
      <c r="AZ772" s="49">
        <v>43555</v>
      </c>
      <c r="BA772" s="49">
        <v>43555</v>
      </c>
    </row>
    <row r="773" spans="23:53" ht="16.2" customHeight="1" x14ac:dyDescent="0.4">
      <c r="W773" s="49">
        <v>43561</v>
      </c>
      <c r="X773" s="49">
        <v>43561</v>
      </c>
      <c r="Y773" s="49">
        <v>43561</v>
      </c>
      <c r="AY773" s="49">
        <v>43561</v>
      </c>
      <c r="AZ773" s="49">
        <v>43561</v>
      </c>
      <c r="BA773" s="49">
        <v>43561</v>
      </c>
    </row>
    <row r="774" spans="23:53" ht="16.2" customHeight="1" x14ac:dyDescent="0.4">
      <c r="W774" s="49">
        <v>43562</v>
      </c>
      <c r="X774" s="49">
        <v>43562</v>
      </c>
      <c r="Y774" s="49">
        <v>43562</v>
      </c>
      <c r="AY774" s="49">
        <v>43562</v>
      </c>
      <c r="AZ774" s="49">
        <v>43562</v>
      </c>
      <c r="BA774" s="49">
        <v>43562</v>
      </c>
    </row>
    <row r="775" spans="23:53" ht="16.2" customHeight="1" x14ac:dyDescent="0.4">
      <c r="W775" s="49">
        <v>43568</v>
      </c>
      <c r="X775" s="49">
        <v>43568</v>
      </c>
      <c r="Y775" s="49">
        <v>43568</v>
      </c>
      <c r="AY775" s="49">
        <v>43568</v>
      </c>
      <c r="AZ775" s="49">
        <v>43568</v>
      </c>
      <c r="BA775" s="49">
        <v>43568</v>
      </c>
    </row>
    <row r="776" spans="23:53" ht="16.2" customHeight="1" x14ac:dyDescent="0.4">
      <c r="W776" s="49">
        <v>43569</v>
      </c>
      <c r="X776" s="49">
        <v>43569</v>
      </c>
      <c r="Y776" s="49">
        <v>43569</v>
      </c>
      <c r="AY776" s="49">
        <v>43569</v>
      </c>
      <c r="AZ776" s="49">
        <v>43569</v>
      </c>
      <c r="BA776" s="49">
        <v>43569</v>
      </c>
    </row>
    <row r="777" spans="23:53" ht="16.2" customHeight="1" x14ac:dyDescent="0.4">
      <c r="W777" s="49">
        <v>43575</v>
      </c>
      <c r="X777" s="49">
        <v>43575</v>
      </c>
      <c r="Y777" s="49">
        <v>43575</v>
      </c>
      <c r="AY777" s="49">
        <v>43575</v>
      </c>
      <c r="AZ777" s="49">
        <v>43575</v>
      </c>
      <c r="BA777" s="49">
        <v>43575</v>
      </c>
    </row>
    <row r="778" spans="23:53" ht="16.2" customHeight="1" x14ac:dyDescent="0.4">
      <c r="W778" s="49">
        <v>43576</v>
      </c>
      <c r="X778" s="49">
        <v>43576</v>
      </c>
      <c r="Y778" s="49">
        <v>43576</v>
      </c>
      <c r="AY778" s="49">
        <v>43576</v>
      </c>
      <c r="AZ778" s="49">
        <v>43576</v>
      </c>
      <c r="BA778" s="49">
        <v>43576</v>
      </c>
    </row>
    <row r="779" spans="23:53" ht="16.2" customHeight="1" x14ac:dyDescent="0.4">
      <c r="W779" s="49">
        <v>43582</v>
      </c>
      <c r="X779" s="49">
        <v>43582</v>
      </c>
      <c r="Y779" s="49">
        <v>43582</v>
      </c>
      <c r="AY779" s="49">
        <v>43582</v>
      </c>
      <c r="AZ779" s="49">
        <v>43582</v>
      </c>
      <c r="BA779" s="49">
        <v>43582</v>
      </c>
    </row>
    <row r="780" spans="23:53" ht="16.2" customHeight="1" x14ac:dyDescent="0.4">
      <c r="W780" s="49">
        <v>43583</v>
      </c>
      <c r="X780" s="49">
        <v>43583</v>
      </c>
      <c r="Y780" s="49">
        <v>43583</v>
      </c>
      <c r="AY780" s="49">
        <v>43583</v>
      </c>
      <c r="AZ780" s="49">
        <v>43583</v>
      </c>
      <c r="BA780" s="49">
        <v>43583</v>
      </c>
    </row>
    <row r="781" spans="23:53" ht="16.2" customHeight="1" x14ac:dyDescent="0.4">
      <c r="W781" s="49">
        <v>43586</v>
      </c>
      <c r="X781" s="49">
        <v>43586</v>
      </c>
      <c r="Y781" s="49">
        <v>43586</v>
      </c>
      <c r="AY781" s="49">
        <v>43586</v>
      </c>
      <c r="AZ781" s="49">
        <v>43586</v>
      </c>
      <c r="BA781" s="49">
        <v>43586</v>
      </c>
    </row>
    <row r="782" spans="23:53" ht="16.2" customHeight="1" x14ac:dyDescent="0.4">
      <c r="W782" s="49">
        <v>43589</v>
      </c>
      <c r="X782" s="49">
        <v>43589</v>
      </c>
      <c r="Y782" s="49">
        <v>43589</v>
      </c>
      <c r="AY782" s="49">
        <v>43589</v>
      </c>
      <c r="AZ782" s="49">
        <v>43589</v>
      </c>
      <c r="BA782" s="49">
        <v>43589</v>
      </c>
    </row>
    <row r="783" spans="23:53" ht="16.2" customHeight="1" x14ac:dyDescent="0.4">
      <c r="W783" s="49">
        <v>43590</v>
      </c>
      <c r="X783" s="49">
        <v>43590</v>
      </c>
      <c r="Y783" s="49">
        <v>43590</v>
      </c>
      <c r="AY783" s="49">
        <v>43590</v>
      </c>
      <c r="AZ783" s="49">
        <v>43590</v>
      </c>
      <c r="BA783" s="49">
        <v>43590</v>
      </c>
    </row>
    <row r="784" spans="23:53" ht="16.2" customHeight="1" x14ac:dyDescent="0.4">
      <c r="W784" s="49">
        <v>43591</v>
      </c>
      <c r="X784" s="49">
        <v>43591</v>
      </c>
      <c r="Y784" s="49">
        <v>43591</v>
      </c>
      <c r="AY784" s="49">
        <v>43591</v>
      </c>
      <c r="AZ784" s="49">
        <v>43591</v>
      </c>
      <c r="BA784" s="49">
        <v>43591</v>
      </c>
    </row>
    <row r="785" spans="23:53" ht="16.2" customHeight="1" x14ac:dyDescent="0.4">
      <c r="W785" s="49">
        <v>43596</v>
      </c>
      <c r="X785" s="49">
        <v>43596</v>
      </c>
      <c r="Y785" s="49">
        <v>43596</v>
      </c>
      <c r="AY785" s="49">
        <v>43596</v>
      </c>
      <c r="AZ785" s="49">
        <v>43596</v>
      </c>
      <c r="BA785" s="49">
        <v>43596</v>
      </c>
    </row>
    <row r="786" spans="23:53" ht="16.2" customHeight="1" x14ac:dyDescent="0.4">
      <c r="W786" s="49">
        <v>43597</v>
      </c>
      <c r="X786" s="49">
        <v>43597</v>
      </c>
      <c r="Y786" s="49">
        <v>43597</v>
      </c>
      <c r="AY786" s="49">
        <v>43597</v>
      </c>
      <c r="AZ786" s="49">
        <v>43597</v>
      </c>
      <c r="BA786" s="49">
        <v>43597</v>
      </c>
    </row>
    <row r="787" spans="23:53" ht="16.2" customHeight="1" x14ac:dyDescent="0.4">
      <c r="W787" s="49">
        <v>43603</v>
      </c>
      <c r="X787" s="49">
        <v>43603</v>
      </c>
      <c r="Y787" s="49">
        <v>43603</v>
      </c>
      <c r="AY787" s="49">
        <v>43603</v>
      </c>
      <c r="AZ787" s="49">
        <v>43603</v>
      </c>
      <c r="BA787" s="49">
        <v>43603</v>
      </c>
    </row>
    <row r="788" spans="23:53" ht="16.2" customHeight="1" x14ac:dyDescent="0.4">
      <c r="W788" s="49">
        <v>43604</v>
      </c>
      <c r="X788" s="49">
        <v>43604</v>
      </c>
      <c r="Y788" s="49">
        <v>43604</v>
      </c>
      <c r="AY788" s="49">
        <v>43604</v>
      </c>
      <c r="AZ788" s="49">
        <v>43604</v>
      </c>
      <c r="BA788" s="49">
        <v>43604</v>
      </c>
    </row>
    <row r="789" spans="23:53" ht="16.2" customHeight="1" x14ac:dyDescent="0.4">
      <c r="W789" s="49">
        <v>43610</v>
      </c>
      <c r="X789" s="49">
        <v>43610</v>
      </c>
      <c r="Y789" s="49">
        <v>43610</v>
      </c>
      <c r="AY789" s="49">
        <v>43610</v>
      </c>
      <c r="AZ789" s="49">
        <v>43610</v>
      </c>
      <c r="BA789" s="49">
        <v>43610</v>
      </c>
    </row>
    <row r="790" spans="23:53" ht="16.2" customHeight="1" x14ac:dyDescent="0.4">
      <c r="W790" s="49">
        <v>43611</v>
      </c>
      <c r="X790" s="49">
        <v>43611</v>
      </c>
      <c r="Y790" s="49">
        <v>43611</v>
      </c>
      <c r="AY790" s="49">
        <v>43611</v>
      </c>
      <c r="AZ790" s="49">
        <v>43611</v>
      </c>
      <c r="BA790" s="49">
        <v>43611</v>
      </c>
    </row>
    <row r="791" spans="23:53" ht="16.2" customHeight="1" x14ac:dyDescent="0.4">
      <c r="W791" s="49">
        <v>43617</v>
      </c>
      <c r="X791" s="49">
        <v>43617</v>
      </c>
      <c r="Y791" s="49">
        <v>43617</v>
      </c>
      <c r="AY791" s="49">
        <v>43617</v>
      </c>
      <c r="AZ791" s="49">
        <v>43617</v>
      </c>
      <c r="BA791" s="49">
        <v>43617</v>
      </c>
    </row>
    <row r="792" spans="23:53" ht="16.2" customHeight="1" x14ac:dyDescent="0.4">
      <c r="W792" s="49">
        <v>43618</v>
      </c>
      <c r="X792" s="49">
        <v>43618</v>
      </c>
      <c r="Y792" s="49">
        <v>43618</v>
      </c>
      <c r="AY792" s="49">
        <v>43618</v>
      </c>
      <c r="AZ792" s="49">
        <v>43618</v>
      </c>
      <c r="BA792" s="49">
        <v>43618</v>
      </c>
    </row>
    <row r="793" spans="23:53" ht="16.2" customHeight="1" x14ac:dyDescent="0.4">
      <c r="W793" s="49">
        <v>43622</v>
      </c>
      <c r="X793" s="49">
        <v>43622</v>
      </c>
      <c r="Y793" s="49">
        <v>43622</v>
      </c>
      <c r="AY793" s="49">
        <v>43622</v>
      </c>
      <c r="AZ793" s="49">
        <v>43622</v>
      </c>
      <c r="BA793" s="49">
        <v>43622</v>
      </c>
    </row>
    <row r="794" spans="23:53" ht="16.2" customHeight="1" x14ac:dyDescent="0.4">
      <c r="W794" s="49">
        <v>43624</v>
      </c>
      <c r="X794" s="49">
        <v>43624</v>
      </c>
      <c r="Y794" s="49">
        <v>43624</v>
      </c>
      <c r="AY794" s="49">
        <v>43624</v>
      </c>
      <c r="AZ794" s="49">
        <v>43624</v>
      </c>
      <c r="BA794" s="49">
        <v>43624</v>
      </c>
    </row>
    <row r="795" spans="23:53" ht="16.2" customHeight="1" x14ac:dyDescent="0.4">
      <c r="W795" s="49">
        <v>43625</v>
      </c>
      <c r="X795" s="49">
        <v>43625</v>
      </c>
      <c r="Y795" s="49">
        <v>43625</v>
      </c>
      <c r="AY795" s="49">
        <v>43625</v>
      </c>
      <c r="AZ795" s="49">
        <v>43625</v>
      </c>
      <c r="BA795" s="49">
        <v>43625</v>
      </c>
    </row>
    <row r="796" spans="23:53" ht="16.2" customHeight="1" x14ac:dyDescent="0.4">
      <c r="W796" s="49">
        <v>43631</v>
      </c>
      <c r="X796" s="49">
        <v>43631</v>
      </c>
      <c r="Y796" s="49">
        <v>43631</v>
      </c>
      <c r="AY796" s="49">
        <v>43631</v>
      </c>
      <c r="AZ796" s="49">
        <v>43631</v>
      </c>
      <c r="BA796" s="49">
        <v>43631</v>
      </c>
    </row>
    <row r="797" spans="23:53" ht="16.2" customHeight="1" x14ac:dyDescent="0.4">
      <c r="W797" s="49">
        <v>43632</v>
      </c>
      <c r="X797" s="49">
        <v>43632</v>
      </c>
      <c r="Y797" s="49">
        <v>43632</v>
      </c>
      <c r="AY797" s="49">
        <v>43632</v>
      </c>
      <c r="AZ797" s="49">
        <v>43632</v>
      </c>
      <c r="BA797" s="49">
        <v>43632</v>
      </c>
    </row>
    <row r="798" spans="23:53" ht="16.2" customHeight="1" x14ac:dyDescent="0.4">
      <c r="W798" s="49">
        <v>43638</v>
      </c>
      <c r="X798" s="49">
        <v>43638</v>
      </c>
      <c r="Y798" s="49">
        <v>43638</v>
      </c>
      <c r="AY798" s="49">
        <v>43638</v>
      </c>
      <c r="AZ798" s="49">
        <v>43638</v>
      </c>
      <c r="BA798" s="49">
        <v>43638</v>
      </c>
    </row>
    <row r="799" spans="23:53" ht="16.2" customHeight="1" x14ac:dyDescent="0.4">
      <c r="W799" s="49">
        <v>43639</v>
      </c>
      <c r="X799" s="49">
        <v>43639</v>
      </c>
      <c r="Y799" s="49">
        <v>43639</v>
      </c>
      <c r="AY799" s="49">
        <v>43639</v>
      </c>
      <c r="AZ799" s="49">
        <v>43639</v>
      </c>
      <c r="BA799" s="49">
        <v>43639</v>
      </c>
    </row>
    <row r="800" spans="23:53" ht="16.2" customHeight="1" x14ac:dyDescent="0.4">
      <c r="W800" s="49">
        <v>43645</v>
      </c>
      <c r="X800" s="49">
        <v>43645</v>
      </c>
      <c r="Y800" s="49">
        <v>43645</v>
      </c>
      <c r="AY800" s="49">
        <v>43645</v>
      </c>
      <c r="AZ800" s="49">
        <v>43645</v>
      </c>
      <c r="BA800" s="49">
        <v>43645</v>
      </c>
    </row>
    <row r="801" spans="23:53" ht="16.2" customHeight="1" x14ac:dyDescent="0.4">
      <c r="W801" s="49">
        <v>43646</v>
      </c>
      <c r="X801" s="49">
        <v>43646</v>
      </c>
      <c r="Y801" s="49">
        <v>43646</v>
      </c>
      <c r="AY801" s="49">
        <v>43646</v>
      </c>
      <c r="AZ801" s="49">
        <v>43646</v>
      </c>
      <c r="BA801" s="49">
        <v>43646</v>
      </c>
    </row>
    <row r="802" spans="23:53" ht="16.2" customHeight="1" x14ac:dyDescent="0.4">
      <c r="W802" s="49">
        <v>43652</v>
      </c>
      <c r="X802" s="49">
        <v>43652</v>
      </c>
      <c r="Y802" s="49">
        <v>43652</v>
      </c>
      <c r="AY802" s="49">
        <v>43652</v>
      </c>
      <c r="AZ802" s="49">
        <v>43652</v>
      </c>
      <c r="BA802" s="49">
        <v>43652</v>
      </c>
    </row>
    <row r="803" spans="23:53" ht="16.2" customHeight="1" x14ac:dyDescent="0.4">
      <c r="W803" s="49">
        <v>43653</v>
      </c>
      <c r="X803" s="49">
        <v>43653</v>
      </c>
      <c r="Y803" s="49">
        <v>43653</v>
      </c>
      <c r="AY803" s="49">
        <v>43653</v>
      </c>
      <c r="AZ803" s="49">
        <v>43653</v>
      </c>
      <c r="BA803" s="49">
        <v>43653</v>
      </c>
    </row>
    <row r="804" spans="23:53" ht="16.2" customHeight="1" x14ac:dyDescent="0.4">
      <c r="W804" s="49">
        <v>43659</v>
      </c>
      <c r="X804" s="49">
        <v>43659</v>
      </c>
      <c r="Y804" s="49">
        <v>43659</v>
      </c>
      <c r="AY804" s="49">
        <v>43659</v>
      </c>
      <c r="AZ804" s="49">
        <v>43659</v>
      </c>
      <c r="BA804" s="49">
        <v>43659</v>
      </c>
    </row>
    <row r="805" spans="23:53" ht="16.2" customHeight="1" x14ac:dyDescent="0.4">
      <c r="W805" s="49">
        <v>43660</v>
      </c>
      <c r="X805" s="49">
        <v>43660</v>
      </c>
      <c r="Y805" s="49">
        <v>43660</v>
      </c>
      <c r="AY805" s="49">
        <v>43660</v>
      </c>
      <c r="AZ805" s="49">
        <v>43660</v>
      </c>
      <c r="BA805" s="49">
        <v>43660</v>
      </c>
    </row>
    <row r="806" spans="23:53" ht="16.2" customHeight="1" x14ac:dyDescent="0.4">
      <c r="W806" s="49">
        <v>43666</v>
      </c>
      <c r="X806" s="49">
        <v>43666</v>
      </c>
      <c r="Y806" s="49">
        <v>43666</v>
      </c>
      <c r="AY806" s="49">
        <v>43666</v>
      </c>
      <c r="AZ806" s="49">
        <v>43666</v>
      </c>
      <c r="BA806" s="49">
        <v>43666</v>
      </c>
    </row>
    <row r="807" spans="23:53" ht="16.2" customHeight="1" x14ac:dyDescent="0.4">
      <c r="W807" s="49">
        <v>43667</v>
      </c>
      <c r="X807" s="49">
        <v>43667</v>
      </c>
      <c r="Y807" s="49">
        <v>43667</v>
      </c>
      <c r="AY807" s="49">
        <v>43667</v>
      </c>
      <c r="AZ807" s="49">
        <v>43667</v>
      </c>
      <c r="BA807" s="49">
        <v>43667</v>
      </c>
    </row>
    <row r="808" spans="23:53" ht="16.2" customHeight="1" x14ac:dyDescent="0.4">
      <c r="W808" s="49">
        <v>43673</v>
      </c>
      <c r="X808" s="49">
        <v>43673</v>
      </c>
      <c r="Y808" s="49">
        <v>43673</v>
      </c>
      <c r="AY808" s="49">
        <v>43673</v>
      </c>
      <c r="AZ808" s="49">
        <v>43673</v>
      </c>
      <c r="BA808" s="49">
        <v>43673</v>
      </c>
    </row>
    <row r="809" spans="23:53" ht="16.2" customHeight="1" x14ac:dyDescent="0.4">
      <c r="W809" s="49">
        <v>43674</v>
      </c>
      <c r="X809" s="49">
        <v>43674</v>
      </c>
      <c r="Y809" s="49">
        <v>43674</v>
      </c>
      <c r="AY809" s="49">
        <v>43674</v>
      </c>
      <c r="AZ809" s="49">
        <v>43674</v>
      </c>
      <c r="BA809" s="49">
        <v>43674</v>
      </c>
    </row>
    <row r="810" spans="23:53" ht="16.2" customHeight="1" x14ac:dyDescent="0.4">
      <c r="W810" s="49">
        <v>43680</v>
      </c>
      <c r="X810" s="49">
        <v>43680</v>
      </c>
      <c r="Y810" s="49">
        <v>43680</v>
      </c>
      <c r="AY810" s="49">
        <v>43680</v>
      </c>
      <c r="AZ810" s="49">
        <v>43680</v>
      </c>
      <c r="BA810" s="49">
        <v>43680</v>
      </c>
    </row>
    <row r="811" spans="23:53" ht="16.2" customHeight="1" x14ac:dyDescent="0.4">
      <c r="W811" s="49">
        <v>43681</v>
      </c>
      <c r="X811" s="49">
        <v>43681</v>
      </c>
      <c r="Y811" s="49">
        <v>43681</v>
      </c>
      <c r="AY811" s="49">
        <v>43681</v>
      </c>
      <c r="AZ811" s="49">
        <v>43681</v>
      </c>
      <c r="BA811" s="49">
        <v>43681</v>
      </c>
    </row>
    <row r="812" spans="23:53" ht="16.2" customHeight="1" x14ac:dyDescent="0.4">
      <c r="W812" s="49">
        <v>43687</v>
      </c>
      <c r="X812" s="49">
        <v>43687</v>
      </c>
      <c r="Y812" s="49">
        <v>43687</v>
      </c>
      <c r="AY812" s="49">
        <v>43687</v>
      </c>
      <c r="AZ812" s="49">
        <v>43687</v>
      </c>
      <c r="BA812" s="49">
        <v>43687</v>
      </c>
    </row>
    <row r="813" spans="23:53" ht="16.2" customHeight="1" x14ac:dyDescent="0.4">
      <c r="W813" s="49">
        <v>43688</v>
      </c>
      <c r="X813" s="49">
        <v>43688</v>
      </c>
      <c r="Y813" s="49">
        <v>43688</v>
      </c>
      <c r="AY813" s="49">
        <v>43688</v>
      </c>
      <c r="AZ813" s="49">
        <v>43688</v>
      </c>
      <c r="BA813" s="49">
        <v>43688</v>
      </c>
    </row>
    <row r="814" spans="23:53" ht="16.2" customHeight="1" x14ac:dyDescent="0.4">
      <c r="W814" s="49">
        <v>43692</v>
      </c>
      <c r="X814" s="49">
        <v>43692</v>
      </c>
      <c r="Y814" s="49">
        <v>43692</v>
      </c>
      <c r="AY814" s="49">
        <v>43692</v>
      </c>
      <c r="AZ814" s="49">
        <v>43692</v>
      </c>
      <c r="BA814" s="49">
        <v>43692</v>
      </c>
    </row>
    <row r="815" spans="23:53" ht="16.2" customHeight="1" x14ac:dyDescent="0.4">
      <c r="W815" s="49">
        <v>43694</v>
      </c>
      <c r="X815" s="49">
        <v>43694</v>
      </c>
      <c r="Y815" s="49">
        <v>43694</v>
      </c>
      <c r="AY815" s="49">
        <v>43694</v>
      </c>
      <c r="AZ815" s="49">
        <v>43694</v>
      </c>
      <c r="BA815" s="49">
        <v>43694</v>
      </c>
    </row>
    <row r="816" spans="23:53" ht="16.2" customHeight="1" x14ac:dyDescent="0.4">
      <c r="W816" s="49">
        <v>43695</v>
      </c>
      <c r="X816" s="49">
        <v>43695</v>
      </c>
      <c r="Y816" s="49">
        <v>43695</v>
      </c>
      <c r="AY816" s="49">
        <v>43695</v>
      </c>
      <c r="AZ816" s="49">
        <v>43695</v>
      </c>
      <c r="BA816" s="49">
        <v>43695</v>
      </c>
    </row>
    <row r="817" spans="23:53" ht="16.2" customHeight="1" x14ac:dyDescent="0.4">
      <c r="W817" s="49">
        <v>43701</v>
      </c>
      <c r="X817" s="49">
        <v>43701</v>
      </c>
      <c r="Y817" s="49">
        <v>43701</v>
      </c>
      <c r="AY817" s="49">
        <v>43701</v>
      </c>
      <c r="AZ817" s="49">
        <v>43701</v>
      </c>
      <c r="BA817" s="49">
        <v>43701</v>
      </c>
    </row>
    <row r="818" spans="23:53" ht="16.2" customHeight="1" x14ac:dyDescent="0.4">
      <c r="W818" s="49">
        <v>43702</v>
      </c>
      <c r="X818" s="49">
        <v>43702</v>
      </c>
      <c r="Y818" s="49">
        <v>43702</v>
      </c>
      <c r="AY818" s="49">
        <v>43702</v>
      </c>
      <c r="AZ818" s="49">
        <v>43702</v>
      </c>
      <c r="BA818" s="49">
        <v>43702</v>
      </c>
    </row>
    <row r="819" spans="23:53" ht="16.2" customHeight="1" x14ac:dyDescent="0.4">
      <c r="W819" s="49">
        <v>43708</v>
      </c>
      <c r="X819" s="49">
        <v>43708</v>
      </c>
      <c r="Y819" s="49">
        <v>43708</v>
      </c>
      <c r="AY819" s="49">
        <v>43708</v>
      </c>
      <c r="AZ819" s="49">
        <v>43708</v>
      </c>
      <c r="BA819" s="49">
        <v>43708</v>
      </c>
    </row>
    <row r="820" spans="23:53" ht="16.2" customHeight="1" x14ac:dyDescent="0.4">
      <c r="W820" s="49">
        <v>43709</v>
      </c>
      <c r="X820" s="49">
        <v>43709</v>
      </c>
      <c r="Y820" s="49">
        <v>43709</v>
      </c>
      <c r="AY820" s="49">
        <v>43709</v>
      </c>
      <c r="AZ820" s="49">
        <v>43709</v>
      </c>
      <c r="BA820" s="49">
        <v>43709</v>
      </c>
    </row>
    <row r="821" spans="23:53" ht="16.2" customHeight="1" x14ac:dyDescent="0.4">
      <c r="W821" s="49">
        <v>43715</v>
      </c>
      <c r="X821" s="49">
        <v>43715</v>
      </c>
      <c r="Y821" s="49">
        <v>43715</v>
      </c>
      <c r="AY821" s="49">
        <v>43715</v>
      </c>
      <c r="AZ821" s="49">
        <v>43715</v>
      </c>
      <c r="BA821" s="49">
        <v>43715</v>
      </c>
    </row>
    <row r="822" spans="23:53" ht="16.2" customHeight="1" x14ac:dyDescent="0.4">
      <c r="W822" s="49">
        <v>43716</v>
      </c>
      <c r="X822" s="49">
        <v>43716</v>
      </c>
      <c r="Y822" s="49">
        <v>43716</v>
      </c>
      <c r="AY822" s="49">
        <v>43716</v>
      </c>
      <c r="AZ822" s="49">
        <v>43716</v>
      </c>
      <c r="BA822" s="49">
        <v>43716</v>
      </c>
    </row>
    <row r="823" spans="23:53" ht="16.2" customHeight="1" x14ac:dyDescent="0.4">
      <c r="W823" s="49">
        <v>43720</v>
      </c>
      <c r="X823" s="49">
        <v>43720</v>
      </c>
      <c r="Y823" s="49">
        <v>43720</v>
      </c>
      <c r="AY823" s="49">
        <v>43720</v>
      </c>
      <c r="AZ823" s="49">
        <v>43720</v>
      </c>
      <c r="BA823" s="49">
        <v>43720</v>
      </c>
    </row>
    <row r="824" spans="23:53" ht="16.2" customHeight="1" x14ac:dyDescent="0.4">
      <c r="W824" s="49">
        <v>43721</v>
      </c>
      <c r="X824" s="49">
        <v>43721</v>
      </c>
      <c r="Y824" s="49">
        <v>43721</v>
      </c>
      <c r="AY824" s="49">
        <v>43721</v>
      </c>
      <c r="AZ824" s="49">
        <v>43721</v>
      </c>
      <c r="BA824" s="49">
        <v>43721</v>
      </c>
    </row>
    <row r="825" spans="23:53" ht="16.2" customHeight="1" x14ac:dyDescent="0.4">
      <c r="W825" s="49">
        <v>43723</v>
      </c>
      <c r="X825" s="49">
        <v>43723</v>
      </c>
      <c r="Y825" s="49">
        <v>43723</v>
      </c>
      <c r="AY825" s="49">
        <v>43723</v>
      </c>
      <c r="AZ825" s="49">
        <v>43723</v>
      </c>
      <c r="BA825" s="49">
        <v>43723</v>
      </c>
    </row>
    <row r="826" spans="23:53" ht="16.2" customHeight="1" x14ac:dyDescent="0.4">
      <c r="W826" s="49">
        <v>43729</v>
      </c>
      <c r="X826" s="49">
        <v>43729</v>
      </c>
      <c r="Y826" s="49">
        <v>43729</v>
      </c>
      <c r="AY826" s="49">
        <v>43729</v>
      </c>
      <c r="AZ826" s="49">
        <v>43729</v>
      </c>
      <c r="BA826" s="49">
        <v>43729</v>
      </c>
    </row>
    <row r="827" spans="23:53" ht="16.2" customHeight="1" x14ac:dyDescent="0.4">
      <c r="W827" s="49">
        <v>43730</v>
      </c>
      <c r="X827" s="49">
        <v>43730</v>
      </c>
      <c r="Y827" s="49">
        <v>43730</v>
      </c>
      <c r="AY827" s="49">
        <v>43730</v>
      </c>
      <c r="AZ827" s="49">
        <v>43730</v>
      </c>
      <c r="BA827" s="49">
        <v>43730</v>
      </c>
    </row>
    <row r="828" spans="23:53" ht="16.2" customHeight="1" x14ac:dyDescent="0.4">
      <c r="W828" s="49">
        <v>43736</v>
      </c>
      <c r="X828" s="49">
        <v>43736</v>
      </c>
      <c r="Y828" s="49">
        <v>43736</v>
      </c>
      <c r="AY828" s="49">
        <v>43736</v>
      </c>
      <c r="AZ828" s="49">
        <v>43736</v>
      </c>
      <c r="BA828" s="49">
        <v>43736</v>
      </c>
    </row>
    <row r="829" spans="23:53" ht="16.2" customHeight="1" x14ac:dyDescent="0.4">
      <c r="W829" s="49">
        <v>43737</v>
      </c>
      <c r="X829" s="49">
        <v>43737</v>
      </c>
      <c r="Y829" s="49">
        <v>43737</v>
      </c>
      <c r="AY829" s="49">
        <v>43737</v>
      </c>
      <c r="AZ829" s="49">
        <v>43737</v>
      </c>
      <c r="BA829" s="49">
        <v>43737</v>
      </c>
    </row>
    <row r="830" spans="23:53" ht="16.2" customHeight="1" x14ac:dyDescent="0.4">
      <c r="W830" s="49">
        <v>43741</v>
      </c>
      <c r="X830" s="49">
        <v>43741</v>
      </c>
      <c r="Y830" s="49">
        <v>43741</v>
      </c>
      <c r="AY830" s="49">
        <v>43741</v>
      </c>
      <c r="AZ830" s="49">
        <v>43741</v>
      </c>
      <c r="BA830" s="49">
        <v>43741</v>
      </c>
    </row>
    <row r="831" spans="23:53" ht="16.2" customHeight="1" x14ac:dyDescent="0.4">
      <c r="W831" s="49">
        <v>43743</v>
      </c>
      <c r="X831" s="49">
        <v>43743</v>
      </c>
      <c r="Y831" s="49">
        <v>43743</v>
      </c>
      <c r="AY831" s="49">
        <v>43743</v>
      </c>
      <c r="AZ831" s="49">
        <v>43743</v>
      </c>
      <c r="BA831" s="49">
        <v>43743</v>
      </c>
    </row>
    <row r="832" spans="23:53" ht="16.2" customHeight="1" x14ac:dyDescent="0.4">
      <c r="W832" s="49">
        <v>43744</v>
      </c>
      <c r="X832" s="49">
        <v>43744</v>
      </c>
      <c r="Y832" s="49">
        <v>43744</v>
      </c>
      <c r="AY832" s="49">
        <v>43744</v>
      </c>
      <c r="AZ832" s="49">
        <v>43744</v>
      </c>
      <c r="BA832" s="49">
        <v>43744</v>
      </c>
    </row>
    <row r="833" spans="23:53" ht="16.2" customHeight="1" x14ac:dyDescent="0.4">
      <c r="W833" s="49">
        <v>43747</v>
      </c>
      <c r="X833" s="49">
        <v>43747</v>
      </c>
      <c r="Y833" s="49">
        <v>43747</v>
      </c>
      <c r="AY833" s="49">
        <v>43747</v>
      </c>
      <c r="AZ833" s="49">
        <v>43747</v>
      </c>
      <c r="BA833" s="49">
        <v>43747</v>
      </c>
    </row>
    <row r="834" spans="23:53" ht="16.2" customHeight="1" x14ac:dyDescent="0.4">
      <c r="W834" s="49">
        <v>43750</v>
      </c>
      <c r="X834" s="49">
        <v>43750</v>
      </c>
      <c r="Y834" s="49">
        <v>43750</v>
      </c>
      <c r="AY834" s="49">
        <v>43750</v>
      </c>
      <c r="AZ834" s="49">
        <v>43750</v>
      </c>
      <c r="BA834" s="49">
        <v>43750</v>
      </c>
    </row>
    <row r="835" spans="23:53" ht="16.2" customHeight="1" x14ac:dyDescent="0.4">
      <c r="W835" s="49">
        <v>43751</v>
      </c>
      <c r="X835" s="49">
        <v>43751</v>
      </c>
      <c r="Y835" s="49">
        <v>43751</v>
      </c>
      <c r="AY835" s="49">
        <v>43751</v>
      </c>
      <c r="AZ835" s="49">
        <v>43751</v>
      </c>
      <c r="BA835" s="49">
        <v>43751</v>
      </c>
    </row>
    <row r="836" spans="23:53" ht="16.2" customHeight="1" x14ac:dyDescent="0.4">
      <c r="W836" s="49">
        <v>43757</v>
      </c>
      <c r="X836" s="49">
        <v>43757</v>
      </c>
      <c r="Y836" s="49">
        <v>43757</v>
      </c>
      <c r="AY836" s="49">
        <v>43757</v>
      </c>
      <c r="AZ836" s="49">
        <v>43757</v>
      </c>
      <c r="BA836" s="49">
        <v>43757</v>
      </c>
    </row>
    <row r="837" spans="23:53" ht="16.2" customHeight="1" x14ac:dyDescent="0.4">
      <c r="W837" s="49">
        <v>43758</v>
      </c>
      <c r="X837" s="49">
        <v>43758</v>
      </c>
      <c r="Y837" s="49">
        <v>43758</v>
      </c>
      <c r="AY837" s="49">
        <v>43758</v>
      </c>
      <c r="AZ837" s="49">
        <v>43758</v>
      </c>
      <c r="BA837" s="49">
        <v>43758</v>
      </c>
    </row>
    <row r="838" spans="23:53" ht="16.2" customHeight="1" x14ac:dyDescent="0.4">
      <c r="W838" s="49">
        <v>43764</v>
      </c>
      <c r="X838" s="49">
        <v>43764</v>
      </c>
      <c r="Y838" s="49">
        <v>43764</v>
      </c>
      <c r="AY838" s="49">
        <v>43764</v>
      </c>
      <c r="AZ838" s="49">
        <v>43764</v>
      </c>
      <c r="BA838" s="49">
        <v>43764</v>
      </c>
    </row>
    <row r="839" spans="23:53" ht="16.2" customHeight="1" x14ac:dyDescent="0.4">
      <c r="W839" s="49">
        <v>43765</v>
      </c>
      <c r="X839" s="49">
        <v>43765</v>
      </c>
      <c r="Y839" s="49">
        <v>43765</v>
      </c>
      <c r="AY839" s="49">
        <v>43765</v>
      </c>
      <c r="AZ839" s="49">
        <v>43765</v>
      </c>
      <c r="BA839" s="49">
        <v>43765</v>
      </c>
    </row>
    <row r="840" spans="23:53" ht="16.2" customHeight="1" x14ac:dyDescent="0.4">
      <c r="W840" s="49">
        <v>43771</v>
      </c>
      <c r="X840" s="49">
        <v>43771</v>
      </c>
      <c r="Y840" s="49">
        <v>43771</v>
      </c>
      <c r="AY840" s="49">
        <v>43771</v>
      </c>
      <c r="AZ840" s="49">
        <v>43771</v>
      </c>
      <c r="BA840" s="49">
        <v>43771</v>
      </c>
    </row>
    <row r="841" spans="23:53" ht="16.2" customHeight="1" x14ac:dyDescent="0.4">
      <c r="W841" s="49">
        <v>43772</v>
      </c>
      <c r="X841" s="49">
        <v>43772</v>
      </c>
      <c r="Y841" s="49">
        <v>43772</v>
      </c>
      <c r="AY841" s="49">
        <v>43772</v>
      </c>
      <c r="AZ841" s="49">
        <v>43772</v>
      </c>
      <c r="BA841" s="49">
        <v>43772</v>
      </c>
    </row>
    <row r="842" spans="23:53" ht="16.2" customHeight="1" x14ac:dyDescent="0.4">
      <c r="W842" s="49">
        <v>43778</v>
      </c>
      <c r="X842" s="49">
        <v>43778</v>
      </c>
      <c r="Y842" s="49">
        <v>43778</v>
      </c>
      <c r="AY842" s="49">
        <v>43778</v>
      </c>
      <c r="AZ842" s="49">
        <v>43778</v>
      </c>
      <c r="BA842" s="49">
        <v>43778</v>
      </c>
    </row>
    <row r="843" spans="23:53" ht="16.2" customHeight="1" x14ac:dyDescent="0.4">
      <c r="W843" s="49">
        <v>43779</v>
      </c>
      <c r="X843" s="49">
        <v>43779</v>
      </c>
      <c r="Y843" s="49">
        <v>43779</v>
      </c>
      <c r="AY843" s="49">
        <v>43779</v>
      </c>
      <c r="AZ843" s="49">
        <v>43779</v>
      </c>
      <c r="BA843" s="49">
        <v>43779</v>
      </c>
    </row>
    <row r="844" spans="23:53" ht="16.2" customHeight="1" x14ac:dyDescent="0.4">
      <c r="W844" s="49">
        <v>43785</v>
      </c>
      <c r="X844" s="49">
        <v>43785</v>
      </c>
      <c r="Y844" s="49">
        <v>43785</v>
      </c>
      <c r="AY844" s="49">
        <v>43785</v>
      </c>
      <c r="AZ844" s="49">
        <v>43785</v>
      </c>
      <c r="BA844" s="49">
        <v>43785</v>
      </c>
    </row>
    <row r="845" spans="23:53" ht="16.2" customHeight="1" x14ac:dyDescent="0.4">
      <c r="W845" s="49">
        <v>43786</v>
      </c>
      <c r="X845" s="49">
        <v>43786</v>
      </c>
      <c r="Y845" s="49">
        <v>43786</v>
      </c>
      <c r="AY845" s="49">
        <v>43786</v>
      </c>
      <c r="AZ845" s="49">
        <v>43786</v>
      </c>
      <c r="BA845" s="49">
        <v>43786</v>
      </c>
    </row>
    <row r="846" spans="23:53" ht="16.2" customHeight="1" x14ac:dyDescent="0.4">
      <c r="W846" s="49">
        <v>43792</v>
      </c>
      <c r="X846" s="49">
        <v>43792</v>
      </c>
      <c r="Y846" s="49">
        <v>43792</v>
      </c>
      <c r="AY846" s="49">
        <v>43792</v>
      </c>
      <c r="AZ846" s="49">
        <v>43792</v>
      </c>
      <c r="BA846" s="49">
        <v>43792</v>
      </c>
    </row>
    <row r="847" spans="23:53" ht="16.2" customHeight="1" x14ac:dyDescent="0.4">
      <c r="W847" s="49">
        <v>43793</v>
      </c>
      <c r="X847" s="49">
        <v>43793</v>
      </c>
      <c r="Y847" s="49">
        <v>43793</v>
      </c>
      <c r="AY847" s="49">
        <v>43793</v>
      </c>
      <c r="AZ847" s="49">
        <v>43793</v>
      </c>
      <c r="BA847" s="49">
        <v>43793</v>
      </c>
    </row>
    <row r="848" spans="23:53" ht="16.2" customHeight="1" x14ac:dyDescent="0.4">
      <c r="W848" s="49">
        <v>43799</v>
      </c>
      <c r="X848" s="49">
        <v>43799</v>
      </c>
      <c r="Y848" s="49">
        <v>43799</v>
      </c>
      <c r="AY848" s="49">
        <v>43799</v>
      </c>
      <c r="AZ848" s="49">
        <v>43799</v>
      </c>
      <c r="BA848" s="49">
        <v>43799</v>
      </c>
    </row>
    <row r="849" spans="23:53" ht="16.2" customHeight="1" x14ac:dyDescent="0.4">
      <c r="W849" s="49">
        <v>43800</v>
      </c>
      <c r="X849" s="49">
        <v>43800</v>
      </c>
      <c r="Y849" s="49">
        <v>43800</v>
      </c>
      <c r="AY849" s="49">
        <v>43800</v>
      </c>
      <c r="AZ849" s="49">
        <v>43800</v>
      </c>
      <c r="BA849" s="49">
        <v>43800</v>
      </c>
    </row>
    <row r="850" spans="23:53" ht="16.2" customHeight="1" x14ac:dyDescent="0.4">
      <c r="W850" s="49">
        <v>43806</v>
      </c>
      <c r="X850" s="49">
        <v>43806</v>
      </c>
      <c r="Y850" s="49">
        <v>43806</v>
      </c>
      <c r="AY850" s="49">
        <v>43806</v>
      </c>
      <c r="AZ850" s="49">
        <v>43806</v>
      </c>
      <c r="BA850" s="49">
        <v>43806</v>
      </c>
    </row>
    <row r="851" spans="23:53" ht="16.2" customHeight="1" x14ac:dyDescent="0.4">
      <c r="W851" s="49">
        <v>43807</v>
      </c>
      <c r="X851" s="49">
        <v>43807</v>
      </c>
      <c r="Y851" s="49">
        <v>43807</v>
      </c>
      <c r="AY851" s="49">
        <v>43807</v>
      </c>
      <c r="AZ851" s="49">
        <v>43807</v>
      </c>
      <c r="BA851" s="49">
        <v>43807</v>
      </c>
    </row>
    <row r="852" spans="23:53" ht="16.2" customHeight="1" x14ac:dyDescent="0.4">
      <c r="W852" s="49">
        <v>43813</v>
      </c>
      <c r="X852" s="49">
        <v>43813</v>
      </c>
      <c r="Y852" s="49">
        <v>43813</v>
      </c>
      <c r="AY852" s="49">
        <v>43813</v>
      </c>
      <c r="AZ852" s="49">
        <v>43813</v>
      </c>
      <c r="BA852" s="49">
        <v>43813</v>
      </c>
    </row>
    <row r="853" spans="23:53" ht="16.2" customHeight="1" x14ac:dyDescent="0.4">
      <c r="W853" s="49">
        <v>43814</v>
      </c>
      <c r="X853" s="49">
        <v>43814</v>
      </c>
      <c r="Y853" s="49">
        <v>43814</v>
      </c>
      <c r="AY853" s="49">
        <v>43814</v>
      </c>
      <c r="AZ853" s="49">
        <v>43814</v>
      </c>
      <c r="BA853" s="49">
        <v>43814</v>
      </c>
    </row>
    <row r="854" spans="23:53" ht="16.2" customHeight="1" x14ac:dyDescent="0.4">
      <c r="W854" s="49">
        <v>43820</v>
      </c>
      <c r="X854" s="49">
        <v>43820</v>
      </c>
      <c r="Y854" s="49">
        <v>43820</v>
      </c>
      <c r="AY854" s="49">
        <v>43820</v>
      </c>
      <c r="AZ854" s="49">
        <v>43820</v>
      </c>
      <c r="BA854" s="49">
        <v>43820</v>
      </c>
    </row>
    <row r="855" spans="23:53" ht="16.2" customHeight="1" x14ac:dyDescent="0.4">
      <c r="W855" s="49">
        <v>43821</v>
      </c>
      <c r="X855" s="49">
        <v>43821</v>
      </c>
      <c r="Y855" s="49">
        <v>43821</v>
      </c>
      <c r="AY855" s="49">
        <v>43821</v>
      </c>
      <c r="AZ855" s="49">
        <v>43821</v>
      </c>
      <c r="BA855" s="49">
        <v>43821</v>
      </c>
    </row>
    <row r="856" spans="23:53" ht="16.2" customHeight="1" x14ac:dyDescent="0.4">
      <c r="W856" s="49">
        <v>43824</v>
      </c>
      <c r="X856" s="49">
        <v>43824</v>
      </c>
      <c r="Y856" s="49">
        <v>43824</v>
      </c>
      <c r="AY856" s="49">
        <v>43824</v>
      </c>
      <c r="AZ856" s="49">
        <v>43824</v>
      </c>
      <c r="BA856" s="49">
        <v>43824</v>
      </c>
    </row>
    <row r="857" spans="23:53" ht="16.2" customHeight="1" x14ac:dyDescent="0.4">
      <c r="W857" s="49">
        <v>43827</v>
      </c>
      <c r="X857" s="49">
        <v>43827</v>
      </c>
      <c r="Y857" s="49">
        <v>43827</v>
      </c>
      <c r="AY857" s="49">
        <v>43827</v>
      </c>
      <c r="AZ857" s="49">
        <v>43827</v>
      </c>
      <c r="BA857" s="49">
        <v>43827</v>
      </c>
    </row>
    <row r="858" spans="23:53" ht="16.2" customHeight="1" x14ac:dyDescent="0.4">
      <c r="W858" s="49">
        <v>43828</v>
      </c>
      <c r="X858" s="49">
        <v>43828</v>
      </c>
      <c r="Y858" s="49">
        <v>43828</v>
      </c>
      <c r="AY858" s="49">
        <v>43828</v>
      </c>
      <c r="AZ858" s="49">
        <v>43828</v>
      </c>
      <c r="BA858" s="49">
        <v>43828</v>
      </c>
    </row>
    <row r="859" spans="23:53" ht="16.2" customHeight="1" x14ac:dyDescent="0.4">
      <c r="W859" s="49">
        <v>43831</v>
      </c>
      <c r="X859" s="49">
        <v>43831</v>
      </c>
      <c r="Y859" s="49">
        <v>43831</v>
      </c>
      <c r="AY859" s="49">
        <v>43831</v>
      </c>
      <c r="AZ859" s="49">
        <v>43831</v>
      </c>
      <c r="BA859" s="49">
        <v>43831</v>
      </c>
    </row>
    <row r="860" spans="23:53" ht="16.2" customHeight="1" x14ac:dyDescent="0.4">
      <c r="W860" s="49">
        <v>43834</v>
      </c>
      <c r="X860" s="49">
        <v>43834</v>
      </c>
      <c r="Y860" s="49">
        <v>43834</v>
      </c>
      <c r="AY860" s="49">
        <v>43834</v>
      </c>
      <c r="AZ860" s="49">
        <v>43834</v>
      </c>
      <c r="BA860" s="49">
        <v>43834</v>
      </c>
    </row>
    <row r="861" spans="23:53" ht="16.2" customHeight="1" x14ac:dyDescent="0.4">
      <c r="W861" s="49">
        <v>43835</v>
      </c>
      <c r="X861" s="49">
        <v>43835</v>
      </c>
      <c r="Y861" s="49">
        <v>43835</v>
      </c>
      <c r="AY861" s="49">
        <v>43835</v>
      </c>
      <c r="AZ861" s="49">
        <v>43835</v>
      </c>
      <c r="BA861" s="49">
        <v>43835</v>
      </c>
    </row>
    <row r="862" spans="23:53" ht="16.2" customHeight="1" x14ac:dyDescent="0.4">
      <c r="W862" s="49">
        <v>43841</v>
      </c>
      <c r="X862" s="49">
        <v>43841</v>
      </c>
      <c r="Y862" s="49">
        <v>43841</v>
      </c>
      <c r="AY862" s="49">
        <v>43841</v>
      </c>
      <c r="AZ862" s="49">
        <v>43841</v>
      </c>
      <c r="BA862" s="49">
        <v>43841</v>
      </c>
    </row>
    <row r="863" spans="23:53" ht="16.2" customHeight="1" x14ac:dyDescent="0.4">
      <c r="W863" s="49">
        <v>43842</v>
      </c>
      <c r="X863" s="49">
        <v>43842</v>
      </c>
      <c r="Y863" s="49">
        <v>43842</v>
      </c>
      <c r="AY863" s="49">
        <v>43842</v>
      </c>
      <c r="AZ863" s="49">
        <v>43842</v>
      </c>
      <c r="BA863" s="49">
        <v>43842</v>
      </c>
    </row>
    <row r="864" spans="23:53" ht="16.2" customHeight="1" x14ac:dyDescent="0.4">
      <c r="W864" s="49">
        <v>43848</v>
      </c>
      <c r="X864" s="49">
        <v>43848</v>
      </c>
      <c r="Y864" s="49">
        <v>43848</v>
      </c>
      <c r="AY864" s="49">
        <v>43848</v>
      </c>
      <c r="AZ864" s="49">
        <v>43848</v>
      </c>
      <c r="BA864" s="49">
        <v>43848</v>
      </c>
    </row>
    <row r="865" spans="23:53" ht="16.2" customHeight="1" x14ac:dyDescent="0.4">
      <c r="W865" s="49">
        <v>43849</v>
      </c>
      <c r="X865" s="49">
        <v>43849</v>
      </c>
      <c r="Y865" s="49">
        <v>43849</v>
      </c>
      <c r="AY865" s="49">
        <v>43849</v>
      </c>
      <c r="AZ865" s="49">
        <v>43849</v>
      </c>
      <c r="BA865" s="49">
        <v>43849</v>
      </c>
    </row>
    <row r="866" spans="23:53" ht="16.2" customHeight="1" x14ac:dyDescent="0.4">
      <c r="W866" s="49">
        <v>43854</v>
      </c>
      <c r="X866" s="49">
        <v>43854</v>
      </c>
      <c r="Y866" s="49">
        <v>43854</v>
      </c>
      <c r="AY866" s="49">
        <v>43854</v>
      </c>
      <c r="AZ866" s="49">
        <v>43854</v>
      </c>
      <c r="BA866" s="49">
        <v>43854</v>
      </c>
    </row>
    <row r="867" spans="23:53" ht="16.2" customHeight="1" x14ac:dyDescent="0.4">
      <c r="W867" s="49">
        <v>43856</v>
      </c>
      <c r="X867" s="49">
        <v>43856</v>
      </c>
      <c r="Y867" s="49">
        <v>43856</v>
      </c>
      <c r="AY867" s="49">
        <v>43856</v>
      </c>
      <c r="AZ867" s="49">
        <v>43856</v>
      </c>
      <c r="BA867" s="49">
        <v>43856</v>
      </c>
    </row>
    <row r="868" spans="23:53" ht="16.2" customHeight="1" x14ac:dyDescent="0.4">
      <c r="W868" s="49">
        <v>43857</v>
      </c>
      <c r="X868" s="49">
        <v>43857</v>
      </c>
      <c r="Y868" s="49">
        <v>43857</v>
      </c>
      <c r="AY868" s="49">
        <v>43857</v>
      </c>
      <c r="AZ868" s="49">
        <v>43857</v>
      </c>
      <c r="BA868" s="49">
        <v>43857</v>
      </c>
    </row>
    <row r="869" spans="23:53" ht="16.2" customHeight="1" x14ac:dyDescent="0.4">
      <c r="W869" s="49">
        <v>43862</v>
      </c>
      <c r="X869" s="49">
        <v>43862</v>
      </c>
      <c r="Y869" s="49">
        <v>43862</v>
      </c>
      <c r="AY869" s="49">
        <v>43862</v>
      </c>
      <c r="AZ869" s="49">
        <v>43862</v>
      </c>
      <c r="BA869" s="49">
        <v>43862</v>
      </c>
    </row>
    <row r="870" spans="23:53" ht="16.2" customHeight="1" x14ac:dyDescent="0.4">
      <c r="W870" s="49">
        <v>43863</v>
      </c>
      <c r="X870" s="49">
        <v>43863</v>
      </c>
      <c r="Y870" s="49">
        <v>43863</v>
      </c>
      <c r="AY870" s="49">
        <v>43863</v>
      </c>
      <c r="AZ870" s="49">
        <v>43863</v>
      </c>
      <c r="BA870" s="49">
        <v>43863</v>
      </c>
    </row>
    <row r="871" spans="23:53" ht="16.2" customHeight="1" x14ac:dyDescent="0.4">
      <c r="W871" s="49">
        <v>43869</v>
      </c>
      <c r="X871" s="49">
        <v>43869</v>
      </c>
      <c r="Y871" s="49">
        <v>43869</v>
      </c>
      <c r="AY871" s="49">
        <v>43869</v>
      </c>
      <c r="AZ871" s="49">
        <v>43869</v>
      </c>
      <c r="BA871" s="49">
        <v>43869</v>
      </c>
    </row>
    <row r="872" spans="23:53" ht="16.2" customHeight="1" x14ac:dyDescent="0.4">
      <c r="W872" s="49">
        <v>43870</v>
      </c>
      <c r="X872" s="49">
        <v>43870</v>
      </c>
      <c r="Y872" s="49">
        <v>43870</v>
      </c>
      <c r="AY872" s="49">
        <v>43870</v>
      </c>
      <c r="AZ872" s="49">
        <v>43870</v>
      </c>
      <c r="BA872" s="49">
        <v>43870</v>
      </c>
    </row>
    <row r="873" spans="23:53" ht="16.2" customHeight="1" x14ac:dyDescent="0.4">
      <c r="W873" s="49">
        <v>43876</v>
      </c>
      <c r="X873" s="49">
        <v>43876</v>
      </c>
      <c r="Y873" s="49">
        <v>43876</v>
      </c>
      <c r="AY873" s="49">
        <v>43876</v>
      </c>
      <c r="AZ873" s="49">
        <v>43876</v>
      </c>
      <c r="BA873" s="49">
        <v>43876</v>
      </c>
    </row>
    <row r="874" spans="23:53" ht="16.2" customHeight="1" x14ac:dyDescent="0.4">
      <c r="W874" s="49">
        <v>43877</v>
      </c>
      <c r="X874" s="49">
        <v>43877</v>
      </c>
      <c r="Y874" s="49">
        <v>43877</v>
      </c>
      <c r="AY874" s="49">
        <v>43877</v>
      </c>
      <c r="AZ874" s="49">
        <v>43877</v>
      </c>
      <c r="BA874" s="49">
        <v>43877</v>
      </c>
    </row>
    <row r="875" spans="23:53" ht="16.2" customHeight="1" x14ac:dyDescent="0.4">
      <c r="W875" s="49">
        <v>43883</v>
      </c>
      <c r="X875" s="49">
        <v>43883</v>
      </c>
      <c r="Y875" s="49">
        <v>43883</v>
      </c>
      <c r="AY875" s="49">
        <v>43883</v>
      </c>
      <c r="AZ875" s="49">
        <v>43883</v>
      </c>
      <c r="BA875" s="49">
        <v>43883</v>
      </c>
    </row>
    <row r="876" spans="23:53" ht="16.2" customHeight="1" x14ac:dyDescent="0.4">
      <c r="W876" s="49">
        <v>43884</v>
      </c>
      <c r="X876" s="49">
        <v>43884</v>
      </c>
      <c r="Y876" s="49">
        <v>43884</v>
      </c>
      <c r="AY876" s="49">
        <v>43884</v>
      </c>
      <c r="AZ876" s="49">
        <v>43884</v>
      </c>
      <c r="BA876" s="49">
        <v>43884</v>
      </c>
    </row>
    <row r="877" spans="23:53" ht="16.2" customHeight="1" x14ac:dyDescent="0.4">
      <c r="W877" s="49">
        <v>43890</v>
      </c>
      <c r="X877" s="49">
        <v>43890</v>
      </c>
      <c r="Y877" s="49">
        <v>43890</v>
      </c>
      <c r="AY877" s="49">
        <v>43890</v>
      </c>
      <c r="AZ877" s="49">
        <v>43890</v>
      </c>
      <c r="BA877" s="49">
        <v>43890</v>
      </c>
    </row>
    <row r="878" spans="23:53" ht="16.2" customHeight="1" x14ac:dyDescent="0.4">
      <c r="W878" s="49">
        <v>43891</v>
      </c>
      <c r="X878" s="49">
        <v>43891</v>
      </c>
      <c r="Y878" s="49">
        <v>43891</v>
      </c>
      <c r="AY878" s="49">
        <v>43891</v>
      </c>
      <c r="AZ878" s="49">
        <v>43891</v>
      </c>
      <c r="BA878" s="49">
        <v>43891</v>
      </c>
    </row>
    <row r="879" spans="23:53" ht="16.2" customHeight="1" x14ac:dyDescent="0.4">
      <c r="W879" s="49">
        <v>43897</v>
      </c>
      <c r="X879" s="49">
        <v>43897</v>
      </c>
      <c r="Y879" s="49">
        <v>43897</v>
      </c>
      <c r="AY879" s="49">
        <v>43897</v>
      </c>
      <c r="AZ879" s="49">
        <v>43897</v>
      </c>
      <c r="BA879" s="49">
        <v>43897</v>
      </c>
    </row>
    <row r="880" spans="23:53" ht="16.2" customHeight="1" x14ac:dyDescent="0.4">
      <c r="W880" s="49">
        <v>43898</v>
      </c>
      <c r="X880" s="49">
        <v>43898</v>
      </c>
      <c r="Y880" s="49">
        <v>43898</v>
      </c>
      <c r="AY880" s="49">
        <v>43898</v>
      </c>
      <c r="AZ880" s="49">
        <v>43898</v>
      </c>
      <c r="BA880" s="49">
        <v>43898</v>
      </c>
    </row>
    <row r="881" spans="23:53" ht="16.2" customHeight="1" x14ac:dyDescent="0.4">
      <c r="W881" s="49">
        <v>43904</v>
      </c>
      <c r="X881" s="49">
        <v>43904</v>
      </c>
      <c r="Y881" s="49">
        <v>43904</v>
      </c>
      <c r="AY881" s="49">
        <v>43904</v>
      </c>
      <c r="AZ881" s="49">
        <v>43904</v>
      </c>
      <c r="BA881" s="49">
        <v>43904</v>
      </c>
    </row>
    <row r="882" spans="23:53" ht="16.2" customHeight="1" x14ac:dyDescent="0.4">
      <c r="W882" s="49">
        <v>43905</v>
      </c>
      <c r="X882" s="49">
        <v>43905</v>
      </c>
      <c r="Y882" s="49">
        <v>43905</v>
      </c>
      <c r="AY882" s="49">
        <v>43905</v>
      </c>
      <c r="AZ882" s="49">
        <v>43905</v>
      </c>
      <c r="BA882" s="49">
        <v>43905</v>
      </c>
    </row>
    <row r="883" spans="23:53" ht="16.2" customHeight="1" x14ac:dyDescent="0.4">
      <c r="W883" s="49">
        <v>43911</v>
      </c>
      <c r="X883" s="49">
        <v>43911</v>
      </c>
      <c r="Y883" s="49">
        <v>43911</v>
      </c>
      <c r="AY883" s="49">
        <v>43911</v>
      </c>
      <c r="AZ883" s="49">
        <v>43911</v>
      </c>
      <c r="BA883" s="49">
        <v>43911</v>
      </c>
    </row>
    <row r="884" spans="23:53" ht="16.2" customHeight="1" x14ac:dyDescent="0.4">
      <c r="W884" s="49">
        <v>43912</v>
      </c>
      <c r="X884" s="49">
        <v>43912</v>
      </c>
      <c r="Y884" s="49">
        <v>43912</v>
      </c>
      <c r="AY884" s="49">
        <v>43912</v>
      </c>
      <c r="AZ884" s="49">
        <v>43912</v>
      </c>
      <c r="BA884" s="49">
        <v>43912</v>
      </c>
    </row>
    <row r="885" spans="23:53" ht="16.2" customHeight="1" x14ac:dyDescent="0.4">
      <c r="W885" s="49">
        <v>43918</v>
      </c>
      <c r="X885" s="49">
        <v>43918</v>
      </c>
      <c r="Y885" s="49">
        <v>43918</v>
      </c>
      <c r="AY885" s="49">
        <v>43918</v>
      </c>
      <c r="AZ885" s="49">
        <v>43918</v>
      </c>
      <c r="BA885" s="49">
        <v>43918</v>
      </c>
    </row>
    <row r="886" spans="23:53" ht="16.2" customHeight="1" x14ac:dyDescent="0.4">
      <c r="W886" s="49">
        <v>43919</v>
      </c>
      <c r="X886" s="49">
        <v>43919</v>
      </c>
      <c r="Y886" s="49">
        <v>43919</v>
      </c>
      <c r="AY886" s="49">
        <v>43919</v>
      </c>
      <c r="AZ886" s="49">
        <v>43919</v>
      </c>
      <c r="BA886" s="49">
        <v>43919</v>
      </c>
    </row>
    <row r="887" spans="23:53" ht="16.2" customHeight="1" x14ac:dyDescent="0.4">
      <c r="W887" s="49">
        <v>43925</v>
      </c>
      <c r="X887" s="49">
        <v>43925</v>
      </c>
      <c r="Y887" s="49">
        <v>43925</v>
      </c>
      <c r="AY887" s="49">
        <v>43925</v>
      </c>
      <c r="AZ887" s="49">
        <v>43925</v>
      </c>
      <c r="BA887" s="49">
        <v>43925</v>
      </c>
    </row>
    <row r="888" spans="23:53" ht="16.2" customHeight="1" x14ac:dyDescent="0.4">
      <c r="W888" s="49">
        <v>43926</v>
      </c>
      <c r="X888" s="49">
        <v>43926</v>
      </c>
      <c r="Y888" s="49">
        <v>43926</v>
      </c>
      <c r="AY888" s="49">
        <v>43926</v>
      </c>
      <c r="AZ888" s="49">
        <v>43926</v>
      </c>
      <c r="BA888" s="49">
        <v>43926</v>
      </c>
    </row>
    <row r="889" spans="23:53" ht="16.2" customHeight="1" x14ac:dyDescent="0.4">
      <c r="W889" s="49">
        <v>43932</v>
      </c>
      <c r="X889" s="49">
        <v>43932</v>
      </c>
      <c r="Y889" s="49">
        <v>43932</v>
      </c>
      <c r="AY889" s="49">
        <v>43932</v>
      </c>
      <c r="AZ889" s="49">
        <v>43932</v>
      </c>
      <c r="BA889" s="49">
        <v>43932</v>
      </c>
    </row>
    <row r="890" spans="23:53" ht="16.2" customHeight="1" x14ac:dyDescent="0.4">
      <c r="W890" s="49">
        <v>43933</v>
      </c>
      <c r="X890" s="49">
        <v>43933</v>
      </c>
      <c r="Y890" s="49">
        <v>43933</v>
      </c>
      <c r="AY890" s="49">
        <v>43933</v>
      </c>
      <c r="AZ890" s="49">
        <v>43933</v>
      </c>
      <c r="BA890" s="49">
        <v>43933</v>
      </c>
    </row>
    <row r="891" spans="23:53" ht="16.2" customHeight="1" x14ac:dyDescent="0.4">
      <c r="W891" s="49">
        <v>43936</v>
      </c>
      <c r="X891" s="49">
        <v>43936</v>
      </c>
      <c r="Y891" s="49">
        <v>43936</v>
      </c>
      <c r="AY891" s="49">
        <v>43936</v>
      </c>
      <c r="AZ891" s="49">
        <v>43936</v>
      </c>
      <c r="BA891" s="49">
        <v>43936</v>
      </c>
    </row>
    <row r="892" spans="23:53" ht="16.2" customHeight="1" x14ac:dyDescent="0.4">
      <c r="W892" s="49">
        <v>43939</v>
      </c>
      <c r="X892" s="49">
        <v>43939</v>
      </c>
      <c r="Y892" s="49">
        <v>43939</v>
      </c>
      <c r="AY892" s="49">
        <v>43939</v>
      </c>
      <c r="AZ892" s="49">
        <v>43939</v>
      </c>
      <c r="BA892" s="49">
        <v>43939</v>
      </c>
    </row>
    <row r="893" spans="23:53" ht="16.2" customHeight="1" x14ac:dyDescent="0.4">
      <c r="W893" s="49">
        <v>43940</v>
      </c>
      <c r="X893" s="49">
        <v>43940</v>
      </c>
      <c r="Y893" s="49">
        <v>43940</v>
      </c>
      <c r="AY893" s="49">
        <v>43940</v>
      </c>
      <c r="AZ893" s="49">
        <v>43940</v>
      </c>
      <c r="BA893" s="49">
        <v>43940</v>
      </c>
    </row>
    <row r="894" spans="23:53" ht="16.2" customHeight="1" x14ac:dyDescent="0.4">
      <c r="W894" s="49">
        <v>43946</v>
      </c>
      <c r="X894" s="49">
        <v>43946</v>
      </c>
      <c r="Y894" s="49">
        <v>43946</v>
      </c>
      <c r="AY894" s="49">
        <v>43946</v>
      </c>
      <c r="AZ894" s="49">
        <v>43946</v>
      </c>
      <c r="BA894" s="49">
        <v>43946</v>
      </c>
    </row>
    <row r="895" spans="23:53" ht="16.2" customHeight="1" x14ac:dyDescent="0.4">
      <c r="W895" s="49">
        <v>43947</v>
      </c>
      <c r="X895" s="49">
        <v>43947</v>
      </c>
      <c r="Y895" s="49">
        <v>43947</v>
      </c>
      <c r="AY895" s="49">
        <v>43947</v>
      </c>
      <c r="AZ895" s="49">
        <v>43947</v>
      </c>
      <c r="BA895" s="49">
        <v>43947</v>
      </c>
    </row>
    <row r="896" spans="23:53" ht="16.2" customHeight="1" x14ac:dyDescent="0.4">
      <c r="W896" s="49">
        <v>43951</v>
      </c>
      <c r="X896" s="49">
        <v>43951</v>
      </c>
      <c r="Y896" s="49">
        <v>43951</v>
      </c>
      <c r="AY896" s="49">
        <v>43951</v>
      </c>
      <c r="AZ896" s="49">
        <v>43951</v>
      </c>
      <c r="BA896" s="49">
        <v>43951</v>
      </c>
    </row>
    <row r="897" spans="23:53" ht="16.2" customHeight="1" x14ac:dyDescent="0.4">
      <c r="W897" s="49">
        <v>43952</v>
      </c>
      <c r="X897" s="49">
        <v>43952</v>
      </c>
      <c r="Y897" s="49">
        <v>43952</v>
      </c>
      <c r="AY897" s="49">
        <v>43952</v>
      </c>
      <c r="AZ897" s="49">
        <v>43952</v>
      </c>
      <c r="BA897" s="49">
        <v>43952</v>
      </c>
    </row>
    <row r="898" spans="23:53" ht="16.2" customHeight="1" x14ac:dyDescent="0.4">
      <c r="W898" s="49">
        <v>43953</v>
      </c>
      <c r="X898" s="49">
        <v>43953</v>
      </c>
      <c r="Y898" s="49">
        <v>43953</v>
      </c>
      <c r="AY898" s="49">
        <v>43953</v>
      </c>
      <c r="AZ898" s="49">
        <v>43953</v>
      </c>
      <c r="BA898" s="49">
        <v>43953</v>
      </c>
    </row>
    <row r="899" spans="23:53" ht="16.2" customHeight="1" x14ac:dyDescent="0.4">
      <c r="W899" s="49">
        <v>43954</v>
      </c>
      <c r="X899" s="49">
        <v>43954</v>
      </c>
      <c r="Y899" s="49">
        <v>43954</v>
      </c>
      <c r="AY899" s="49">
        <v>43954</v>
      </c>
      <c r="AZ899" s="49">
        <v>43954</v>
      </c>
      <c r="BA899" s="49">
        <v>43954</v>
      </c>
    </row>
    <row r="900" spans="23:53" ht="16.2" customHeight="1" x14ac:dyDescent="0.4">
      <c r="W900" s="49">
        <v>43956</v>
      </c>
      <c r="X900" s="49">
        <v>43956</v>
      </c>
      <c r="Y900" s="49">
        <v>43956</v>
      </c>
      <c r="AY900" s="49">
        <v>43956</v>
      </c>
      <c r="AZ900" s="49">
        <v>43956</v>
      </c>
      <c r="BA900" s="49">
        <v>43956</v>
      </c>
    </row>
    <row r="901" spans="23:53" ht="16.2" customHeight="1" x14ac:dyDescent="0.4">
      <c r="W901" s="49">
        <v>43960</v>
      </c>
      <c r="X901" s="49">
        <v>43960</v>
      </c>
      <c r="Y901" s="49">
        <v>43960</v>
      </c>
      <c r="AY901" s="49">
        <v>43960</v>
      </c>
      <c r="AZ901" s="49">
        <v>43960</v>
      </c>
      <c r="BA901" s="49">
        <v>43960</v>
      </c>
    </row>
    <row r="902" spans="23:53" ht="16.2" customHeight="1" x14ac:dyDescent="0.4">
      <c r="W902" s="49">
        <v>43961</v>
      </c>
      <c r="X902" s="49">
        <v>43961</v>
      </c>
      <c r="Y902" s="49">
        <v>43961</v>
      </c>
      <c r="AY902" s="49">
        <v>43961</v>
      </c>
      <c r="AZ902" s="49">
        <v>43961</v>
      </c>
      <c r="BA902" s="49">
        <v>43961</v>
      </c>
    </row>
    <row r="903" spans="23:53" ht="16.2" customHeight="1" x14ac:dyDescent="0.4">
      <c r="W903" s="49">
        <v>43967</v>
      </c>
      <c r="X903" s="49">
        <v>43967</v>
      </c>
      <c r="Y903" s="49">
        <v>43967</v>
      </c>
      <c r="AY903" s="49">
        <v>43967</v>
      </c>
      <c r="AZ903" s="49">
        <v>43967</v>
      </c>
      <c r="BA903" s="49">
        <v>43967</v>
      </c>
    </row>
    <row r="904" spans="23:53" ht="16.2" customHeight="1" x14ac:dyDescent="0.4">
      <c r="W904" s="49">
        <v>43968</v>
      </c>
      <c r="X904" s="49">
        <v>43968</v>
      </c>
      <c r="Y904" s="49">
        <v>43968</v>
      </c>
      <c r="AY904" s="49">
        <v>43968</v>
      </c>
      <c r="AZ904" s="49">
        <v>43968</v>
      </c>
      <c r="BA904" s="49">
        <v>43968</v>
      </c>
    </row>
    <row r="905" spans="23:53" ht="16.2" customHeight="1" x14ac:dyDescent="0.4">
      <c r="W905" s="49">
        <v>43974</v>
      </c>
      <c r="X905" s="49">
        <v>43974</v>
      </c>
      <c r="Y905" s="49">
        <v>43974</v>
      </c>
      <c r="AY905" s="49">
        <v>43974</v>
      </c>
      <c r="AZ905" s="49">
        <v>43974</v>
      </c>
      <c r="BA905" s="49">
        <v>43974</v>
      </c>
    </row>
    <row r="906" spans="23:53" ht="16.2" customHeight="1" x14ac:dyDescent="0.4">
      <c r="W906" s="49">
        <v>43975</v>
      </c>
      <c r="X906" s="49">
        <v>43975</v>
      </c>
      <c r="Y906" s="49">
        <v>43975</v>
      </c>
      <c r="AY906" s="49">
        <v>43975</v>
      </c>
      <c r="AZ906" s="49">
        <v>43975</v>
      </c>
      <c r="BA906" s="49">
        <v>43975</v>
      </c>
    </row>
    <row r="907" spans="23:53" ht="16.2" customHeight="1" x14ac:dyDescent="0.4">
      <c r="W907" s="49">
        <v>43981</v>
      </c>
      <c r="X907" s="49">
        <v>43981</v>
      </c>
      <c r="Y907" s="49">
        <v>43981</v>
      </c>
      <c r="AY907" s="49">
        <v>43981</v>
      </c>
      <c r="AZ907" s="49">
        <v>43981</v>
      </c>
      <c r="BA907" s="49">
        <v>43981</v>
      </c>
    </row>
    <row r="908" spans="23:53" ht="16.2" customHeight="1" x14ac:dyDescent="0.4">
      <c r="W908" s="49">
        <v>43982</v>
      </c>
      <c r="X908" s="49">
        <v>43982</v>
      </c>
      <c r="Y908" s="49">
        <v>43982</v>
      </c>
      <c r="AY908" s="49">
        <v>43982</v>
      </c>
      <c r="AZ908" s="49">
        <v>43982</v>
      </c>
      <c r="BA908" s="49">
        <v>43982</v>
      </c>
    </row>
    <row r="909" spans="23:53" ht="16.2" customHeight="1" x14ac:dyDescent="0.4">
      <c r="W909" s="49">
        <v>43989</v>
      </c>
      <c r="X909" s="49">
        <v>43989</v>
      </c>
      <c r="Y909" s="49">
        <v>43989</v>
      </c>
      <c r="AY909" s="49">
        <v>43989</v>
      </c>
      <c r="AZ909" s="49">
        <v>43989</v>
      </c>
      <c r="BA909" s="49">
        <v>43989</v>
      </c>
    </row>
    <row r="910" spans="23:53" ht="16.2" customHeight="1" x14ac:dyDescent="0.4">
      <c r="W910" s="49">
        <v>43995</v>
      </c>
      <c r="X910" s="49">
        <v>43995</v>
      </c>
      <c r="Y910" s="49">
        <v>43995</v>
      </c>
      <c r="AY910" s="49">
        <v>43995</v>
      </c>
      <c r="AZ910" s="49">
        <v>43995</v>
      </c>
      <c r="BA910" s="49">
        <v>43995</v>
      </c>
    </row>
    <row r="911" spans="23:53" ht="16.2" customHeight="1" x14ac:dyDescent="0.4">
      <c r="W911" s="49">
        <v>43996</v>
      </c>
      <c r="X911" s="49">
        <v>43996</v>
      </c>
      <c r="Y911" s="49">
        <v>43996</v>
      </c>
      <c r="AY911" s="49">
        <v>43996</v>
      </c>
      <c r="AZ911" s="49">
        <v>43996</v>
      </c>
      <c r="BA911" s="49">
        <v>43996</v>
      </c>
    </row>
    <row r="912" spans="23:53" ht="16.2" customHeight="1" x14ac:dyDescent="0.4">
      <c r="W912" s="49">
        <v>44002</v>
      </c>
      <c r="X912" s="49">
        <v>44002</v>
      </c>
      <c r="Y912" s="49">
        <v>44002</v>
      </c>
      <c r="AY912" s="49">
        <v>44002</v>
      </c>
      <c r="AZ912" s="49">
        <v>44002</v>
      </c>
      <c r="BA912" s="49">
        <v>44002</v>
      </c>
    </row>
    <row r="913" spans="23:53" ht="16.2" customHeight="1" x14ac:dyDescent="0.4">
      <c r="W913" s="49">
        <v>44003</v>
      </c>
      <c r="X913" s="49">
        <v>44003</v>
      </c>
      <c r="Y913" s="49">
        <v>44003</v>
      </c>
      <c r="AY913" s="49">
        <v>44003</v>
      </c>
      <c r="AZ913" s="49">
        <v>44003</v>
      </c>
      <c r="BA913" s="49">
        <v>44003</v>
      </c>
    </row>
    <row r="914" spans="23:53" ht="16.2" customHeight="1" x14ac:dyDescent="0.4">
      <c r="W914" s="49">
        <v>44009</v>
      </c>
      <c r="X914" s="49">
        <v>44009</v>
      </c>
      <c r="Y914" s="49">
        <v>44009</v>
      </c>
      <c r="AY914" s="49">
        <v>44009</v>
      </c>
      <c r="AZ914" s="49">
        <v>44009</v>
      </c>
      <c r="BA914" s="49">
        <v>44009</v>
      </c>
    </row>
    <row r="915" spans="23:53" ht="16.2" customHeight="1" x14ac:dyDescent="0.4">
      <c r="W915" s="49">
        <v>44010</v>
      </c>
      <c r="X915" s="49">
        <v>44010</v>
      </c>
      <c r="Y915" s="49">
        <v>44010</v>
      </c>
      <c r="AY915" s="49">
        <v>44010</v>
      </c>
      <c r="AZ915" s="49">
        <v>44010</v>
      </c>
      <c r="BA915" s="49">
        <v>44010</v>
      </c>
    </row>
    <row r="916" spans="23:53" ht="16.2" customHeight="1" x14ac:dyDescent="0.4">
      <c r="W916" s="49">
        <v>44016</v>
      </c>
      <c r="X916" s="49">
        <v>44016</v>
      </c>
      <c r="Y916" s="49">
        <v>44016</v>
      </c>
      <c r="AY916" s="49">
        <v>44016</v>
      </c>
      <c r="AZ916" s="49">
        <v>44016</v>
      </c>
      <c r="BA916" s="49">
        <v>44016</v>
      </c>
    </row>
    <row r="917" spans="23:53" ht="16.2" customHeight="1" x14ac:dyDescent="0.4">
      <c r="W917" s="49">
        <v>44017</v>
      </c>
      <c r="X917" s="49">
        <v>44017</v>
      </c>
      <c r="Y917" s="49">
        <v>44017</v>
      </c>
      <c r="AY917" s="49">
        <v>44017</v>
      </c>
      <c r="AZ917" s="49">
        <v>44017</v>
      </c>
      <c r="BA917" s="49">
        <v>44017</v>
      </c>
    </row>
    <row r="918" spans="23:53" ht="16.2" customHeight="1" x14ac:dyDescent="0.4">
      <c r="W918" s="49">
        <v>44023</v>
      </c>
      <c r="X918" s="49">
        <v>44023</v>
      </c>
      <c r="Y918" s="49">
        <v>44023</v>
      </c>
      <c r="AY918" s="49">
        <v>44023</v>
      </c>
      <c r="AZ918" s="49">
        <v>44023</v>
      </c>
      <c r="BA918" s="49">
        <v>44023</v>
      </c>
    </row>
    <row r="919" spans="23:53" ht="16.2" customHeight="1" x14ac:dyDescent="0.4">
      <c r="W919" s="49">
        <v>44024</v>
      </c>
      <c r="X919" s="49">
        <v>44024</v>
      </c>
      <c r="Y919" s="49">
        <v>44024</v>
      </c>
      <c r="AY919" s="49">
        <v>44024</v>
      </c>
      <c r="AZ919" s="49">
        <v>44024</v>
      </c>
      <c r="BA919" s="49">
        <v>44024</v>
      </c>
    </row>
    <row r="920" spans="23:53" ht="16.2" customHeight="1" x14ac:dyDescent="0.4">
      <c r="W920" s="49">
        <v>44030</v>
      </c>
      <c r="X920" s="49">
        <v>44030</v>
      </c>
      <c r="Y920" s="49">
        <v>44030</v>
      </c>
      <c r="AY920" s="49">
        <v>44030</v>
      </c>
      <c r="AZ920" s="49">
        <v>44030</v>
      </c>
      <c r="BA920" s="49">
        <v>44030</v>
      </c>
    </row>
    <row r="921" spans="23:53" ht="16.2" customHeight="1" x14ac:dyDescent="0.4">
      <c r="W921" s="49">
        <v>44031</v>
      </c>
      <c r="X921" s="49">
        <v>44031</v>
      </c>
      <c r="Y921" s="49">
        <v>44031</v>
      </c>
      <c r="AY921" s="49">
        <v>44031</v>
      </c>
      <c r="AZ921" s="49">
        <v>44031</v>
      </c>
      <c r="BA921" s="49">
        <v>44031</v>
      </c>
    </row>
    <row r="922" spans="23:53" ht="16.2" customHeight="1" x14ac:dyDescent="0.4">
      <c r="W922" s="49">
        <v>44037</v>
      </c>
      <c r="X922" s="49">
        <v>44037</v>
      </c>
      <c r="Y922" s="49">
        <v>44037</v>
      </c>
      <c r="AY922" s="49">
        <v>44037</v>
      </c>
      <c r="AZ922" s="49">
        <v>44037</v>
      </c>
      <c r="BA922" s="49">
        <v>44037</v>
      </c>
    </row>
    <row r="923" spans="23:53" ht="16.2" customHeight="1" x14ac:dyDescent="0.4">
      <c r="W923" s="49">
        <v>44038</v>
      </c>
      <c r="X923" s="49">
        <v>44038</v>
      </c>
      <c r="Y923" s="49">
        <v>44038</v>
      </c>
      <c r="AY923" s="49">
        <v>44038</v>
      </c>
      <c r="AZ923" s="49">
        <v>44038</v>
      </c>
      <c r="BA923" s="49">
        <v>44038</v>
      </c>
    </row>
    <row r="924" spans="23:53" ht="16.2" customHeight="1" x14ac:dyDescent="0.4">
      <c r="W924" s="49">
        <v>44044</v>
      </c>
      <c r="X924" s="49">
        <v>44044</v>
      </c>
      <c r="Y924" s="49">
        <v>44044</v>
      </c>
      <c r="AY924" s="49">
        <v>44044</v>
      </c>
      <c r="AZ924" s="49">
        <v>44044</v>
      </c>
      <c r="BA924" s="49">
        <v>44044</v>
      </c>
    </row>
    <row r="925" spans="23:53" ht="16.2" customHeight="1" x14ac:dyDescent="0.4">
      <c r="W925" s="49">
        <v>44045</v>
      </c>
      <c r="X925" s="49">
        <v>44045</v>
      </c>
      <c r="Y925" s="49">
        <v>44045</v>
      </c>
      <c r="AY925" s="49">
        <v>44045</v>
      </c>
      <c r="AZ925" s="49">
        <v>44045</v>
      </c>
      <c r="BA925" s="49">
        <v>44045</v>
      </c>
    </row>
    <row r="926" spans="23:53" ht="16.2" customHeight="1" x14ac:dyDescent="0.4">
      <c r="W926" s="49">
        <v>44051</v>
      </c>
      <c r="X926" s="49">
        <v>44051</v>
      </c>
      <c r="Y926" s="49">
        <v>44051</v>
      </c>
      <c r="AY926" s="49">
        <v>44051</v>
      </c>
      <c r="AZ926" s="49">
        <v>44051</v>
      </c>
      <c r="BA926" s="49">
        <v>44051</v>
      </c>
    </row>
    <row r="927" spans="23:53" ht="16.2" customHeight="1" x14ac:dyDescent="0.4">
      <c r="W927" s="49">
        <v>44052</v>
      </c>
      <c r="X927" s="49">
        <v>44052</v>
      </c>
      <c r="Y927" s="49">
        <v>44052</v>
      </c>
      <c r="AY927" s="49">
        <v>44052</v>
      </c>
      <c r="AZ927" s="49">
        <v>44052</v>
      </c>
      <c r="BA927" s="49">
        <v>44052</v>
      </c>
    </row>
    <row r="928" spans="23:53" ht="16.2" customHeight="1" x14ac:dyDescent="0.4">
      <c r="W928" s="49">
        <v>44059</v>
      </c>
      <c r="X928" s="49">
        <v>44059</v>
      </c>
      <c r="Y928" s="49">
        <v>44059</v>
      </c>
      <c r="AY928" s="49">
        <v>44059</v>
      </c>
      <c r="AZ928" s="49">
        <v>44059</v>
      </c>
      <c r="BA928" s="49">
        <v>44059</v>
      </c>
    </row>
    <row r="929" spans="23:53" ht="16.2" customHeight="1" x14ac:dyDescent="0.4">
      <c r="W929" s="49">
        <v>44065</v>
      </c>
      <c r="X929" s="49">
        <v>44065</v>
      </c>
      <c r="Y929" s="49">
        <v>44065</v>
      </c>
      <c r="AY929" s="49">
        <v>44065</v>
      </c>
      <c r="AZ929" s="49">
        <v>44065</v>
      </c>
      <c r="BA929" s="49">
        <v>44065</v>
      </c>
    </row>
    <row r="930" spans="23:53" ht="16.2" customHeight="1" x14ac:dyDescent="0.4">
      <c r="W930" s="49">
        <v>44066</v>
      </c>
      <c r="X930" s="49">
        <v>44066</v>
      </c>
      <c r="Y930" s="49">
        <v>44066</v>
      </c>
      <c r="AY930" s="49">
        <v>44066</v>
      </c>
      <c r="AZ930" s="49">
        <v>44066</v>
      </c>
      <c r="BA930" s="49">
        <v>44066</v>
      </c>
    </row>
    <row r="931" spans="23:53" ht="16.2" customHeight="1" x14ac:dyDescent="0.4">
      <c r="W931" s="49">
        <v>44072</v>
      </c>
      <c r="X931" s="49">
        <v>44072</v>
      </c>
      <c r="Y931" s="49">
        <v>44072</v>
      </c>
      <c r="AY931" s="49">
        <v>44072</v>
      </c>
      <c r="AZ931" s="49">
        <v>44072</v>
      </c>
      <c r="BA931" s="49">
        <v>44072</v>
      </c>
    </row>
    <row r="932" spans="23:53" ht="16.2" customHeight="1" x14ac:dyDescent="0.4">
      <c r="W932" s="49">
        <v>44073</v>
      </c>
      <c r="X932" s="49">
        <v>44073</v>
      </c>
      <c r="Y932" s="49">
        <v>44073</v>
      </c>
      <c r="AY932" s="49">
        <v>44073</v>
      </c>
      <c r="AZ932" s="49">
        <v>44073</v>
      </c>
      <c r="BA932" s="49">
        <v>44073</v>
      </c>
    </row>
    <row r="933" spans="23:53" ht="16.2" customHeight="1" x14ac:dyDescent="0.4">
      <c r="W933" s="49">
        <v>44079</v>
      </c>
      <c r="X933" s="49">
        <v>44079</v>
      </c>
      <c r="Y933" s="49">
        <v>44079</v>
      </c>
      <c r="AY933" s="49">
        <v>44079</v>
      </c>
      <c r="AZ933" s="49">
        <v>44079</v>
      </c>
      <c r="BA933" s="49">
        <v>44079</v>
      </c>
    </row>
    <row r="934" spans="23:53" ht="16.2" customHeight="1" x14ac:dyDescent="0.4">
      <c r="W934" s="49">
        <v>44080</v>
      </c>
      <c r="X934" s="49">
        <v>44080</v>
      </c>
      <c r="Y934" s="49">
        <v>44080</v>
      </c>
      <c r="AY934" s="49">
        <v>44080</v>
      </c>
      <c r="AZ934" s="49">
        <v>44080</v>
      </c>
      <c r="BA934" s="49">
        <v>44080</v>
      </c>
    </row>
    <row r="935" spans="23:53" ht="16.2" customHeight="1" x14ac:dyDescent="0.4">
      <c r="W935" s="49">
        <v>44086</v>
      </c>
      <c r="X935" s="49">
        <v>44086</v>
      </c>
      <c r="Y935" s="49">
        <v>44086</v>
      </c>
      <c r="AY935" s="49">
        <v>44086</v>
      </c>
      <c r="AZ935" s="49">
        <v>44086</v>
      </c>
      <c r="BA935" s="49">
        <v>44086</v>
      </c>
    </row>
    <row r="936" spans="23:53" ht="16.2" customHeight="1" x14ac:dyDescent="0.4">
      <c r="W936" s="49">
        <v>44087</v>
      </c>
      <c r="X936" s="49">
        <v>44087</v>
      </c>
      <c r="Y936" s="49">
        <v>44087</v>
      </c>
      <c r="AY936" s="49">
        <v>44087</v>
      </c>
      <c r="AZ936" s="49">
        <v>44087</v>
      </c>
      <c r="BA936" s="49">
        <v>44087</v>
      </c>
    </row>
    <row r="937" spans="23:53" ht="16.2" customHeight="1" x14ac:dyDescent="0.4">
      <c r="W937" s="49">
        <v>44093</v>
      </c>
      <c r="X937" s="49">
        <v>44093</v>
      </c>
      <c r="Y937" s="49">
        <v>44093</v>
      </c>
      <c r="AY937" s="49">
        <v>44093</v>
      </c>
      <c r="AZ937" s="49">
        <v>44093</v>
      </c>
      <c r="BA937" s="49">
        <v>44093</v>
      </c>
    </row>
    <row r="938" spans="23:53" ht="16.2" customHeight="1" x14ac:dyDescent="0.4">
      <c r="W938" s="49">
        <v>44094</v>
      </c>
      <c r="X938" s="49">
        <v>44094</v>
      </c>
      <c r="Y938" s="49">
        <v>44094</v>
      </c>
      <c r="AY938" s="49">
        <v>44094</v>
      </c>
      <c r="AZ938" s="49">
        <v>44094</v>
      </c>
      <c r="BA938" s="49">
        <v>44094</v>
      </c>
    </row>
    <row r="939" spans="23:53" ht="16.2" customHeight="1" x14ac:dyDescent="0.4">
      <c r="W939" s="49">
        <v>44100</v>
      </c>
      <c r="X939" s="49">
        <v>44100</v>
      </c>
      <c r="Y939" s="49">
        <v>44100</v>
      </c>
      <c r="AY939" s="49">
        <v>44100</v>
      </c>
      <c r="AZ939" s="49">
        <v>44100</v>
      </c>
      <c r="BA939" s="49">
        <v>44100</v>
      </c>
    </row>
    <row r="940" spans="23:53" ht="16.2" customHeight="1" x14ac:dyDescent="0.4">
      <c r="W940" s="49">
        <v>44101</v>
      </c>
      <c r="X940" s="49">
        <v>44101</v>
      </c>
      <c r="Y940" s="49">
        <v>44101</v>
      </c>
      <c r="AY940" s="49">
        <v>44101</v>
      </c>
      <c r="AZ940" s="49">
        <v>44101</v>
      </c>
      <c r="BA940" s="49">
        <v>44101</v>
      </c>
    </row>
    <row r="941" spans="23:53" ht="16.2" customHeight="1" x14ac:dyDescent="0.4">
      <c r="W941" s="49">
        <v>44104</v>
      </c>
      <c r="X941" s="49">
        <v>44104</v>
      </c>
      <c r="Y941" s="49">
        <v>44104</v>
      </c>
      <c r="AY941" s="49">
        <v>44104</v>
      </c>
      <c r="AZ941" s="49">
        <v>44104</v>
      </c>
      <c r="BA941" s="49">
        <v>44104</v>
      </c>
    </row>
    <row r="942" spans="23:53" ht="16.2" customHeight="1" x14ac:dyDescent="0.4">
      <c r="W942" s="49">
        <v>44105</v>
      </c>
      <c r="X942" s="49">
        <v>44105</v>
      </c>
      <c r="Y942" s="49">
        <v>44105</v>
      </c>
      <c r="AY942" s="49">
        <v>44105</v>
      </c>
      <c r="AZ942" s="49">
        <v>44105</v>
      </c>
      <c r="BA942" s="49">
        <v>44105</v>
      </c>
    </row>
    <row r="943" spans="23:53" ht="16.2" customHeight="1" x14ac:dyDescent="0.4">
      <c r="W943" s="49">
        <v>44106</v>
      </c>
      <c r="X943" s="49">
        <v>44106</v>
      </c>
      <c r="Y943" s="49">
        <v>44106</v>
      </c>
      <c r="AY943" s="49">
        <v>44106</v>
      </c>
      <c r="AZ943" s="49">
        <v>44106</v>
      </c>
      <c r="BA943" s="49">
        <v>44106</v>
      </c>
    </row>
    <row r="944" spans="23:53" ht="16.2" customHeight="1" x14ac:dyDescent="0.4">
      <c r="W944" s="49">
        <v>44108</v>
      </c>
      <c r="X944" s="49">
        <v>44108</v>
      </c>
      <c r="Y944" s="49">
        <v>44108</v>
      </c>
      <c r="AY944" s="49">
        <v>44108</v>
      </c>
      <c r="AZ944" s="49">
        <v>44108</v>
      </c>
      <c r="BA944" s="49">
        <v>44108</v>
      </c>
    </row>
    <row r="945" spans="23:53" ht="16.2" customHeight="1" x14ac:dyDescent="0.4">
      <c r="W945" s="49">
        <v>44113</v>
      </c>
      <c r="X945" s="49">
        <v>44113</v>
      </c>
      <c r="Y945" s="49">
        <v>44113</v>
      </c>
      <c r="AY945" s="49">
        <v>44113</v>
      </c>
      <c r="AZ945" s="49">
        <v>44113</v>
      </c>
      <c r="BA945" s="49">
        <v>44113</v>
      </c>
    </row>
    <row r="946" spans="23:53" ht="16.2" customHeight="1" x14ac:dyDescent="0.4">
      <c r="W946" s="49">
        <v>44114</v>
      </c>
      <c r="X946" s="49">
        <v>44114</v>
      </c>
      <c r="Y946" s="49">
        <v>44114</v>
      </c>
      <c r="AY946" s="49">
        <v>44114</v>
      </c>
      <c r="AZ946" s="49">
        <v>44114</v>
      </c>
      <c r="BA946" s="49">
        <v>44114</v>
      </c>
    </row>
    <row r="947" spans="23:53" ht="16.2" customHeight="1" x14ac:dyDescent="0.4">
      <c r="W947" s="49">
        <v>44115</v>
      </c>
      <c r="X947" s="49">
        <v>44115</v>
      </c>
      <c r="Y947" s="49">
        <v>44115</v>
      </c>
      <c r="AY947" s="49">
        <v>44115</v>
      </c>
      <c r="AZ947" s="49">
        <v>44115</v>
      </c>
      <c r="BA947" s="49">
        <v>44115</v>
      </c>
    </row>
    <row r="948" spans="23:53" ht="16.2" customHeight="1" x14ac:dyDescent="0.4">
      <c r="W948" s="49">
        <v>44121</v>
      </c>
      <c r="X948" s="49">
        <v>44121</v>
      </c>
      <c r="Y948" s="49">
        <v>44121</v>
      </c>
      <c r="AY948" s="49">
        <v>44121</v>
      </c>
      <c r="AZ948" s="49">
        <v>44121</v>
      </c>
      <c r="BA948" s="49">
        <v>44121</v>
      </c>
    </row>
    <row r="949" spans="23:53" ht="16.2" customHeight="1" x14ac:dyDescent="0.4">
      <c r="W949" s="49">
        <v>44122</v>
      </c>
      <c r="X949" s="49">
        <v>44122</v>
      </c>
      <c r="Y949" s="49">
        <v>44122</v>
      </c>
      <c r="AY949" s="49">
        <v>44122</v>
      </c>
      <c r="AZ949" s="49">
        <v>44122</v>
      </c>
      <c r="BA949" s="49">
        <v>44122</v>
      </c>
    </row>
    <row r="950" spans="23:53" ht="16.2" customHeight="1" x14ac:dyDescent="0.4">
      <c r="W950" s="49">
        <v>44128</v>
      </c>
      <c r="X950" s="49">
        <v>44128</v>
      </c>
      <c r="Y950" s="49">
        <v>44128</v>
      </c>
      <c r="AY950" s="49">
        <v>44128</v>
      </c>
      <c r="AZ950" s="49">
        <v>44128</v>
      </c>
      <c r="BA950" s="49">
        <v>44128</v>
      </c>
    </row>
    <row r="951" spans="23:53" ht="16.2" customHeight="1" x14ac:dyDescent="0.4">
      <c r="W951" s="49">
        <v>44129</v>
      </c>
      <c r="X951" s="49">
        <v>44129</v>
      </c>
      <c r="Y951" s="49">
        <v>44129</v>
      </c>
      <c r="AY951" s="49">
        <v>44129</v>
      </c>
      <c r="AZ951" s="49">
        <v>44129</v>
      </c>
      <c r="BA951" s="49">
        <v>44129</v>
      </c>
    </row>
    <row r="952" spans="23:53" ht="16.2" customHeight="1" x14ac:dyDescent="0.4">
      <c r="W952" s="49">
        <v>44135</v>
      </c>
      <c r="X952" s="49">
        <v>44135</v>
      </c>
      <c r="Y952" s="49">
        <v>44135</v>
      </c>
      <c r="AY952" s="49">
        <v>44135</v>
      </c>
      <c r="AZ952" s="49">
        <v>44135</v>
      </c>
      <c r="BA952" s="49">
        <v>44135</v>
      </c>
    </row>
    <row r="953" spans="23:53" ht="16.2" customHeight="1" x14ac:dyDescent="0.4">
      <c r="W953" s="49">
        <v>44136</v>
      </c>
      <c r="X953" s="49">
        <v>44136</v>
      </c>
      <c r="Y953" s="49">
        <v>44136</v>
      </c>
      <c r="AY953" s="49">
        <v>44136</v>
      </c>
      <c r="AZ953" s="49">
        <v>44136</v>
      </c>
      <c r="BA953" s="49">
        <v>44136</v>
      </c>
    </row>
    <row r="954" spans="23:53" ht="16.2" customHeight="1" x14ac:dyDescent="0.4">
      <c r="W954" s="49">
        <v>44142</v>
      </c>
      <c r="X954" s="49">
        <v>44142</v>
      </c>
      <c r="Y954" s="49">
        <v>44142</v>
      </c>
      <c r="AY954" s="49">
        <v>44142</v>
      </c>
      <c r="AZ954" s="49">
        <v>44142</v>
      </c>
      <c r="BA954" s="49">
        <v>44142</v>
      </c>
    </row>
    <row r="955" spans="23:53" ht="16.2" customHeight="1" x14ac:dyDescent="0.4">
      <c r="W955" s="49">
        <v>44143</v>
      </c>
      <c r="X955" s="49">
        <v>44143</v>
      </c>
      <c r="Y955" s="49">
        <v>44143</v>
      </c>
      <c r="AY955" s="49">
        <v>44143</v>
      </c>
      <c r="AZ955" s="49">
        <v>44143</v>
      </c>
      <c r="BA955" s="49">
        <v>44143</v>
      </c>
    </row>
    <row r="956" spans="23:53" ht="16.2" customHeight="1" x14ac:dyDescent="0.4">
      <c r="W956" s="49">
        <v>44149</v>
      </c>
      <c r="X956" s="49">
        <v>44149</v>
      </c>
      <c r="Y956" s="49">
        <v>44149</v>
      </c>
      <c r="AY956" s="49">
        <v>44149</v>
      </c>
      <c r="AZ956" s="49">
        <v>44149</v>
      </c>
      <c r="BA956" s="49">
        <v>44149</v>
      </c>
    </row>
    <row r="957" spans="23:53" ht="16.2" customHeight="1" x14ac:dyDescent="0.4">
      <c r="W957" s="49">
        <v>44150</v>
      </c>
      <c r="X957" s="49">
        <v>44150</v>
      </c>
      <c r="Y957" s="49">
        <v>44150</v>
      </c>
      <c r="AY957" s="49">
        <v>44150</v>
      </c>
      <c r="AZ957" s="49">
        <v>44150</v>
      </c>
      <c r="BA957" s="49">
        <v>44150</v>
      </c>
    </row>
    <row r="958" spans="23:53" ht="16.2" customHeight="1" x14ac:dyDescent="0.4">
      <c r="W958" s="49">
        <v>44156</v>
      </c>
      <c r="X958" s="49">
        <v>44156</v>
      </c>
      <c r="Y958" s="49">
        <v>44156</v>
      </c>
      <c r="AY958" s="49">
        <v>44156</v>
      </c>
      <c r="AZ958" s="49">
        <v>44156</v>
      </c>
      <c r="BA958" s="49">
        <v>44156</v>
      </c>
    </row>
    <row r="959" spans="23:53" ht="16.2" customHeight="1" x14ac:dyDescent="0.4">
      <c r="W959" s="49">
        <v>44157</v>
      </c>
      <c r="X959" s="49">
        <v>44157</v>
      </c>
      <c r="Y959" s="49">
        <v>44157</v>
      </c>
      <c r="AY959" s="49">
        <v>44157</v>
      </c>
      <c r="AZ959" s="49">
        <v>44157</v>
      </c>
      <c r="BA959" s="49">
        <v>44157</v>
      </c>
    </row>
    <row r="960" spans="23:53" ht="16.2" customHeight="1" x14ac:dyDescent="0.4">
      <c r="W960" s="49">
        <v>44163</v>
      </c>
      <c r="X960" s="49">
        <v>44163</v>
      </c>
      <c r="Y960" s="49">
        <v>44163</v>
      </c>
      <c r="AY960" s="49">
        <v>44163</v>
      </c>
      <c r="AZ960" s="49">
        <v>44163</v>
      </c>
      <c r="BA960" s="49">
        <v>44163</v>
      </c>
    </row>
    <row r="961" spans="23:53" ht="16.2" customHeight="1" x14ac:dyDescent="0.4">
      <c r="W961" s="49">
        <v>44164</v>
      </c>
      <c r="X961" s="49">
        <v>44164</v>
      </c>
      <c r="Y961" s="49">
        <v>44164</v>
      </c>
      <c r="AY961" s="49">
        <v>44164</v>
      </c>
      <c r="AZ961" s="49">
        <v>44164</v>
      </c>
      <c r="BA961" s="49">
        <v>44164</v>
      </c>
    </row>
    <row r="962" spans="23:53" ht="16.2" customHeight="1" x14ac:dyDescent="0.4">
      <c r="W962" s="49">
        <v>44170</v>
      </c>
      <c r="X962" s="49">
        <v>44170</v>
      </c>
      <c r="Y962" s="49">
        <v>44170</v>
      </c>
      <c r="AY962" s="49">
        <v>44170</v>
      </c>
      <c r="AZ962" s="49">
        <v>44170</v>
      </c>
      <c r="BA962" s="49">
        <v>44170</v>
      </c>
    </row>
    <row r="963" spans="23:53" ht="16.2" customHeight="1" x14ac:dyDescent="0.4">
      <c r="W963" s="49">
        <v>44171</v>
      </c>
      <c r="X963" s="49">
        <v>44171</v>
      </c>
      <c r="Y963" s="49">
        <v>44171</v>
      </c>
      <c r="AY963" s="49">
        <v>44171</v>
      </c>
      <c r="AZ963" s="49">
        <v>44171</v>
      </c>
      <c r="BA963" s="49">
        <v>44171</v>
      </c>
    </row>
    <row r="964" spans="23:53" ht="16.2" customHeight="1" x14ac:dyDescent="0.4">
      <c r="W964" s="49">
        <v>44177</v>
      </c>
      <c r="X964" s="49">
        <v>44177</v>
      </c>
      <c r="Y964" s="49">
        <v>44177</v>
      </c>
      <c r="AY964" s="49">
        <v>44177</v>
      </c>
      <c r="AZ964" s="49">
        <v>44177</v>
      </c>
      <c r="BA964" s="49">
        <v>44177</v>
      </c>
    </row>
    <row r="965" spans="23:53" ht="16.2" customHeight="1" x14ac:dyDescent="0.4">
      <c r="W965" s="49">
        <v>44178</v>
      </c>
      <c r="X965" s="49">
        <v>44178</v>
      </c>
      <c r="Y965" s="49">
        <v>44178</v>
      </c>
      <c r="AY965" s="49">
        <v>44178</v>
      </c>
      <c r="AZ965" s="49">
        <v>44178</v>
      </c>
      <c r="BA965" s="49">
        <v>44178</v>
      </c>
    </row>
    <row r="966" spans="23:53" ht="16.2" customHeight="1" x14ac:dyDescent="0.4">
      <c r="W966" s="49">
        <v>44184</v>
      </c>
      <c r="X966" s="49">
        <v>44184</v>
      </c>
      <c r="Y966" s="49">
        <v>44184</v>
      </c>
      <c r="AY966" s="49">
        <v>44184</v>
      </c>
      <c r="AZ966" s="49">
        <v>44184</v>
      </c>
      <c r="BA966" s="49">
        <v>44184</v>
      </c>
    </row>
    <row r="967" spans="23:53" ht="16.2" customHeight="1" x14ac:dyDescent="0.4">
      <c r="W967" s="49">
        <v>44185</v>
      </c>
      <c r="X967" s="49">
        <v>44185</v>
      </c>
      <c r="Y967" s="49">
        <v>44185</v>
      </c>
      <c r="AY967" s="49">
        <v>44185</v>
      </c>
      <c r="AZ967" s="49">
        <v>44185</v>
      </c>
      <c r="BA967" s="49">
        <v>44185</v>
      </c>
    </row>
    <row r="968" spans="23:53" ht="16.2" customHeight="1" x14ac:dyDescent="0.4">
      <c r="W968" s="49">
        <v>44190</v>
      </c>
      <c r="X968" s="49">
        <v>44190</v>
      </c>
      <c r="Y968" s="49">
        <v>44190</v>
      </c>
      <c r="AY968" s="49">
        <v>44190</v>
      </c>
      <c r="AZ968" s="49">
        <v>44190</v>
      </c>
      <c r="BA968" s="49">
        <v>44190</v>
      </c>
    </row>
    <row r="969" spans="23:53" ht="16.2" customHeight="1" x14ac:dyDescent="0.4">
      <c r="W969" s="49">
        <v>44191</v>
      </c>
      <c r="X969" s="49">
        <v>44191</v>
      </c>
      <c r="Y969" s="49">
        <v>44191</v>
      </c>
      <c r="AY969" s="49">
        <v>44191</v>
      </c>
      <c r="AZ969" s="49">
        <v>44191</v>
      </c>
      <c r="BA969" s="49">
        <v>44191</v>
      </c>
    </row>
    <row r="970" spans="23:53" ht="16.2" customHeight="1" x14ac:dyDescent="0.4">
      <c r="W970" s="49">
        <v>44192</v>
      </c>
      <c r="X970" s="49">
        <v>44192</v>
      </c>
      <c r="Y970" s="49">
        <v>44192</v>
      </c>
      <c r="AY970" s="49">
        <v>44192</v>
      </c>
      <c r="AZ970" s="49">
        <v>44192</v>
      </c>
      <c r="BA970" s="49">
        <v>44192</v>
      </c>
    </row>
    <row r="971" spans="23:53" ht="16.2" customHeight="1" x14ac:dyDescent="0.4">
      <c r="W971" s="49">
        <v>44197</v>
      </c>
      <c r="X971" s="49">
        <v>44197</v>
      </c>
      <c r="Y971" s="49">
        <v>44197</v>
      </c>
      <c r="AY971" s="49">
        <v>44197</v>
      </c>
      <c r="AZ971" s="49">
        <v>44197</v>
      </c>
      <c r="BA971" s="49">
        <v>44197</v>
      </c>
    </row>
    <row r="972" spans="23:53" ht="16.2" customHeight="1" x14ac:dyDescent="0.4">
      <c r="W972" s="49">
        <v>44198</v>
      </c>
      <c r="X972" s="49">
        <v>44198</v>
      </c>
      <c r="Y972" s="49">
        <v>44198</v>
      </c>
      <c r="AY972" s="49">
        <v>44198</v>
      </c>
      <c r="AZ972" s="49">
        <v>44198</v>
      </c>
      <c r="BA972" s="49">
        <v>44198</v>
      </c>
    </row>
    <row r="973" spans="23:53" ht="16.2" customHeight="1" x14ac:dyDescent="0.4">
      <c r="W973" s="49">
        <v>44199</v>
      </c>
      <c r="X973" s="49">
        <v>44199</v>
      </c>
      <c r="Y973" s="49">
        <v>44199</v>
      </c>
      <c r="AY973" s="49">
        <v>44199</v>
      </c>
      <c r="AZ973" s="49">
        <v>44199</v>
      </c>
      <c r="BA973" s="49">
        <v>44199</v>
      </c>
    </row>
    <row r="974" spans="23:53" ht="16.2" customHeight="1" x14ac:dyDescent="0.4">
      <c r="W974" s="49">
        <v>44205</v>
      </c>
      <c r="X974" s="49">
        <v>44205</v>
      </c>
      <c r="Y974" s="49">
        <v>44205</v>
      </c>
      <c r="AY974" s="49">
        <v>44205</v>
      </c>
      <c r="AZ974" s="49">
        <v>44205</v>
      </c>
      <c r="BA974" s="49">
        <v>44205</v>
      </c>
    </row>
    <row r="975" spans="23:53" ht="16.2" customHeight="1" x14ac:dyDescent="0.4">
      <c r="W975" s="49">
        <v>44206</v>
      </c>
      <c r="X975" s="49">
        <v>44206</v>
      </c>
      <c r="Y975" s="49">
        <v>44206</v>
      </c>
      <c r="AY975" s="49">
        <v>44206</v>
      </c>
      <c r="AZ975" s="49">
        <v>44206</v>
      </c>
      <c r="BA975" s="49">
        <v>44206</v>
      </c>
    </row>
    <row r="976" spans="23:53" ht="16.2" customHeight="1" x14ac:dyDescent="0.4">
      <c r="W976" s="49">
        <v>44212</v>
      </c>
      <c r="X976" s="49">
        <v>44212</v>
      </c>
      <c r="Y976" s="49">
        <v>44212</v>
      </c>
      <c r="AY976" s="49">
        <v>44212</v>
      </c>
      <c r="AZ976" s="49">
        <v>44212</v>
      </c>
      <c r="BA976" s="49">
        <v>44212</v>
      </c>
    </row>
    <row r="977" spans="23:53" ht="16.2" customHeight="1" x14ac:dyDescent="0.4">
      <c r="W977" s="49">
        <v>44213</v>
      </c>
      <c r="X977" s="49">
        <v>44213</v>
      </c>
      <c r="Y977" s="49">
        <v>44213</v>
      </c>
      <c r="AY977" s="49">
        <v>44213</v>
      </c>
      <c r="AZ977" s="49">
        <v>44213</v>
      </c>
      <c r="BA977" s="49">
        <v>44213</v>
      </c>
    </row>
    <row r="978" spans="23:53" ht="16.2" customHeight="1" x14ac:dyDescent="0.4">
      <c r="W978" s="49">
        <v>44219</v>
      </c>
      <c r="X978" s="49">
        <v>44219</v>
      </c>
      <c r="Y978" s="49">
        <v>44219</v>
      </c>
      <c r="AY978" s="49">
        <v>44219</v>
      </c>
      <c r="AZ978" s="49">
        <v>44219</v>
      </c>
      <c r="BA978" s="49">
        <v>44219</v>
      </c>
    </row>
    <row r="979" spans="23:53" ht="16.2" customHeight="1" x14ac:dyDescent="0.4">
      <c r="W979" s="49">
        <v>44220</v>
      </c>
      <c r="X979" s="49">
        <v>44220</v>
      </c>
      <c r="Y979" s="49">
        <v>44220</v>
      </c>
      <c r="AY979" s="49">
        <v>44220</v>
      </c>
      <c r="AZ979" s="49">
        <v>44220</v>
      </c>
      <c r="BA979" s="49">
        <v>44220</v>
      </c>
    </row>
    <row r="980" spans="23:53" ht="16.2" customHeight="1" x14ac:dyDescent="0.4">
      <c r="W980" s="49">
        <v>44226</v>
      </c>
      <c r="X980" s="49">
        <v>44226</v>
      </c>
      <c r="Y980" s="49">
        <v>44226</v>
      </c>
      <c r="AY980" s="49">
        <v>44226</v>
      </c>
      <c r="AZ980" s="49">
        <v>44226</v>
      </c>
      <c r="BA980" s="49">
        <v>44226</v>
      </c>
    </row>
    <row r="981" spans="23:53" ht="16.2" customHeight="1" x14ac:dyDescent="0.4">
      <c r="W981" s="49">
        <v>44227</v>
      </c>
      <c r="X981" s="49">
        <v>44227</v>
      </c>
      <c r="Y981" s="49">
        <v>44227</v>
      </c>
      <c r="AY981" s="49">
        <v>44227</v>
      </c>
      <c r="AZ981" s="49">
        <v>44227</v>
      </c>
      <c r="BA981" s="49">
        <v>44227</v>
      </c>
    </row>
    <row r="982" spans="23:53" ht="16.2" customHeight="1" x14ac:dyDescent="0.4">
      <c r="W982" s="49">
        <v>44233</v>
      </c>
      <c r="X982" s="49">
        <v>44233</v>
      </c>
      <c r="Y982" s="49">
        <v>44233</v>
      </c>
      <c r="AY982" s="49">
        <v>44233</v>
      </c>
      <c r="AZ982" s="49">
        <v>44233</v>
      </c>
      <c r="BA982" s="49">
        <v>44233</v>
      </c>
    </row>
    <row r="983" spans="23:53" ht="16.2" customHeight="1" x14ac:dyDescent="0.4">
      <c r="W983" s="49">
        <v>44234</v>
      </c>
      <c r="X983" s="49">
        <v>44234</v>
      </c>
      <c r="Y983" s="49">
        <v>44234</v>
      </c>
      <c r="AY983" s="49">
        <v>44234</v>
      </c>
      <c r="AZ983" s="49">
        <v>44234</v>
      </c>
      <c r="BA983" s="49">
        <v>44234</v>
      </c>
    </row>
    <row r="984" spans="23:53" ht="16.2" customHeight="1" x14ac:dyDescent="0.4">
      <c r="W984" s="49">
        <v>44238</v>
      </c>
      <c r="X984" s="49">
        <v>44238</v>
      </c>
      <c r="Y984" s="49">
        <v>44238</v>
      </c>
      <c r="AY984" s="49">
        <v>44238</v>
      </c>
      <c r="AZ984" s="49">
        <v>44238</v>
      </c>
      <c r="BA984" s="49">
        <v>44238</v>
      </c>
    </row>
    <row r="985" spans="23:53" ht="16.2" customHeight="1" x14ac:dyDescent="0.4">
      <c r="W985" s="49">
        <v>44239</v>
      </c>
      <c r="X985" s="49">
        <v>44239</v>
      </c>
      <c r="Y985" s="49">
        <v>44239</v>
      </c>
      <c r="AY985" s="49">
        <v>44239</v>
      </c>
      <c r="AZ985" s="49">
        <v>44239</v>
      </c>
      <c r="BA985" s="49">
        <v>44239</v>
      </c>
    </row>
    <row r="986" spans="23:53" ht="16.2" customHeight="1" x14ac:dyDescent="0.4">
      <c r="W986" s="49">
        <v>44241</v>
      </c>
      <c r="X986" s="49">
        <v>44241</v>
      </c>
      <c r="Y986" s="49">
        <v>44241</v>
      </c>
      <c r="AY986" s="49">
        <v>44241</v>
      </c>
      <c r="AZ986" s="49">
        <v>44241</v>
      </c>
      <c r="BA986" s="49">
        <v>44241</v>
      </c>
    </row>
    <row r="987" spans="23:53" ht="16.2" customHeight="1" x14ac:dyDescent="0.4">
      <c r="W987" s="49">
        <v>44247</v>
      </c>
      <c r="X987" s="49">
        <v>44247</v>
      </c>
      <c r="Y987" s="49">
        <v>44247</v>
      </c>
      <c r="AY987" s="49">
        <v>44247</v>
      </c>
      <c r="AZ987" s="49">
        <v>44247</v>
      </c>
      <c r="BA987" s="49">
        <v>44247</v>
      </c>
    </row>
    <row r="988" spans="23:53" ht="16.2" customHeight="1" x14ac:dyDescent="0.4">
      <c r="W988" s="49">
        <v>44248</v>
      </c>
      <c r="X988" s="49">
        <v>44248</v>
      </c>
      <c r="Y988" s="49">
        <v>44248</v>
      </c>
      <c r="AY988" s="49">
        <v>44248</v>
      </c>
      <c r="AZ988" s="49">
        <v>44248</v>
      </c>
      <c r="BA988" s="49">
        <v>44248</v>
      </c>
    </row>
    <row r="989" spans="23:53" ht="16.2" customHeight="1" x14ac:dyDescent="0.4">
      <c r="W989" s="49">
        <v>44254</v>
      </c>
      <c r="X989" s="49">
        <v>44254</v>
      </c>
      <c r="Y989" s="49">
        <v>44254</v>
      </c>
      <c r="AY989" s="49">
        <v>44254</v>
      </c>
      <c r="AZ989" s="49">
        <v>44254</v>
      </c>
      <c r="BA989" s="49">
        <v>44254</v>
      </c>
    </row>
    <row r="990" spans="23:53" ht="16.2" customHeight="1" x14ac:dyDescent="0.4">
      <c r="W990" s="49">
        <v>44255</v>
      </c>
      <c r="X990" s="49">
        <v>44255</v>
      </c>
      <c r="Y990" s="49">
        <v>44255</v>
      </c>
      <c r="AY990" s="49">
        <v>44255</v>
      </c>
      <c r="AZ990" s="49">
        <v>44255</v>
      </c>
      <c r="BA990" s="49">
        <v>44255</v>
      </c>
    </row>
    <row r="991" spans="23:53" ht="16.2" customHeight="1" x14ac:dyDescent="0.4">
      <c r="W991" s="49">
        <v>44256</v>
      </c>
      <c r="X991" s="49">
        <v>44256</v>
      </c>
      <c r="Y991" s="49">
        <v>44256</v>
      </c>
      <c r="AY991" s="49">
        <v>44256</v>
      </c>
      <c r="AZ991" s="49">
        <v>44256</v>
      </c>
      <c r="BA991" s="49">
        <v>44256</v>
      </c>
    </row>
    <row r="992" spans="23:53" ht="16.2" customHeight="1" x14ac:dyDescent="0.4">
      <c r="W992" s="49">
        <v>44261</v>
      </c>
      <c r="X992" s="49">
        <v>44261</v>
      </c>
      <c r="Y992" s="49">
        <v>44261</v>
      </c>
      <c r="AY992" s="49">
        <v>44261</v>
      </c>
      <c r="AZ992" s="49">
        <v>44261</v>
      </c>
      <c r="BA992" s="49">
        <v>44261</v>
      </c>
    </row>
    <row r="993" spans="23:53" ht="16.2" customHeight="1" x14ac:dyDescent="0.4">
      <c r="W993" s="49">
        <v>44262</v>
      </c>
      <c r="X993" s="49">
        <v>44262</v>
      </c>
      <c r="Y993" s="49">
        <v>44262</v>
      </c>
      <c r="AY993" s="49">
        <v>44262</v>
      </c>
      <c r="AZ993" s="49">
        <v>44262</v>
      </c>
      <c r="BA993" s="49">
        <v>44262</v>
      </c>
    </row>
    <row r="994" spans="23:53" ht="16.2" customHeight="1" x14ac:dyDescent="0.4">
      <c r="W994" s="49">
        <v>44268</v>
      </c>
      <c r="X994" s="49">
        <v>44268</v>
      </c>
      <c r="Y994" s="49">
        <v>44268</v>
      </c>
      <c r="AY994" s="49">
        <v>44268</v>
      </c>
      <c r="AZ994" s="49">
        <v>44268</v>
      </c>
      <c r="BA994" s="49">
        <v>44268</v>
      </c>
    </row>
    <row r="995" spans="23:53" ht="16.2" customHeight="1" x14ac:dyDescent="0.4">
      <c r="W995" s="49">
        <v>44269</v>
      </c>
      <c r="X995" s="49">
        <v>44269</v>
      </c>
      <c r="Y995" s="49">
        <v>44269</v>
      </c>
      <c r="AY995" s="49">
        <v>44269</v>
      </c>
      <c r="AZ995" s="49">
        <v>44269</v>
      </c>
      <c r="BA995" s="49">
        <v>44269</v>
      </c>
    </row>
    <row r="996" spans="23:53" ht="16.2" customHeight="1" x14ac:dyDescent="0.4">
      <c r="W996" s="49">
        <v>44275</v>
      </c>
      <c r="X996" s="49">
        <v>44275</v>
      </c>
      <c r="Y996" s="49">
        <v>44275</v>
      </c>
      <c r="AY996" s="49">
        <v>44275</v>
      </c>
      <c r="AZ996" s="49">
        <v>44275</v>
      </c>
      <c r="BA996" s="49">
        <v>44275</v>
      </c>
    </row>
    <row r="997" spans="23:53" ht="16.2" customHeight="1" x14ac:dyDescent="0.4">
      <c r="W997" s="49">
        <v>44276</v>
      </c>
      <c r="X997" s="49">
        <v>44276</v>
      </c>
      <c r="Y997" s="49">
        <v>44276</v>
      </c>
      <c r="AY997" s="49">
        <v>44276</v>
      </c>
      <c r="AZ997" s="49">
        <v>44276</v>
      </c>
      <c r="BA997" s="49">
        <v>44276</v>
      </c>
    </row>
    <row r="998" spans="23:53" ht="16.2" customHeight="1" x14ac:dyDescent="0.4">
      <c r="W998" s="49">
        <v>44282</v>
      </c>
      <c r="X998" s="49">
        <v>44282</v>
      </c>
      <c r="Y998" s="49">
        <v>44282</v>
      </c>
      <c r="AY998" s="49">
        <v>44282</v>
      </c>
      <c r="AZ998" s="49">
        <v>44282</v>
      </c>
      <c r="BA998" s="49">
        <v>44282</v>
      </c>
    </row>
    <row r="999" spans="23:53" ht="16.2" customHeight="1" x14ac:dyDescent="0.4">
      <c r="W999" s="49">
        <v>44283</v>
      </c>
      <c r="X999" s="49">
        <v>44283</v>
      </c>
      <c r="Y999" s="49">
        <v>44283</v>
      </c>
      <c r="AY999" s="49">
        <v>44283</v>
      </c>
      <c r="AZ999" s="49">
        <v>44283</v>
      </c>
      <c r="BA999" s="49">
        <v>44283</v>
      </c>
    </row>
    <row r="1000" spans="23:53" ht="16.2" customHeight="1" x14ac:dyDescent="0.4">
      <c r="W1000" s="49">
        <v>44289</v>
      </c>
      <c r="X1000" s="49">
        <v>44289</v>
      </c>
      <c r="Y1000" s="49">
        <v>44289</v>
      </c>
      <c r="AY1000" s="49">
        <v>44289</v>
      </c>
      <c r="AZ1000" s="49">
        <v>44289</v>
      </c>
      <c r="BA1000" s="49">
        <v>44289</v>
      </c>
    </row>
    <row r="1001" spans="23:53" ht="16.2" customHeight="1" x14ac:dyDescent="0.4">
      <c r="W1001" s="49">
        <v>44290</v>
      </c>
      <c r="X1001" s="49">
        <v>44290</v>
      </c>
      <c r="Y1001" s="49">
        <v>44290</v>
      </c>
      <c r="AY1001" s="49">
        <v>44290</v>
      </c>
      <c r="AZ1001" s="49">
        <v>44290</v>
      </c>
      <c r="BA1001" s="49">
        <v>44290</v>
      </c>
    </row>
    <row r="1002" spans="23:53" ht="16.2" customHeight="1" x14ac:dyDescent="0.4">
      <c r="W1002" s="49">
        <v>44296</v>
      </c>
      <c r="X1002" s="49">
        <v>44296</v>
      </c>
      <c r="Y1002" s="49">
        <v>44296</v>
      </c>
      <c r="AY1002" s="49">
        <v>44296</v>
      </c>
      <c r="AZ1002" s="49">
        <v>44296</v>
      </c>
      <c r="BA1002" s="49">
        <v>44296</v>
      </c>
    </row>
    <row r="1003" spans="23:53" ht="16.2" customHeight="1" x14ac:dyDescent="0.4">
      <c r="W1003" s="49">
        <v>44297</v>
      </c>
      <c r="X1003" s="49">
        <v>44297</v>
      </c>
      <c r="Y1003" s="49">
        <v>44297</v>
      </c>
      <c r="AY1003" s="49">
        <v>44297</v>
      </c>
      <c r="AZ1003" s="49">
        <v>44297</v>
      </c>
      <c r="BA1003" s="49">
        <v>44297</v>
      </c>
    </row>
    <row r="1004" spans="23:53" ht="16.2" customHeight="1" x14ac:dyDescent="0.4">
      <c r="W1004" s="49">
        <v>44303</v>
      </c>
      <c r="X1004" s="49">
        <v>44303</v>
      </c>
      <c r="Y1004" s="49">
        <v>44303</v>
      </c>
      <c r="AY1004" s="49">
        <v>44303</v>
      </c>
      <c r="AZ1004" s="49">
        <v>44303</v>
      </c>
      <c r="BA1004" s="49">
        <v>44303</v>
      </c>
    </row>
    <row r="1005" spans="23:53" ht="16.2" customHeight="1" x14ac:dyDescent="0.4">
      <c r="W1005" s="49">
        <v>44304</v>
      </c>
      <c r="X1005" s="49">
        <v>44304</v>
      </c>
      <c r="Y1005" s="49">
        <v>44304</v>
      </c>
      <c r="AY1005" s="49">
        <v>44304</v>
      </c>
      <c r="AZ1005" s="49">
        <v>44304</v>
      </c>
      <c r="BA1005" s="49">
        <v>44304</v>
      </c>
    </row>
    <row r="1006" spans="23:53" ht="16.2" customHeight="1" x14ac:dyDescent="0.4">
      <c r="W1006" s="49">
        <v>44310</v>
      </c>
      <c r="X1006" s="49">
        <v>44310</v>
      </c>
      <c r="Y1006" s="49">
        <v>44310</v>
      </c>
      <c r="AY1006" s="49">
        <v>44310</v>
      </c>
      <c r="AZ1006" s="49">
        <v>44310</v>
      </c>
      <c r="BA1006" s="49">
        <v>44310</v>
      </c>
    </row>
    <row r="1007" spans="23:53" ht="16.2" customHeight="1" x14ac:dyDescent="0.4">
      <c r="W1007" s="49">
        <v>44311</v>
      </c>
      <c r="X1007" s="49">
        <v>44311</v>
      </c>
      <c r="Y1007" s="49">
        <v>44311</v>
      </c>
      <c r="AY1007" s="49">
        <v>44311</v>
      </c>
      <c r="AZ1007" s="49">
        <v>44311</v>
      </c>
      <c r="BA1007" s="49">
        <v>44311</v>
      </c>
    </row>
    <row r="1008" spans="23:53" ht="16.2" customHeight="1" x14ac:dyDescent="0.4">
      <c r="W1008" s="49">
        <v>44318</v>
      </c>
      <c r="X1008" s="49">
        <v>44318</v>
      </c>
      <c r="Y1008" s="49">
        <v>44318</v>
      </c>
      <c r="AY1008" s="49">
        <v>44318</v>
      </c>
      <c r="AZ1008" s="49">
        <v>44318</v>
      </c>
      <c r="BA1008" s="49">
        <v>44318</v>
      </c>
    </row>
    <row r="1009" spans="23:53" ht="16.2" customHeight="1" x14ac:dyDescent="0.4">
      <c r="W1009" s="49">
        <v>44321</v>
      </c>
      <c r="X1009" s="49">
        <v>44321</v>
      </c>
      <c r="Y1009" s="49">
        <v>44321</v>
      </c>
      <c r="AY1009" s="49">
        <v>44321</v>
      </c>
      <c r="AZ1009" s="49">
        <v>44321</v>
      </c>
      <c r="BA1009" s="49">
        <v>44321</v>
      </c>
    </row>
    <row r="1010" spans="23:53" ht="16.2" customHeight="1" x14ac:dyDescent="0.4">
      <c r="W1010" s="49">
        <v>44324</v>
      </c>
      <c r="X1010" s="49">
        <v>44324</v>
      </c>
      <c r="Y1010" s="49">
        <v>44324</v>
      </c>
      <c r="AY1010" s="49">
        <v>44324</v>
      </c>
      <c r="AZ1010" s="49">
        <v>44324</v>
      </c>
      <c r="BA1010" s="49">
        <v>44324</v>
      </c>
    </row>
    <row r="1011" spans="23:53" ht="16.2" customHeight="1" x14ac:dyDescent="0.4">
      <c r="W1011" s="49">
        <v>44325</v>
      </c>
      <c r="X1011" s="49">
        <v>44325</v>
      </c>
      <c r="Y1011" s="49">
        <v>44325</v>
      </c>
      <c r="AY1011" s="49">
        <v>44325</v>
      </c>
      <c r="AZ1011" s="49">
        <v>44325</v>
      </c>
      <c r="BA1011" s="49">
        <v>44325</v>
      </c>
    </row>
    <row r="1012" spans="23:53" ht="16.2" customHeight="1" x14ac:dyDescent="0.4">
      <c r="W1012" s="49">
        <v>44331</v>
      </c>
      <c r="X1012" s="49">
        <v>44331</v>
      </c>
      <c r="Y1012" s="49">
        <v>44331</v>
      </c>
      <c r="AY1012" s="49">
        <v>44331</v>
      </c>
      <c r="AZ1012" s="49">
        <v>44331</v>
      </c>
      <c r="BA1012" s="49">
        <v>44331</v>
      </c>
    </row>
    <row r="1013" spans="23:53" ht="16.2" customHeight="1" x14ac:dyDescent="0.4">
      <c r="W1013" s="49">
        <v>44332</v>
      </c>
      <c r="X1013" s="49">
        <v>44332</v>
      </c>
      <c r="Y1013" s="49">
        <v>44332</v>
      </c>
      <c r="AY1013" s="49">
        <v>44332</v>
      </c>
      <c r="AZ1013" s="49">
        <v>44332</v>
      </c>
      <c r="BA1013" s="49">
        <v>44332</v>
      </c>
    </row>
    <row r="1014" spans="23:53" ht="16.2" customHeight="1" x14ac:dyDescent="0.4">
      <c r="W1014" s="49">
        <v>44335</v>
      </c>
      <c r="X1014" s="49">
        <v>44335</v>
      </c>
      <c r="Y1014" s="49">
        <v>44335</v>
      </c>
      <c r="AY1014" s="49">
        <v>44335</v>
      </c>
      <c r="AZ1014" s="49">
        <v>44335</v>
      </c>
      <c r="BA1014" s="49">
        <v>44335</v>
      </c>
    </row>
    <row r="1015" spans="23:53" ht="16.2" customHeight="1" x14ac:dyDescent="0.4">
      <c r="W1015" s="49">
        <v>44338</v>
      </c>
      <c r="X1015" s="49">
        <v>44338</v>
      </c>
      <c r="Y1015" s="49">
        <v>44338</v>
      </c>
      <c r="AY1015" s="49">
        <v>44338</v>
      </c>
      <c r="AZ1015" s="49">
        <v>44338</v>
      </c>
      <c r="BA1015" s="49">
        <v>44338</v>
      </c>
    </row>
    <row r="1016" spans="23:53" ht="16.2" customHeight="1" x14ac:dyDescent="0.4">
      <c r="W1016" s="49">
        <v>44339</v>
      </c>
      <c r="X1016" s="49">
        <v>44339</v>
      </c>
      <c r="Y1016" s="49">
        <v>44339</v>
      </c>
      <c r="AY1016" s="49">
        <v>44339</v>
      </c>
      <c r="AZ1016" s="49">
        <v>44339</v>
      </c>
      <c r="BA1016" s="49">
        <v>44339</v>
      </c>
    </row>
    <row r="1017" spans="23:53" ht="16.2" customHeight="1" x14ac:dyDescent="0.4">
      <c r="W1017" s="49">
        <v>44345</v>
      </c>
      <c r="X1017" s="49">
        <v>44345</v>
      </c>
      <c r="Y1017" s="49">
        <v>44345</v>
      </c>
      <c r="AY1017" s="49">
        <v>44345</v>
      </c>
      <c r="AZ1017" s="49">
        <v>44345</v>
      </c>
      <c r="BA1017" s="49">
        <v>44345</v>
      </c>
    </row>
    <row r="1018" spans="23:53" ht="16.2" customHeight="1" x14ac:dyDescent="0.4">
      <c r="W1018" s="49">
        <v>44346</v>
      </c>
      <c r="X1018" s="49">
        <v>44346</v>
      </c>
      <c r="Y1018" s="49">
        <v>44346</v>
      </c>
      <c r="AY1018" s="49">
        <v>44346</v>
      </c>
      <c r="AZ1018" s="49">
        <v>44346</v>
      </c>
      <c r="BA1018" s="49">
        <v>44346</v>
      </c>
    </row>
    <row r="1019" spans="23:53" ht="16.2" customHeight="1" x14ac:dyDescent="0.4">
      <c r="W1019" s="49">
        <v>44352</v>
      </c>
      <c r="X1019" s="49">
        <v>44352</v>
      </c>
      <c r="Y1019" s="49">
        <v>44352</v>
      </c>
      <c r="AY1019" s="49">
        <v>44352</v>
      </c>
      <c r="AZ1019" s="49">
        <v>44352</v>
      </c>
      <c r="BA1019" s="49">
        <v>44352</v>
      </c>
    </row>
    <row r="1020" spans="23:53" ht="16.2" customHeight="1" x14ac:dyDescent="0.4">
      <c r="W1020" s="49">
        <v>44353</v>
      </c>
      <c r="X1020" s="49">
        <v>44353</v>
      </c>
      <c r="Y1020" s="49">
        <v>44353</v>
      </c>
      <c r="AY1020" s="49">
        <v>44353</v>
      </c>
      <c r="AZ1020" s="49">
        <v>44353</v>
      </c>
      <c r="BA1020" s="49">
        <v>44353</v>
      </c>
    </row>
    <row r="1021" spans="23:53" ht="16.2" customHeight="1" x14ac:dyDescent="0.4">
      <c r="W1021" s="49">
        <v>44359</v>
      </c>
      <c r="X1021" s="49">
        <v>44359</v>
      </c>
      <c r="Y1021" s="49">
        <v>44359</v>
      </c>
      <c r="AY1021" s="49">
        <v>44359</v>
      </c>
      <c r="AZ1021" s="49">
        <v>44359</v>
      </c>
      <c r="BA1021" s="49">
        <v>44359</v>
      </c>
    </row>
    <row r="1022" spans="23:53" ht="16.2" customHeight="1" x14ac:dyDescent="0.4">
      <c r="W1022" s="49">
        <v>44360</v>
      </c>
      <c r="X1022" s="49">
        <v>44360</v>
      </c>
      <c r="Y1022" s="49">
        <v>44360</v>
      </c>
      <c r="AY1022" s="49">
        <v>44360</v>
      </c>
      <c r="AZ1022" s="49">
        <v>44360</v>
      </c>
      <c r="BA1022" s="49">
        <v>44360</v>
      </c>
    </row>
    <row r="1023" spans="23:53" ht="16.2" customHeight="1" x14ac:dyDescent="0.4">
      <c r="W1023" s="49">
        <v>44366</v>
      </c>
      <c r="X1023" s="49">
        <v>44366</v>
      </c>
      <c r="Y1023" s="49">
        <v>44366</v>
      </c>
      <c r="AY1023" s="49">
        <v>44366</v>
      </c>
      <c r="AZ1023" s="49">
        <v>44366</v>
      </c>
      <c r="BA1023" s="49">
        <v>44366</v>
      </c>
    </row>
    <row r="1024" spans="23:53" ht="16.2" customHeight="1" x14ac:dyDescent="0.4">
      <c r="W1024" s="49">
        <v>44367</v>
      </c>
      <c r="X1024" s="49">
        <v>44367</v>
      </c>
      <c r="Y1024" s="49">
        <v>44367</v>
      </c>
      <c r="AY1024" s="49">
        <v>44367</v>
      </c>
      <c r="AZ1024" s="49">
        <v>44367</v>
      </c>
      <c r="BA1024" s="49">
        <v>44367</v>
      </c>
    </row>
    <row r="1025" spans="23:53" ht="16.2" customHeight="1" x14ac:dyDescent="0.4">
      <c r="W1025" s="49">
        <v>44373</v>
      </c>
      <c r="X1025" s="49">
        <v>44373</v>
      </c>
      <c r="Y1025" s="49">
        <v>44373</v>
      </c>
      <c r="AY1025" s="49">
        <v>44373</v>
      </c>
      <c r="AZ1025" s="49">
        <v>44373</v>
      </c>
      <c r="BA1025" s="49">
        <v>44373</v>
      </c>
    </row>
    <row r="1026" spans="23:53" ht="16.2" customHeight="1" x14ac:dyDescent="0.4">
      <c r="W1026" s="49">
        <v>44374</v>
      </c>
      <c r="X1026" s="49">
        <v>44374</v>
      </c>
      <c r="Y1026" s="49">
        <v>44374</v>
      </c>
      <c r="AY1026" s="49">
        <v>44374</v>
      </c>
      <c r="AZ1026" s="49">
        <v>44374</v>
      </c>
      <c r="BA1026" s="49">
        <v>44374</v>
      </c>
    </row>
    <row r="1027" spans="23:53" ht="16.2" customHeight="1" x14ac:dyDescent="0.4">
      <c r="W1027" s="49">
        <v>44380</v>
      </c>
      <c r="X1027" s="49">
        <v>44380</v>
      </c>
      <c r="Y1027" s="49">
        <v>44380</v>
      </c>
      <c r="AY1027" s="49">
        <v>44380</v>
      </c>
      <c r="AZ1027" s="49">
        <v>44380</v>
      </c>
      <c r="BA1027" s="49">
        <v>44380</v>
      </c>
    </row>
    <row r="1028" spans="23:53" ht="16.2" customHeight="1" x14ac:dyDescent="0.4">
      <c r="W1028" s="49">
        <v>44381</v>
      </c>
      <c r="X1028" s="49">
        <v>44381</v>
      </c>
      <c r="Y1028" s="49">
        <v>44381</v>
      </c>
      <c r="AY1028" s="49">
        <v>44381</v>
      </c>
      <c r="AZ1028" s="49">
        <v>44381</v>
      </c>
      <c r="BA1028" s="49">
        <v>44381</v>
      </c>
    </row>
    <row r="1029" spans="23:53" ht="16.2" customHeight="1" x14ac:dyDescent="0.4">
      <c r="W1029" s="49">
        <v>44387</v>
      </c>
      <c r="X1029" s="49">
        <v>44387</v>
      </c>
      <c r="Y1029" s="49">
        <v>44387</v>
      </c>
      <c r="AY1029" s="49">
        <v>44387</v>
      </c>
      <c r="AZ1029" s="49">
        <v>44387</v>
      </c>
      <c r="BA1029" s="49">
        <v>44387</v>
      </c>
    </row>
    <row r="1030" spans="23:53" ht="16.2" customHeight="1" x14ac:dyDescent="0.4">
      <c r="W1030" s="49">
        <v>44388</v>
      </c>
      <c r="X1030" s="49">
        <v>44388</v>
      </c>
      <c r="Y1030" s="49">
        <v>44388</v>
      </c>
      <c r="AY1030" s="49">
        <v>44388</v>
      </c>
      <c r="AZ1030" s="49">
        <v>44388</v>
      </c>
      <c r="BA1030" s="49">
        <v>44388</v>
      </c>
    </row>
    <row r="1031" spans="23:53" ht="16.2" customHeight="1" x14ac:dyDescent="0.4">
      <c r="W1031" s="49">
        <v>44394</v>
      </c>
      <c r="X1031" s="49">
        <v>44394</v>
      </c>
      <c r="Y1031" s="49">
        <v>44394</v>
      </c>
      <c r="AY1031" s="49">
        <v>44394</v>
      </c>
      <c r="AZ1031" s="49">
        <v>44394</v>
      </c>
      <c r="BA1031" s="49">
        <v>44394</v>
      </c>
    </row>
    <row r="1032" spans="23:53" ht="16.2" customHeight="1" x14ac:dyDescent="0.4">
      <c r="W1032" s="49">
        <v>44395</v>
      </c>
      <c r="X1032" s="49">
        <v>44395</v>
      </c>
      <c r="Y1032" s="49">
        <v>44395</v>
      </c>
      <c r="AY1032" s="49">
        <v>44395</v>
      </c>
      <c r="AZ1032" s="49">
        <v>44395</v>
      </c>
      <c r="BA1032" s="49">
        <v>44395</v>
      </c>
    </row>
    <row r="1033" spans="23:53" ht="16.2" customHeight="1" x14ac:dyDescent="0.4">
      <c r="W1033" s="49">
        <v>44401</v>
      </c>
      <c r="X1033" s="49">
        <v>44401</v>
      </c>
      <c r="Y1033" s="49">
        <v>44401</v>
      </c>
      <c r="AY1033" s="49">
        <v>44401</v>
      </c>
      <c r="AZ1033" s="49">
        <v>44401</v>
      </c>
      <c r="BA1033" s="49">
        <v>44401</v>
      </c>
    </row>
    <row r="1034" spans="23:53" ht="16.2" customHeight="1" x14ac:dyDescent="0.4">
      <c r="W1034" s="49">
        <v>44402</v>
      </c>
      <c r="X1034" s="49">
        <v>44402</v>
      </c>
      <c r="Y1034" s="49">
        <v>44402</v>
      </c>
      <c r="AY1034" s="49">
        <v>44402</v>
      </c>
      <c r="AZ1034" s="49">
        <v>44402</v>
      </c>
      <c r="BA1034" s="49">
        <v>44402</v>
      </c>
    </row>
    <row r="1035" spans="23:53" ht="16.2" customHeight="1" x14ac:dyDescent="0.4">
      <c r="W1035" s="49">
        <v>44408</v>
      </c>
      <c r="X1035" s="49">
        <v>44408</v>
      </c>
      <c r="Y1035" s="49">
        <v>44408</v>
      </c>
      <c r="AY1035" s="49">
        <v>44408</v>
      </c>
      <c r="AZ1035" s="49">
        <v>44408</v>
      </c>
      <c r="BA1035" s="49">
        <v>44408</v>
      </c>
    </row>
    <row r="1036" spans="23:53" ht="16.2" customHeight="1" x14ac:dyDescent="0.4">
      <c r="W1036" s="49">
        <v>44409</v>
      </c>
      <c r="X1036" s="49">
        <v>44409</v>
      </c>
      <c r="Y1036" s="49">
        <v>44409</v>
      </c>
      <c r="AY1036" s="49">
        <v>44409</v>
      </c>
      <c r="AZ1036" s="49">
        <v>44409</v>
      </c>
      <c r="BA1036" s="49">
        <v>44409</v>
      </c>
    </row>
    <row r="1037" spans="23:53" ht="16.2" customHeight="1" x14ac:dyDescent="0.4">
      <c r="W1037" s="49">
        <v>44415</v>
      </c>
      <c r="X1037" s="49">
        <v>44415</v>
      </c>
      <c r="Y1037" s="49">
        <v>44415</v>
      </c>
      <c r="AY1037" s="49">
        <v>44415</v>
      </c>
      <c r="AZ1037" s="49">
        <v>44415</v>
      </c>
      <c r="BA1037" s="49">
        <v>44415</v>
      </c>
    </row>
    <row r="1038" spans="23:53" ht="16.2" customHeight="1" x14ac:dyDescent="0.4">
      <c r="W1038" s="49">
        <v>44416</v>
      </c>
      <c r="X1038" s="49">
        <v>44416</v>
      </c>
      <c r="Y1038" s="49">
        <v>44416</v>
      </c>
      <c r="AY1038" s="49">
        <v>44416</v>
      </c>
      <c r="AZ1038" s="49">
        <v>44416</v>
      </c>
      <c r="BA1038" s="49">
        <v>44416</v>
      </c>
    </row>
    <row r="1039" spans="23:53" ht="16.2" customHeight="1" x14ac:dyDescent="0.4">
      <c r="W1039" s="49">
        <v>44422</v>
      </c>
      <c r="X1039" s="49">
        <v>44422</v>
      </c>
      <c r="Y1039" s="49">
        <v>44422</v>
      </c>
      <c r="AY1039" s="49">
        <v>44422</v>
      </c>
      <c r="AZ1039" s="49">
        <v>44422</v>
      </c>
      <c r="BA1039" s="49">
        <v>44422</v>
      </c>
    </row>
    <row r="1040" spans="23:53" ht="16.2" customHeight="1" x14ac:dyDescent="0.4">
      <c r="W1040" s="49">
        <v>44423</v>
      </c>
      <c r="X1040" s="49">
        <v>44423</v>
      </c>
      <c r="Y1040" s="49">
        <v>44423</v>
      </c>
      <c r="AY1040" s="49">
        <v>44423</v>
      </c>
      <c r="AZ1040" s="49">
        <v>44423</v>
      </c>
      <c r="BA1040" s="49">
        <v>44423</v>
      </c>
    </row>
    <row r="1041" spans="23:53" ht="16.2" customHeight="1" x14ac:dyDescent="0.4">
      <c r="W1041" s="49">
        <v>44429</v>
      </c>
      <c r="X1041" s="49">
        <v>44429</v>
      </c>
      <c r="Y1041" s="49">
        <v>44429</v>
      </c>
      <c r="AY1041" s="49">
        <v>44429</v>
      </c>
      <c r="AZ1041" s="49">
        <v>44429</v>
      </c>
      <c r="BA1041" s="49">
        <v>44429</v>
      </c>
    </row>
    <row r="1042" spans="23:53" ht="16.2" customHeight="1" x14ac:dyDescent="0.4">
      <c r="W1042" s="49">
        <v>44430</v>
      </c>
      <c r="X1042" s="49">
        <v>44430</v>
      </c>
      <c r="Y1042" s="49">
        <v>44430</v>
      </c>
      <c r="AY1042" s="49">
        <v>44430</v>
      </c>
      <c r="AZ1042" s="49">
        <v>44430</v>
      </c>
      <c r="BA1042" s="49">
        <v>44430</v>
      </c>
    </row>
    <row r="1043" spans="23:53" ht="16.2" customHeight="1" x14ac:dyDescent="0.4">
      <c r="W1043" s="49">
        <v>44436</v>
      </c>
      <c r="X1043" s="49">
        <v>44436</v>
      </c>
      <c r="Y1043" s="49">
        <v>44436</v>
      </c>
      <c r="AY1043" s="49">
        <v>44436</v>
      </c>
      <c r="AZ1043" s="49">
        <v>44436</v>
      </c>
      <c r="BA1043" s="49">
        <v>44436</v>
      </c>
    </row>
    <row r="1044" spans="23:53" ht="16.2" customHeight="1" x14ac:dyDescent="0.4">
      <c r="W1044" s="49">
        <v>44437</v>
      </c>
      <c r="X1044" s="49">
        <v>44437</v>
      </c>
      <c r="Y1044" s="49">
        <v>44437</v>
      </c>
      <c r="AY1044" s="49">
        <v>44437</v>
      </c>
      <c r="AZ1044" s="49">
        <v>44437</v>
      </c>
      <c r="BA1044" s="49">
        <v>44437</v>
      </c>
    </row>
    <row r="1045" spans="23:53" ht="16.2" customHeight="1" x14ac:dyDescent="0.4">
      <c r="W1045" s="49">
        <v>44443</v>
      </c>
      <c r="X1045" s="49">
        <v>44443</v>
      </c>
      <c r="Y1045" s="49">
        <v>44443</v>
      </c>
      <c r="AY1045" s="49">
        <v>44443</v>
      </c>
      <c r="AZ1045" s="49">
        <v>44443</v>
      </c>
      <c r="BA1045" s="49">
        <v>44443</v>
      </c>
    </row>
    <row r="1046" spans="23:53" ht="16.2" customHeight="1" x14ac:dyDescent="0.4">
      <c r="W1046" s="49">
        <v>44444</v>
      </c>
      <c r="X1046" s="49">
        <v>44444</v>
      </c>
      <c r="Y1046" s="49">
        <v>44444</v>
      </c>
      <c r="AY1046" s="49">
        <v>44444</v>
      </c>
      <c r="AZ1046" s="49">
        <v>44444</v>
      </c>
      <c r="BA1046" s="49">
        <v>44444</v>
      </c>
    </row>
    <row r="1047" spans="23:53" ht="16.2" customHeight="1" x14ac:dyDescent="0.4">
      <c r="W1047" s="49">
        <v>44450</v>
      </c>
      <c r="X1047" s="49">
        <v>44450</v>
      </c>
      <c r="Y1047" s="49">
        <v>44450</v>
      </c>
      <c r="AY1047" s="49">
        <v>44450</v>
      </c>
      <c r="AZ1047" s="49">
        <v>44450</v>
      </c>
      <c r="BA1047" s="49">
        <v>44450</v>
      </c>
    </row>
    <row r="1048" spans="23:53" ht="16.2" customHeight="1" x14ac:dyDescent="0.4">
      <c r="W1048" s="49">
        <v>44451</v>
      </c>
      <c r="X1048" s="49">
        <v>44451</v>
      </c>
      <c r="Y1048" s="49">
        <v>44451</v>
      </c>
      <c r="AY1048" s="49">
        <v>44451</v>
      </c>
      <c r="AZ1048" s="49">
        <v>44451</v>
      </c>
      <c r="BA1048" s="49">
        <v>44451</v>
      </c>
    </row>
    <row r="1049" spans="23:53" ht="16.2" customHeight="1" x14ac:dyDescent="0.4">
      <c r="W1049" s="49">
        <v>44457</v>
      </c>
      <c r="X1049" s="49">
        <v>44457</v>
      </c>
      <c r="Y1049" s="49">
        <v>44457</v>
      </c>
      <c r="AY1049" s="49">
        <v>44457</v>
      </c>
      <c r="AZ1049" s="49">
        <v>44457</v>
      </c>
      <c r="BA1049" s="49">
        <v>44457</v>
      </c>
    </row>
    <row r="1050" spans="23:53" ht="16.2" customHeight="1" x14ac:dyDescent="0.4">
      <c r="W1050" s="49">
        <v>44458</v>
      </c>
      <c r="X1050" s="49">
        <v>44458</v>
      </c>
      <c r="Y1050" s="49">
        <v>44458</v>
      </c>
      <c r="AY1050" s="49">
        <v>44458</v>
      </c>
      <c r="AZ1050" s="49">
        <v>44458</v>
      </c>
      <c r="BA1050" s="49">
        <v>44458</v>
      </c>
    </row>
    <row r="1051" spans="23:53" ht="16.2" customHeight="1" x14ac:dyDescent="0.4">
      <c r="W1051" s="49">
        <v>44459</v>
      </c>
      <c r="X1051" s="49">
        <v>44459</v>
      </c>
      <c r="Y1051" s="49">
        <v>44459</v>
      </c>
      <c r="AY1051" s="49">
        <v>44459</v>
      </c>
      <c r="AZ1051" s="49">
        <v>44459</v>
      </c>
      <c r="BA1051" s="49">
        <v>44459</v>
      </c>
    </row>
    <row r="1052" spans="23:53" ht="16.2" customHeight="1" x14ac:dyDescent="0.4">
      <c r="W1052" s="49">
        <v>44460</v>
      </c>
      <c r="X1052" s="49">
        <v>44460</v>
      </c>
      <c r="Y1052" s="49">
        <v>44460</v>
      </c>
      <c r="AY1052" s="49">
        <v>44460</v>
      </c>
      <c r="AZ1052" s="49">
        <v>44460</v>
      </c>
      <c r="BA1052" s="49">
        <v>44460</v>
      </c>
    </row>
    <row r="1053" spans="23:53" ht="16.2" customHeight="1" x14ac:dyDescent="0.4">
      <c r="W1053" s="49">
        <v>44461</v>
      </c>
      <c r="X1053" s="49">
        <v>44461</v>
      </c>
      <c r="Y1053" s="49">
        <v>44461</v>
      </c>
      <c r="AY1053" s="49">
        <v>44461</v>
      </c>
      <c r="AZ1053" s="49">
        <v>44461</v>
      </c>
      <c r="BA1053" s="49">
        <v>44461</v>
      </c>
    </row>
    <row r="1054" spans="23:53" ht="16.2" customHeight="1" x14ac:dyDescent="0.4">
      <c r="W1054" s="49">
        <v>44464</v>
      </c>
      <c r="X1054" s="49">
        <v>44464</v>
      </c>
      <c r="Y1054" s="49">
        <v>44464</v>
      </c>
      <c r="AY1054" s="49">
        <v>44464</v>
      </c>
      <c r="AZ1054" s="49">
        <v>44464</v>
      </c>
      <c r="BA1054" s="49">
        <v>44464</v>
      </c>
    </row>
    <row r="1055" spans="23:53" ht="16.2" customHeight="1" x14ac:dyDescent="0.4">
      <c r="W1055" s="49">
        <v>44465</v>
      </c>
      <c r="X1055" s="49">
        <v>44465</v>
      </c>
      <c r="Y1055" s="49">
        <v>44465</v>
      </c>
      <c r="AY1055" s="49">
        <v>44465</v>
      </c>
      <c r="AZ1055" s="49">
        <v>44465</v>
      </c>
      <c r="BA1055" s="49">
        <v>44465</v>
      </c>
    </row>
    <row r="1056" spans="23:53" ht="16.2" customHeight="1" x14ac:dyDescent="0.4">
      <c r="W1056" s="49">
        <v>44471</v>
      </c>
      <c r="X1056" s="49">
        <v>44471</v>
      </c>
      <c r="Y1056" s="49">
        <v>44471</v>
      </c>
      <c r="AY1056" s="49">
        <v>44471</v>
      </c>
      <c r="AZ1056" s="49">
        <v>44471</v>
      </c>
      <c r="BA1056" s="49">
        <v>44471</v>
      </c>
    </row>
    <row r="1057" spans="23:53" ht="16.2" customHeight="1" x14ac:dyDescent="0.4">
      <c r="W1057" s="49">
        <v>44472</v>
      </c>
      <c r="X1057" s="49">
        <v>44472</v>
      </c>
      <c r="Y1057" s="49">
        <v>44472</v>
      </c>
      <c r="AY1057" s="49">
        <v>44472</v>
      </c>
      <c r="AZ1057" s="49">
        <v>44472</v>
      </c>
      <c r="BA1057" s="49">
        <v>44472</v>
      </c>
    </row>
    <row r="1058" spans="23:53" ht="16.2" customHeight="1" x14ac:dyDescent="0.4">
      <c r="W1058" s="49">
        <v>44478</v>
      </c>
      <c r="X1058" s="49">
        <v>44478</v>
      </c>
      <c r="Y1058" s="49">
        <v>44478</v>
      </c>
      <c r="AY1058" s="49">
        <v>44478</v>
      </c>
      <c r="AZ1058" s="49">
        <v>44478</v>
      </c>
      <c r="BA1058" s="49">
        <v>44478</v>
      </c>
    </row>
    <row r="1059" spans="23:53" ht="16.2" customHeight="1" x14ac:dyDescent="0.4">
      <c r="W1059" s="49">
        <v>44479</v>
      </c>
      <c r="X1059" s="49">
        <v>44479</v>
      </c>
      <c r="Y1059" s="49">
        <v>44479</v>
      </c>
      <c r="AY1059" s="49">
        <v>44479</v>
      </c>
      <c r="AZ1059" s="49">
        <v>44479</v>
      </c>
      <c r="BA1059" s="49">
        <v>44479</v>
      </c>
    </row>
    <row r="1060" spans="23:53" ht="16.2" customHeight="1" x14ac:dyDescent="0.4">
      <c r="W1060" s="49">
        <v>44485</v>
      </c>
      <c r="X1060" s="49">
        <v>44485</v>
      </c>
      <c r="Y1060" s="49">
        <v>44485</v>
      </c>
      <c r="AY1060" s="49">
        <v>44485</v>
      </c>
      <c r="AZ1060" s="49">
        <v>44485</v>
      </c>
      <c r="BA1060" s="49">
        <v>44485</v>
      </c>
    </row>
    <row r="1061" spans="23:53" ht="16.2" customHeight="1" x14ac:dyDescent="0.4">
      <c r="W1061" s="49">
        <v>44486</v>
      </c>
      <c r="X1061" s="49">
        <v>44486</v>
      </c>
      <c r="Y1061" s="49">
        <v>44486</v>
      </c>
      <c r="AY1061" s="49">
        <v>44486</v>
      </c>
      <c r="AZ1061" s="49">
        <v>44486</v>
      </c>
      <c r="BA1061" s="49">
        <v>44486</v>
      </c>
    </row>
    <row r="1062" spans="23:53" ht="16.2" customHeight="1" x14ac:dyDescent="0.4">
      <c r="W1062" s="49">
        <v>44492</v>
      </c>
      <c r="X1062" s="49">
        <v>44492</v>
      </c>
      <c r="Y1062" s="49">
        <v>44492</v>
      </c>
      <c r="AY1062" s="49">
        <v>44492</v>
      </c>
      <c r="AZ1062" s="49">
        <v>44492</v>
      </c>
      <c r="BA1062" s="49">
        <v>44492</v>
      </c>
    </row>
    <row r="1063" spans="23:53" ht="16.2" customHeight="1" x14ac:dyDescent="0.4">
      <c r="W1063" s="49">
        <v>44493</v>
      </c>
      <c r="X1063" s="49">
        <v>44493</v>
      </c>
      <c r="Y1063" s="49">
        <v>44493</v>
      </c>
      <c r="AY1063" s="49">
        <v>44493</v>
      </c>
      <c r="AZ1063" s="49">
        <v>44493</v>
      </c>
      <c r="BA1063" s="49">
        <v>44493</v>
      </c>
    </row>
    <row r="1064" spans="23:53" ht="16.2" customHeight="1" x14ac:dyDescent="0.4">
      <c r="W1064" s="49">
        <v>44499</v>
      </c>
      <c r="X1064" s="49">
        <v>44499</v>
      </c>
      <c r="Y1064" s="49">
        <v>44499</v>
      </c>
      <c r="AY1064" s="49">
        <v>44499</v>
      </c>
      <c r="AZ1064" s="49">
        <v>44499</v>
      </c>
      <c r="BA1064" s="49">
        <v>44499</v>
      </c>
    </row>
    <row r="1065" spans="23:53" ht="16.2" customHeight="1" x14ac:dyDescent="0.4">
      <c r="W1065" s="49">
        <v>44500</v>
      </c>
      <c r="X1065" s="49">
        <v>44500</v>
      </c>
      <c r="Y1065" s="49">
        <v>44500</v>
      </c>
      <c r="AY1065" s="49">
        <v>44500</v>
      </c>
      <c r="AZ1065" s="49">
        <v>44500</v>
      </c>
      <c r="BA1065" s="49">
        <v>44500</v>
      </c>
    </row>
    <row r="1066" spans="23:53" ht="16.2" customHeight="1" x14ac:dyDescent="0.4">
      <c r="W1066" s="49">
        <v>44506</v>
      </c>
      <c r="X1066" s="49">
        <v>44506</v>
      </c>
      <c r="Y1066" s="49">
        <v>44506</v>
      </c>
      <c r="AY1066" s="49">
        <v>44506</v>
      </c>
      <c r="AZ1066" s="49">
        <v>44506</v>
      </c>
      <c r="BA1066" s="49">
        <v>44506</v>
      </c>
    </row>
    <row r="1067" spans="23:53" ht="16.2" customHeight="1" x14ac:dyDescent="0.4">
      <c r="W1067" s="49">
        <v>44507</v>
      </c>
      <c r="X1067" s="49">
        <v>44507</v>
      </c>
      <c r="Y1067" s="49">
        <v>44507</v>
      </c>
      <c r="AY1067" s="49">
        <v>44507</v>
      </c>
      <c r="AZ1067" s="49">
        <v>44507</v>
      </c>
      <c r="BA1067" s="49">
        <v>44507</v>
      </c>
    </row>
    <row r="1068" spans="23:53" ht="16.2" customHeight="1" x14ac:dyDescent="0.4">
      <c r="W1068" s="49">
        <v>44513</v>
      </c>
      <c r="X1068" s="49">
        <v>44513</v>
      </c>
      <c r="Y1068" s="49">
        <v>44513</v>
      </c>
      <c r="AY1068" s="49">
        <v>44513</v>
      </c>
      <c r="AZ1068" s="49">
        <v>44513</v>
      </c>
      <c r="BA1068" s="49">
        <v>44513</v>
      </c>
    </row>
    <row r="1069" spans="23:53" ht="16.2" customHeight="1" x14ac:dyDescent="0.4">
      <c r="W1069" s="49">
        <v>44514</v>
      </c>
      <c r="X1069" s="49">
        <v>44514</v>
      </c>
      <c r="Y1069" s="49">
        <v>44514</v>
      </c>
      <c r="AY1069" s="49">
        <v>44514</v>
      </c>
      <c r="AZ1069" s="49">
        <v>44514</v>
      </c>
      <c r="BA1069" s="49">
        <v>44514</v>
      </c>
    </row>
    <row r="1070" spans="23:53" ht="16.2" customHeight="1" x14ac:dyDescent="0.4">
      <c r="W1070" s="49">
        <v>44520</v>
      </c>
      <c r="X1070" s="49">
        <v>44520</v>
      </c>
      <c r="Y1070" s="49">
        <v>44520</v>
      </c>
      <c r="AY1070" s="49">
        <v>44520</v>
      </c>
      <c r="AZ1070" s="49">
        <v>44520</v>
      </c>
      <c r="BA1070" s="49">
        <v>44520</v>
      </c>
    </row>
    <row r="1071" spans="23:53" ht="16.2" customHeight="1" x14ac:dyDescent="0.4">
      <c r="W1071" s="49">
        <v>44521</v>
      </c>
      <c r="X1071" s="49">
        <v>44521</v>
      </c>
      <c r="Y1071" s="49">
        <v>44521</v>
      </c>
      <c r="AY1071" s="49">
        <v>44521</v>
      </c>
      <c r="AZ1071" s="49">
        <v>44521</v>
      </c>
      <c r="BA1071" s="49">
        <v>44521</v>
      </c>
    </row>
    <row r="1072" spans="23:53" ht="16.2" customHeight="1" x14ac:dyDescent="0.4">
      <c r="W1072" s="49">
        <v>44527</v>
      </c>
      <c r="X1072" s="49">
        <v>44527</v>
      </c>
      <c r="Y1072" s="49">
        <v>44527</v>
      </c>
      <c r="AY1072" s="49">
        <v>44527</v>
      </c>
      <c r="AZ1072" s="49">
        <v>44527</v>
      </c>
      <c r="BA1072" s="49">
        <v>44527</v>
      </c>
    </row>
    <row r="1073" spans="23:53" ht="16.2" customHeight="1" x14ac:dyDescent="0.4">
      <c r="W1073" s="49">
        <v>44528</v>
      </c>
      <c r="X1073" s="49">
        <v>44528</v>
      </c>
      <c r="Y1073" s="49">
        <v>44528</v>
      </c>
      <c r="AY1073" s="49">
        <v>44528</v>
      </c>
      <c r="AZ1073" s="49">
        <v>44528</v>
      </c>
      <c r="BA1073" s="49">
        <v>44528</v>
      </c>
    </row>
    <row r="1074" spans="23:53" ht="16.2" customHeight="1" x14ac:dyDescent="0.4">
      <c r="W1074" s="49">
        <v>44534</v>
      </c>
      <c r="X1074" s="49">
        <v>44534</v>
      </c>
      <c r="Y1074" s="49">
        <v>44534</v>
      </c>
      <c r="AY1074" s="49">
        <v>44534</v>
      </c>
      <c r="AZ1074" s="49">
        <v>44534</v>
      </c>
      <c r="BA1074" s="49">
        <v>44534</v>
      </c>
    </row>
    <row r="1075" spans="23:53" ht="16.2" customHeight="1" x14ac:dyDescent="0.4">
      <c r="W1075" s="49">
        <v>44535</v>
      </c>
      <c r="X1075" s="49">
        <v>44535</v>
      </c>
      <c r="Y1075" s="49">
        <v>44535</v>
      </c>
      <c r="AY1075" s="49">
        <v>44535</v>
      </c>
      <c r="AZ1075" s="49">
        <v>44535</v>
      </c>
      <c r="BA1075" s="49">
        <v>44535</v>
      </c>
    </row>
    <row r="1076" spans="23:53" ht="16.2" customHeight="1" x14ac:dyDescent="0.4">
      <c r="W1076" s="49">
        <v>44541</v>
      </c>
      <c r="X1076" s="49">
        <v>44541</v>
      </c>
      <c r="Y1076" s="49">
        <v>44541</v>
      </c>
      <c r="AY1076" s="49">
        <v>44541</v>
      </c>
      <c r="AZ1076" s="49">
        <v>44541</v>
      </c>
      <c r="BA1076" s="49">
        <v>44541</v>
      </c>
    </row>
    <row r="1077" spans="23:53" ht="16.2" customHeight="1" x14ac:dyDescent="0.4">
      <c r="W1077" s="49">
        <v>44542</v>
      </c>
      <c r="X1077" s="49">
        <v>44542</v>
      </c>
      <c r="Y1077" s="49">
        <v>44542</v>
      </c>
      <c r="AY1077" s="49">
        <v>44542</v>
      </c>
      <c r="AZ1077" s="49">
        <v>44542</v>
      </c>
      <c r="BA1077" s="49">
        <v>44542</v>
      </c>
    </row>
    <row r="1078" spans="23:53" ht="16.2" customHeight="1" x14ac:dyDescent="0.4">
      <c r="W1078" s="49">
        <v>44548</v>
      </c>
      <c r="X1078" s="49">
        <v>44548</v>
      </c>
      <c r="Y1078" s="49">
        <v>44548</v>
      </c>
      <c r="AY1078" s="49">
        <v>44548</v>
      </c>
      <c r="AZ1078" s="49">
        <v>44548</v>
      </c>
      <c r="BA1078" s="49">
        <v>44548</v>
      </c>
    </row>
    <row r="1079" spans="23:53" ht="16.2" customHeight="1" x14ac:dyDescent="0.4">
      <c r="W1079" s="49">
        <v>44549</v>
      </c>
      <c r="X1079" s="49">
        <v>44549</v>
      </c>
      <c r="Y1079" s="49">
        <v>44549</v>
      </c>
      <c r="AY1079" s="49">
        <v>44549</v>
      </c>
      <c r="AZ1079" s="49">
        <v>44549</v>
      </c>
      <c r="BA1079" s="49">
        <v>44549</v>
      </c>
    </row>
    <row r="1080" spans="23:53" ht="16.2" customHeight="1" x14ac:dyDescent="0.4">
      <c r="W1080" s="49">
        <v>44556</v>
      </c>
      <c r="X1080" s="49">
        <v>44556</v>
      </c>
      <c r="Y1080" s="49">
        <v>44556</v>
      </c>
      <c r="AY1080" s="49">
        <v>44556</v>
      </c>
      <c r="AZ1080" s="49">
        <v>44556</v>
      </c>
      <c r="BA1080" s="49">
        <v>44556</v>
      </c>
    </row>
    <row r="1081" spans="23:53" ht="16.2" customHeight="1" x14ac:dyDescent="0.4">
      <c r="W1081" s="49">
        <v>44563</v>
      </c>
      <c r="X1081" s="49">
        <v>44563</v>
      </c>
      <c r="Y1081" s="49">
        <v>44563</v>
      </c>
      <c r="AY1081" s="49">
        <v>44563</v>
      </c>
      <c r="AZ1081" s="49">
        <v>44563</v>
      </c>
      <c r="BA1081" s="49">
        <v>44563</v>
      </c>
    </row>
    <row r="1082" spans="23:53" ht="16.2" customHeight="1" x14ac:dyDescent="0.4">
      <c r="W1082" s="49">
        <v>44569</v>
      </c>
      <c r="X1082" s="49">
        <v>44569</v>
      </c>
      <c r="Y1082" s="49">
        <v>44569</v>
      </c>
      <c r="AY1082" s="49">
        <v>44569</v>
      </c>
      <c r="AZ1082" s="49">
        <v>44569</v>
      </c>
      <c r="BA1082" s="49">
        <v>44569</v>
      </c>
    </row>
    <row r="1083" spans="23:53" ht="16.2" customHeight="1" x14ac:dyDescent="0.4">
      <c r="W1083" s="49">
        <v>44570</v>
      </c>
      <c r="X1083" s="49">
        <v>44570</v>
      </c>
      <c r="Y1083" s="49">
        <v>44570</v>
      </c>
      <c r="AY1083" s="49">
        <v>44570</v>
      </c>
      <c r="AZ1083" s="49">
        <v>44570</v>
      </c>
      <c r="BA1083" s="49">
        <v>44570</v>
      </c>
    </row>
    <row r="1084" spans="23:53" ht="16.2" customHeight="1" x14ac:dyDescent="0.4">
      <c r="W1084" s="49">
        <v>44576</v>
      </c>
      <c r="X1084" s="49">
        <v>44576</v>
      </c>
      <c r="Y1084" s="49">
        <v>44576</v>
      </c>
      <c r="AY1084" s="49">
        <v>44576</v>
      </c>
      <c r="AZ1084" s="49">
        <v>44576</v>
      </c>
      <c r="BA1084" s="49">
        <v>44576</v>
      </c>
    </row>
    <row r="1085" spans="23:53" ht="16.2" customHeight="1" x14ac:dyDescent="0.4">
      <c r="W1085" s="49">
        <v>44577</v>
      </c>
      <c r="X1085" s="49">
        <v>44577</v>
      </c>
      <c r="Y1085" s="49">
        <v>44577</v>
      </c>
      <c r="AY1085" s="49">
        <v>44577</v>
      </c>
      <c r="AZ1085" s="49">
        <v>44577</v>
      </c>
      <c r="BA1085" s="49">
        <v>44577</v>
      </c>
    </row>
    <row r="1086" spans="23:53" ht="16.2" customHeight="1" x14ac:dyDescent="0.4">
      <c r="W1086" s="49">
        <v>44583</v>
      </c>
      <c r="X1086" s="49">
        <v>44583</v>
      </c>
      <c r="Y1086" s="49">
        <v>44583</v>
      </c>
      <c r="AY1086" s="49">
        <v>44583</v>
      </c>
      <c r="AZ1086" s="49">
        <v>44583</v>
      </c>
      <c r="BA1086" s="49">
        <v>44583</v>
      </c>
    </row>
    <row r="1087" spans="23:53" ht="16.2" customHeight="1" x14ac:dyDescent="0.4">
      <c r="W1087" s="49">
        <v>44584</v>
      </c>
      <c r="X1087" s="49">
        <v>44584</v>
      </c>
      <c r="Y1087" s="49">
        <v>44584</v>
      </c>
      <c r="AY1087" s="49">
        <v>44584</v>
      </c>
      <c r="AZ1087" s="49">
        <v>44584</v>
      </c>
      <c r="BA1087" s="49">
        <v>44584</v>
      </c>
    </row>
    <row r="1088" spans="23:53" ht="16.2" customHeight="1" x14ac:dyDescent="0.4">
      <c r="W1088" s="49">
        <v>44590</v>
      </c>
      <c r="X1088" s="49">
        <v>44590</v>
      </c>
      <c r="Y1088" s="49">
        <v>44590</v>
      </c>
      <c r="AY1088" s="49">
        <v>44590</v>
      </c>
      <c r="AZ1088" s="49">
        <v>44590</v>
      </c>
      <c r="BA1088" s="49">
        <v>44590</v>
      </c>
    </row>
    <row r="1089" spans="23:53" ht="16.2" customHeight="1" x14ac:dyDescent="0.4">
      <c r="W1089" s="49">
        <v>44591</v>
      </c>
      <c r="X1089" s="49">
        <v>44591</v>
      </c>
      <c r="Y1089" s="49">
        <v>44591</v>
      </c>
      <c r="AY1089" s="49">
        <v>44591</v>
      </c>
      <c r="AZ1089" s="49">
        <v>44591</v>
      </c>
      <c r="BA1089" s="49">
        <v>44591</v>
      </c>
    </row>
    <row r="1090" spans="23:53" ht="16.2" customHeight="1" x14ac:dyDescent="0.4">
      <c r="W1090" s="49">
        <v>44592</v>
      </c>
      <c r="X1090" s="49">
        <v>44592</v>
      </c>
      <c r="Y1090" s="49">
        <v>44592</v>
      </c>
      <c r="AY1090" s="49">
        <v>44592</v>
      </c>
      <c r="AZ1090" s="49">
        <v>44592</v>
      </c>
      <c r="BA1090" s="49">
        <v>44592</v>
      </c>
    </row>
    <row r="1091" spans="23:53" ht="16.2" customHeight="1" x14ac:dyDescent="0.4">
      <c r="W1091" s="49">
        <v>44593</v>
      </c>
      <c r="X1091" s="49">
        <v>44593</v>
      </c>
      <c r="Y1091" s="49">
        <v>44593</v>
      </c>
      <c r="AY1091" s="49">
        <v>44593</v>
      </c>
      <c r="AZ1091" s="49">
        <v>44593</v>
      </c>
      <c r="BA1091" s="49">
        <v>44593</v>
      </c>
    </row>
    <row r="1092" spans="23:53" ht="16.2" customHeight="1" x14ac:dyDescent="0.4">
      <c r="W1092" s="49">
        <v>44594</v>
      </c>
      <c r="X1092" s="49">
        <v>44594</v>
      </c>
      <c r="Y1092" s="49">
        <v>44594</v>
      </c>
      <c r="AY1092" s="49">
        <v>44594</v>
      </c>
      <c r="AZ1092" s="49">
        <v>44594</v>
      </c>
      <c r="BA1092" s="49">
        <v>44594</v>
      </c>
    </row>
    <row r="1093" spans="23:53" ht="16.2" customHeight="1" x14ac:dyDescent="0.4">
      <c r="W1093" s="49">
        <v>44597</v>
      </c>
      <c r="X1093" s="49">
        <v>44597</v>
      </c>
      <c r="Y1093" s="49">
        <v>44597</v>
      </c>
      <c r="AY1093" s="49">
        <v>44597</v>
      </c>
      <c r="AZ1093" s="49">
        <v>44597</v>
      </c>
      <c r="BA1093" s="49">
        <v>44597</v>
      </c>
    </row>
    <row r="1094" spans="23:53" ht="16.2" customHeight="1" x14ac:dyDescent="0.4">
      <c r="W1094" s="49">
        <v>44598</v>
      </c>
      <c r="X1094" s="49">
        <v>44598</v>
      </c>
      <c r="Y1094" s="49">
        <v>44598</v>
      </c>
      <c r="AY1094" s="49">
        <v>44598</v>
      </c>
      <c r="AZ1094" s="49">
        <v>44598</v>
      </c>
      <c r="BA1094" s="49">
        <v>44598</v>
      </c>
    </row>
    <row r="1095" spans="23:53" ht="16.2" customHeight="1" x14ac:dyDescent="0.4">
      <c r="W1095" s="49">
        <v>44604</v>
      </c>
      <c r="X1095" s="49">
        <v>44604</v>
      </c>
      <c r="Y1095" s="49">
        <v>44604</v>
      </c>
      <c r="AY1095" s="49">
        <v>44604</v>
      </c>
      <c r="AZ1095" s="49">
        <v>44604</v>
      </c>
      <c r="BA1095" s="49">
        <v>44604</v>
      </c>
    </row>
    <row r="1096" spans="23:53" ht="16.2" customHeight="1" x14ac:dyDescent="0.4">
      <c r="W1096" s="49">
        <v>44605</v>
      </c>
      <c r="X1096" s="49">
        <v>44605</v>
      </c>
      <c r="Y1096" s="49">
        <v>44605</v>
      </c>
      <c r="AY1096" s="49">
        <v>44605</v>
      </c>
      <c r="AZ1096" s="49">
        <v>44605</v>
      </c>
      <c r="BA1096" s="49">
        <v>44605</v>
      </c>
    </row>
    <row r="1097" spans="23:53" ht="16.2" customHeight="1" x14ac:dyDescent="0.4">
      <c r="W1097" s="49">
        <v>44611</v>
      </c>
      <c r="X1097" s="49">
        <v>44611</v>
      </c>
      <c r="Y1097" s="49">
        <v>44611</v>
      </c>
      <c r="AY1097" s="49">
        <v>44611</v>
      </c>
      <c r="AZ1097" s="49">
        <v>44611</v>
      </c>
      <c r="BA1097" s="49">
        <v>44611</v>
      </c>
    </row>
    <row r="1098" spans="23:53" ht="16.2" customHeight="1" x14ac:dyDescent="0.4">
      <c r="W1098" s="49">
        <v>44612</v>
      </c>
      <c r="X1098" s="49">
        <v>44612</v>
      </c>
      <c r="Y1098" s="49">
        <v>44612</v>
      </c>
      <c r="AY1098" s="49">
        <v>44612</v>
      </c>
      <c r="AZ1098" s="49">
        <v>44612</v>
      </c>
      <c r="BA1098" s="49">
        <v>44612</v>
      </c>
    </row>
    <row r="1099" spans="23:53" ht="16.2" customHeight="1" x14ac:dyDescent="0.4">
      <c r="W1099" s="49">
        <v>44618</v>
      </c>
      <c r="X1099" s="49">
        <v>44618</v>
      </c>
      <c r="Y1099" s="49">
        <v>44618</v>
      </c>
      <c r="AY1099" s="49">
        <v>44618</v>
      </c>
      <c r="AZ1099" s="49">
        <v>44618</v>
      </c>
      <c r="BA1099" s="49">
        <v>44618</v>
      </c>
    </row>
    <row r="1100" spans="23:53" ht="16.2" customHeight="1" x14ac:dyDescent="0.4">
      <c r="W1100" s="49">
        <v>44619</v>
      </c>
      <c r="X1100" s="49">
        <v>44619</v>
      </c>
      <c r="Y1100" s="49">
        <v>44619</v>
      </c>
      <c r="AY1100" s="49">
        <v>44619</v>
      </c>
      <c r="AZ1100" s="49">
        <v>44619</v>
      </c>
      <c r="BA1100" s="49">
        <v>44619</v>
      </c>
    </row>
    <row r="1101" spans="23:53" ht="16.2" customHeight="1" x14ac:dyDescent="0.4">
      <c r="W1101" s="49">
        <v>44621</v>
      </c>
      <c r="X1101" s="49">
        <v>44621</v>
      </c>
      <c r="Y1101" s="49">
        <v>44621</v>
      </c>
      <c r="AY1101" s="49">
        <v>44621</v>
      </c>
      <c r="AZ1101" s="49">
        <v>44621</v>
      </c>
      <c r="BA1101" s="49">
        <v>44621</v>
      </c>
    </row>
    <row r="1102" spans="23:53" ht="16.2" customHeight="1" x14ac:dyDescent="0.4">
      <c r="W1102" s="49">
        <v>44625</v>
      </c>
      <c r="X1102" s="49">
        <v>44625</v>
      </c>
      <c r="Y1102" s="49">
        <v>44625</v>
      </c>
      <c r="AY1102" s="49">
        <v>44625</v>
      </c>
      <c r="AZ1102" s="49">
        <v>44625</v>
      </c>
      <c r="BA1102" s="49">
        <v>44625</v>
      </c>
    </row>
    <row r="1103" spans="23:53" ht="16.2" customHeight="1" x14ac:dyDescent="0.4">
      <c r="W1103" s="49">
        <v>44626</v>
      </c>
      <c r="X1103" s="49">
        <v>44626</v>
      </c>
      <c r="Y1103" s="49">
        <v>44626</v>
      </c>
      <c r="AY1103" s="49">
        <v>44626</v>
      </c>
      <c r="AZ1103" s="49">
        <v>44626</v>
      </c>
      <c r="BA1103" s="49">
        <v>44626</v>
      </c>
    </row>
    <row r="1104" spans="23:53" ht="16.2" customHeight="1" x14ac:dyDescent="0.4">
      <c r="W1104" s="49">
        <v>44632</v>
      </c>
      <c r="X1104" s="49">
        <v>44632</v>
      </c>
      <c r="Y1104" s="49">
        <v>44632</v>
      </c>
      <c r="AY1104" s="49">
        <v>44632</v>
      </c>
      <c r="AZ1104" s="49">
        <v>44632</v>
      </c>
      <c r="BA1104" s="49">
        <v>44632</v>
      </c>
    </row>
    <row r="1105" spans="23:53" ht="16.2" customHeight="1" x14ac:dyDescent="0.4">
      <c r="W1105" s="49">
        <v>44633</v>
      </c>
      <c r="X1105" s="49">
        <v>44633</v>
      </c>
      <c r="Y1105" s="49">
        <v>44633</v>
      </c>
      <c r="AY1105" s="49">
        <v>44633</v>
      </c>
      <c r="AZ1105" s="49">
        <v>44633</v>
      </c>
      <c r="BA1105" s="49">
        <v>44633</v>
      </c>
    </row>
    <row r="1106" spans="23:53" ht="16.2" customHeight="1" x14ac:dyDescent="0.4">
      <c r="W1106" s="49">
        <v>44639</v>
      </c>
      <c r="X1106" s="49">
        <v>44639</v>
      </c>
      <c r="Y1106" s="49">
        <v>44639</v>
      </c>
      <c r="AY1106" s="49">
        <v>44639</v>
      </c>
      <c r="AZ1106" s="49">
        <v>44639</v>
      </c>
      <c r="BA1106" s="49">
        <v>44639</v>
      </c>
    </row>
    <row r="1107" spans="23:53" ht="16.2" customHeight="1" x14ac:dyDescent="0.4">
      <c r="W1107" s="49">
        <v>44640</v>
      </c>
      <c r="X1107" s="49">
        <v>44640</v>
      </c>
      <c r="Y1107" s="49">
        <v>44640</v>
      </c>
      <c r="AY1107" s="49">
        <v>44640</v>
      </c>
      <c r="AZ1107" s="49">
        <v>44640</v>
      </c>
      <c r="BA1107" s="49">
        <v>44640</v>
      </c>
    </row>
    <row r="1108" spans="23:53" ht="16.2" customHeight="1" x14ac:dyDescent="0.4">
      <c r="W1108" s="49">
        <v>44646</v>
      </c>
      <c r="X1108" s="49">
        <v>44646</v>
      </c>
      <c r="Y1108" s="49">
        <v>44646</v>
      </c>
      <c r="AY1108" s="49">
        <v>44646</v>
      </c>
      <c r="AZ1108" s="49">
        <v>44646</v>
      </c>
      <c r="BA1108" s="49">
        <v>44646</v>
      </c>
    </row>
    <row r="1109" spans="23:53" ht="16.2" customHeight="1" x14ac:dyDescent="0.4">
      <c r="W1109" s="49">
        <v>44647</v>
      </c>
      <c r="X1109" s="49">
        <v>44647</v>
      </c>
      <c r="Y1109" s="49">
        <v>44647</v>
      </c>
      <c r="AY1109" s="49">
        <v>44647</v>
      </c>
      <c r="AZ1109" s="49">
        <v>44647</v>
      </c>
      <c r="BA1109" s="49">
        <v>44647</v>
      </c>
    </row>
    <row r="1110" spans="23:53" ht="16.2" customHeight="1" x14ac:dyDescent="0.4">
      <c r="W1110" s="49">
        <v>44653</v>
      </c>
      <c r="X1110" s="49">
        <v>44653</v>
      </c>
      <c r="Y1110" s="49">
        <v>44653</v>
      </c>
      <c r="AY1110" s="49">
        <v>44653</v>
      </c>
      <c r="AZ1110" s="49">
        <v>44653</v>
      </c>
      <c r="BA1110" s="49">
        <v>44653</v>
      </c>
    </row>
    <row r="1111" spans="23:53" ht="16.2" customHeight="1" x14ac:dyDescent="0.4">
      <c r="W1111" s="49">
        <v>44654</v>
      </c>
      <c r="X1111" s="49">
        <v>44654</v>
      </c>
      <c r="Y1111" s="49">
        <v>44654</v>
      </c>
      <c r="AY1111" s="49">
        <v>44654</v>
      </c>
      <c r="AZ1111" s="49">
        <v>44654</v>
      </c>
      <c r="BA1111" s="49">
        <v>44654</v>
      </c>
    </row>
    <row r="1112" spans="23:53" ht="16.2" customHeight="1" x14ac:dyDescent="0.4">
      <c r="W1112" s="49">
        <v>44660</v>
      </c>
      <c r="X1112" s="49">
        <v>44660</v>
      </c>
      <c r="Y1112" s="49">
        <v>44660</v>
      </c>
      <c r="AY1112" s="49">
        <v>44660</v>
      </c>
      <c r="AZ1112" s="49">
        <v>44660</v>
      </c>
      <c r="BA1112" s="49">
        <v>44660</v>
      </c>
    </row>
    <row r="1113" spans="23:53" ht="16.2" customHeight="1" x14ac:dyDescent="0.4">
      <c r="W1113" s="49">
        <v>44661</v>
      </c>
      <c r="X1113" s="49">
        <v>44661</v>
      </c>
      <c r="Y1113" s="49">
        <v>44661</v>
      </c>
      <c r="AY1113" s="49">
        <v>44661</v>
      </c>
      <c r="AZ1113" s="49">
        <v>44661</v>
      </c>
      <c r="BA1113" s="49">
        <v>44661</v>
      </c>
    </row>
    <row r="1114" spans="23:53" ht="16.2" customHeight="1" x14ac:dyDescent="0.4">
      <c r="W1114" s="49">
        <v>44667</v>
      </c>
      <c r="X1114" s="49">
        <v>44667</v>
      </c>
      <c r="Y1114" s="49">
        <v>44667</v>
      </c>
      <c r="AY1114" s="49">
        <v>44667</v>
      </c>
      <c r="AZ1114" s="49">
        <v>44667</v>
      </c>
      <c r="BA1114" s="49">
        <v>44667</v>
      </c>
    </row>
    <row r="1115" spans="23:53" ht="16.2" customHeight="1" x14ac:dyDescent="0.4">
      <c r="W1115" s="49">
        <v>44668</v>
      </c>
      <c r="X1115" s="49">
        <v>44668</v>
      </c>
      <c r="Y1115" s="49">
        <v>44668</v>
      </c>
      <c r="AY1115" s="49">
        <v>44668</v>
      </c>
      <c r="AZ1115" s="49">
        <v>44668</v>
      </c>
      <c r="BA1115" s="49">
        <v>44668</v>
      </c>
    </row>
    <row r="1116" spans="23:53" ht="16.2" customHeight="1" x14ac:dyDescent="0.4">
      <c r="W1116" s="49">
        <v>44674</v>
      </c>
      <c r="X1116" s="49">
        <v>44674</v>
      </c>
      <c r="Y1116" s="49">
        <v>44674</v>
      </c>
      <c r="AY1116" s="49">
        <v>44674</v>
      </c>
      <c r="AZ1116" s="49">
        <v>44674</v>
      </c>
      <c r="BA1116" s="49">
        <v>44674</v>
      </c>
    </row>
    <row r="1117" spans="23:53" ht="16.2" customHeight="1" x14ac:dyDescent="0.4">
      <c r="W1117" s="49">
        <v>44675</v>
      </c>
      <c r="X1117" s="49">
        <v>44675</v>
      </c>
      <c r="Y1117" s="49">
        <v>44675</v>
      </c>
      <c r="AY1117" s="49">
        <v>44675</v>
      </c>
      <c r="AZ1117" s="49">
        <v>44675</v>
      </c>
      <c r="BA1117" s="49">
        <v>44675</v>
      </c>
    </row>
    <row r="1118" spans="23:53" ht="16.2" customHeight="1" x14ac:dyDescent="0.4">
      <c r="W1118" s="49">
        <v>44681</v>
      </c>
      <c r="X1118" s="49">
        <v>44681</v>
      </c>
      <c r="Y1118" s="49">
        <v>44681</v>
      </c>
      <c r="AY1118" s="49">
        <v>44681</v>
      </c>
      <c r="AZ1118" s="49">
        <v>44681</v>
      </c>
      <c r="BA1118" s="49">
        <v>44681</v>
      </c>
    </row>
    <row r="1119" spans="23:53" ht="16.2" customHeight="1" x14ac:dyDescent="0.4">
      <c r="W1119" s="49">
        <v>44682</v>
      </c>
      <c r="X1119" s="49">
        <v>44682</v>
      </c>
      <c r="Y1119" s="49">
        <v>44682</v>
      </c>
      <c r="AY1119" s="49">
        <v>44682</v>
      </c>
      <c r="AZ1119" s="49">
        <v>44682</v>
      </c>
      <c r="BA1119" s="49">
        <v>44682</v>
      </c>
    </row>
    <row r="1120" spans="23:53" ht="16.2" customHeight="1" x14ac:dyDescent="0.4">
      <c r="W1120" s="49">
        <v>44686</v>
      </c>
      <c r="X1120" s="49">
        <v>44686</v>
      </c>
      <c r="Y1120" s="49">
        <v>44686</v>
      </c>
      <c r="AY1120" s="49">
        <v>44686</v>
      </c>
      <c r="AZ1120" s="49">
        <v>44686</v>
      </c>
      <c r="BA1120" s="49">
        <v>44686</v>
      </c>
    </row>
    <row r="1121" spans="23:53" ht="16.2" customHeight="1" x14ac:dyDescent="0.4">
      <c r="W1121" s="49">
        <v>44688</v>
      </c>
      <c r="X1121" s="49">
        <v>44688</v>
      </c>
      <c r="Y1121" s="49">
        <v>44688</v>
      </c>
      <c r="AY1121" s="49">
        <v>44688</v>
      </c>
      <c r="AZ1121" s="49">
        <v>44688</v>
      </c>
      <c r="BA1121" s="49">
        <v>44688</v>
      </c>
    </row>
    <row r="1122" spans="23:53" ht="16.2" customHeight="1" x14ac:dyDescent="0.4">
      <c r="W1122" s="49">
        <v>44689</v>
      </c>
      <c r="X1122" s="49">
        <v>44689</v>
      </c>
      <c r="Y1122" s="49">
        <v>44689</v>
      </c>
      <c r="AY1122" s="49">
        <v>44689</v>
      </c>
      <c r="AZ1122" s="49">
        <v>44689</v>
      </c>
      <c r="BA1122" s="49">
        <v>44689</v>
      </c>
    </row>
    <row r="1123" spans="23:53" ht="16.2" customHeight="1" x14ac:dyDescent="0.4">
      <c r="W1123" s="49">
        <v>44695</v>
      </c>
      <c r="X1123" s="49">
        <v>44695</v>
      </c>
      <c r="Y1123" s="49">
        <v>44695</v>
      </c>
      <c r="AY1123" s="49">
        <v>44695</v>
      </c>
      <c r="AZ1123" s="49">
        <v>44695</v>
      </c>
      <c r="BA1123" s="49">
        <v>44695</v>
      </c>
    </row>
    <row r="1124" spans="23:53" ht="16.2" customHeight="1" x14ac:dyDescent="0.4">
      <c r="W1124" s="49">
        <v>44696</v>
      </c>
      <c r="X1124" s="49">
        <v>44696</v>
      </c>
      <c r="Y1124" s="49">
        <v>44696</v>
      </c>
      <c r="AY1124" s="49">
        <v>44696</v>
      </c>
      <c r="AZ1124" s="49">
        <v>44696</v>
      </c>
      <c r="BA1124" s="49">
        <v>44696</v>
      </c>
    </row>
    <row r="1125" spans="23:53" ht="16.2" customHeight="1" x14ac:dyDescent="0.4">
      <c r="W1125" s="49">
        <v>44702</v>
      </c>
      <c r="X1125" s="49">
        <v>44702</v>
      </c>
      <c r="Y1125" s="49">
        <v>44702</v>
      </c>
      <c r="AY1125" s="49">
        <v>44702</v>
      </c>
      <c r="AZ1125" s="49">
        <v>44702</v>
      </c>
      <c r="BA1125" s="49">
        <v>44702</v>
      </c>
    </row>
    <row r="1126" spans="23:53" ht="16.2" customHeight="1" x14ac:dyDescent="0.4">
      <c r="W1126" s="49">
        <v>44703</v>
      </c>
      <c r="X1126" s="49">
        <v>44703</v>
      </c>
      <c r="Y1126" s="49">
        <v>44703</v>
      </c>
      <c r="AY1126" s="49">
        <v>44703</v>
      </c>
      <c r="AZ1126" s="49">
        <v>44703</v>
      </c>
      <c r="BA1126" s="49">
        <v>44703</v>
      </c>
    </row>
    <row r="1127" spans="23:53" ht="16.2" customHeight="1" x14ac:dyDescent="0.4">
      <c r="W1127" s="49">
        <v>44709</v>
      </c>
      <c r="X1127" s="49">
        <v>44709</v>
      </c>
      <c r="Y1127" s="49">
        <v>44709</v>
      </c>
      <c r="AY1127" s="49">
        <v>44709</v>
      </c>
      <c r="AZ1127" s="49">
        <v>44709</v>
      </c>
      <c r="BA1127" s="49">
        <v>44709</v>
      </c>
    </row>
    <row r="1128" spans="23:53" ht="16.2" customHeight="1" x14ac:dyDescent="0.4">
      <c r="W1128" s="49">
        <v>44710</v>
      </c>
      <c r="X1128" s="49">
        <v>44710</v>
      </c>
      <c r="Y1128" s="49">
        <v>44710</v>
      </c>
      <c r="AY1128" s="49">
        <v>44710</v>
      </c>
      <c r="AZ1128" s="49">
        <v>44710</v>
      </c>
      <c r="BA1128" s="49">
        <v>44710</v>
      </c>
    </row>
    <row r="1129" spans="23:53" ht="16.2" customHeight="1" x14ac:dyDescent="0.4">
      <c r="W1129" s="49">
        <v>44716</v>
      </c>
      <c r="X1129" s="49">
        <v>44716</v>
      </c>
      <c r="Y1129" s="49">
        <v>44716</v>
      </c>
      <c r="AY1129" s="49">
        <v>44716</v>
      </c>
      <c r="AZ1129" s="49">
        <v>44716</v>
      </c>
      <c r="BA1129" s="49">
        <v>44716</v>
      </c>
    </row>
    <row r="1130" spans="23:53" ht="16.2" customHeight="1" x14ac:dyDescent="0.4">
      <c r="W1130" s="49">
        <v>44717</v>
      </c>
      <c r="X1130" s="49">
        <v>44717</v>
      </c>
      <c r="Y1130" s="49">
        <v>44717</v>
      </c>
      <c r="AY1130" s="49">
        <v>44717</v>
      </c>
      <c r="AZ1130" s="49">
        <v>44717</v>
      </c>
      <c r="BA1130" s="49">
        <v>44717</v>
      </c>
    </row>
    <row r="1131" spans="23:53" ht="16.2" customHeight="1" x14ac:dyDescent="0.4">
      <c r="W1131" s="49">
        <v>44718</v>
      </c>
      <c r="X1131" s="49">
        <v>44718</v>
      </c>
      <c r="Y1131" s="49">
        <v>44718</v>
      </c>
      <c r="AY1131" s="49">
        <v>44718</v>
      </c>
      <c r="AZ1131" s="49">
        <v>44718</v>
      </c>
      <c r="BA1131" s="49">
        <v>44718</v>
      </c>
    </row>
    <row r="1132" spans="23:53" ht="16.2" customHeight="1" x14ac:dyDescent="0.4">
      <c r="W1132" s="49">
        <v>44723</v>
      </c>
      <c r="X1132" s="49">
        <v>44723</v>
      </c>
      <c r="Y1132" s="49">
        <v>44723</v>
      </c>
      <c r="AY1132" s="49">
        <v>44723</v>
      </c>
      <c r="AZ1132" s="49">
        <v>44723</v>
      </c>
      <c r="BA1132" s="49">
        <v>44723</v>
      </c>
    </row>
    <row r="1133" spans="23:53" ht="16.2" customHeight="1" x14ac:dyDescent="0.4">
      <c r="W1133" s="49">
        <v>44724</v>
      </c>
      <c r="X1133" s="49">
        <v>44724</v>
      </c>
      <c r="Y1133" s="49">
        <v>44724</v>
      </c>
      <c r="AY1133" s="49">
        <v>44724</v>
      </c>
      <c r="AZ1133" s="49">
        <v>44724</v>
      </c>
      <c r="BA1133" s="49">
        <v>44724</v>
      </c>
    </row>
    <row r="1134" spans="23:53" ht="16.2" customHeight="1" x14ac:dyDescent="0.4">
      <c r="W1134" s="49">
        <v>44730</v>
      </c>
      <c r="X1134" s="49">
        <v>44730</v>
      </c>
      <c r="Y1134" s="49">
        <v>44730</v>
      </c>
      <c r="AY1134" s="49">
        <v>44730</v>
      </c>
      <c r="AZ1134" s="49">
        <v>44730</v>
      </c>
      <c r="BA1134" s="49">
        <v>44730</v>
      </c>
    </row>
    <row r="1135" spans="23:53" ht="16.2" customHeight="1" x14ac:dyDescent="0.4">
      <c r="W1135" s="49">
        <v>44731</v>
      </c>
      <c r="X1135" s="49">
        <v>44731</v>
      </c>
      <c r="Y1135" s="49">
        <v>44731</v>
      </c>
      <c r="AY1135" s="49">
        <v>44731</v>
      </c>
      <c r="AZ1135" s="49">
        <v>44731</v>
      </c>
      <c r="BA1135" s="49">
        <v>44731</v>
      </c>
    </row>
    <row r="1136" spans="23:53" ht="16.2" customHeight="1" x14ac:dyDescent="0.4">
      <c r="W1136" s="49">
        <v>44737</v>
      </c>
      <c r="X1136" s="49">
        <v>44737</v>
      </c>
      <c r="Y1136" s="49">
        <v>44737</v>
      </c>
      <c r="AY1136" s="49">
        <v>44737</v>
      </c>
      <c r="AZ1136" s="49">
        <v>44737</v>
      </c>
      <c r="BA1136" s="49">
        <v>44737</v>
      </c>
    </row>
    <row r="1137" spans="23:53" ht="16.2" customHeight="1" x14ac:dyDescent="0.4">
      <c r="W1137" s="49">
        <v>44738</v>
      </c>
      <c r="X1137" s="49">
        <v>44738</v>
      </c>
      <c r="Y1137" s="49">
        <v>44738</v>
      </c>
      <c r="AY1137" s="49">
        <v>44738</v>
      </c>
      <c r="AZ1137" s="49">
        <v>44738</v>
      </c>
      <c r="BA1137" s="49">
        <v>44738</v>
      </c>
    </row>
    <row r="1138" spans="23:53" ht="16.2" customHeight="1" x14ac:dyDescent="0.4">
      <c r="W1138" s="49">
        <v>44744</v>
      </c>
      <c r="X1138" s="49">
        <v>44744</v>
      </c>
      <c r="Y1138" s="49">
        <v>44744</v>
      </c>
      <c r="AY1138" s="49">
        <v>44744</v>
      </c>
      <c r="AZ1138" s="49">
        <v>44744</v>
      </c>
      <c r="BA1138" s="49">
        <v>44744</v>
      </c>
    </row>
    <row r="1139" spans="23:53" ht="16.2" customHeight="1" x14ac:dyDescent="0.4">
      <c r="W1139" s="49">
        <v>44745</v>
      </c>
      <c r="X1139" s="49">
        <v>44745</v>
      </c>
      <c r="Y1139" s="49">
        <v>44745</v>
      </c>
      <c r="AY1139" s="49">
        <v>44745</v>
      </c>
      <c r="AZ1139" s="49">
        <v>44745</v>
      </c>
      <c r="BA1139" s="49">
        <v>44745</v>
      </c>
    </row>
    <row r="1140" spans="23:53" ht="16.2" customHeight="1" x14ac:dyDescent="0.4">
      <c r="W1140" s="49">
        <v>44751</v>
      </c>
      <c r="X1140" s="49">
        <v>44751</v>
      </c>
      <c r="Y1140" s="49">
        <v>44751</v>
      </c>
      <c r="AY1140" s="49">
        <v>44751</v>
      </c>
      <c r="AZ1140" s="49">
        <v>44751</v>
      </c>
      <c r="BA1140" s="49">
        <v>44751</v>
      </c>
    </row>
    <row r="1141" spans="23:53" ht="16.2" customHeight="1" x14ac:dyDescent="0.4">
      <c r="W1141" s="49">
        <v>44752</v>
      </c>
      <c r="X1141" s="49">
        <v>44752</v>
      </c>
      <c r="Y1141" s="49">
        <v>44752</v>
      </c>
      <c r="AY1141" s="49">
        <v>44752</v>
      </c>
      <c r="AZ1141" s="49">
        <v>44752</v>
      </c>
      <c r="BA1141" s="49">
        <v>44752</v>
      </c>
    </row>
    <row r="1142" spans="23:53" ht="16.2" customHeight="1" x14ac:dyDescent="0.4">
      <c r="W1142" s="49">
        <v>44758</v>
      </c>
      <c r="X1142" s="49">
        <v>44758</v>
      </c>
      <c r="Y1142" s="49">
        <v>44758</v>
      </c>
      <c r="AY1142" s="49">
        <v>44758</v>
      </c>
      <c r="AZ1142" s="49">
        <v>44758</v>
      </c>
      <c r="BA1142" s="49">
        <v>44758</v>
      </c>
    </row>
    <row r="1143" spans="23:53" ht="16.2" customHeight="1" x14ac:dyDescent="0.4">
      <c r="W1143" s="49">
        <v>44759</v>
      </c>
      <c r="X1143" s="49">
        <v>44759</v>
      </c>
      <c r="Y1143" s="49">
        <v>44759</v>
      </c>
      <c r="AY1143" s="49">
        <v>44759</v>
      </c>
      <c r="AZ1143" s="49">
        <v>44759</v>
      </c>
      <c r="BA1143" s="49">
        <v>44759</v>
      </c>
    </row>
    <row r="1144" spans="23:53" ht="16.2" customHeight="1" x14ac:dyDescent="0.4">
      <c r="W1144" s="49">
        <v>44765</v>
      </c>
      <c r="X1144" s="49">
        <v>44765</v>
      </c>
      <c r="Y1144" s="49">
        <v>44765</v>
      </c>
      <c r="AY1144" s="49">
        <v>44765</v>
      </c>
      <c r="AZ1144" s="49">
        <v>44765</v>
      </c>
      <c r="BA1144" s="49">
        <v>44765</v>
      </c>
    </row>
    <row r="1145" spans="23:53" ht="16.2" customHeight="1" x14ac:dyDescent="0.4">
      <c r="W1145" s="49">
        <v>44766</v>
      </c>
      <c r="X1145" s="49">
        <v>44766</v>
      </c>
      <c r="Y1145" s="49">
        <v>44766</v>
      </c>
      <c r="AY1145" s="49">
        <v>44766</v>
      </c>
      <c r="AZ1145" s="49">
        <v>44766</v>
      </c>
      <c r="BA1145" s="49">
        <v>44766</v>
      </c>
    </row>
    <row r="1146" spans="23:53" ht="16.2" customHeight="1" x14ac:dyDescent="0.4">
      <c r="W1146" s="49">
        <v>44772</v>
      </c>
      <c r="X1146" s="49">
        <v>44772</v>
      </c>
      <c r="Y1146" s="49">
        <v>44772</v>
      </c>
      <c r="AY1146" s="49">
        <v>44772</v>
      </c>
      <c r="AZ1146" s="49">
        <v>44772</v>
      </c>
      <c r="BA1146" s="49">
        <v>44772</v>
      </c>
    </row>
    <row r="1147" spans="23:53" ht="16.2" customHeight="1" x14ac:dyDescent="0.4">
      <c r="W1147" s="49">
        <v>44773</v>
      </c>
      <c r="X1147" s="49">
        <v>44773</v>
      </c>
      <c r="Y1147" s="49">
        <v>44773</v>
      </c>
      <c r="AY1147" s="49">
        <v>44773</v>
      </c>
      <c r="AZ1147" s="49">
        <v>44773</v>
      </c>
      <c r="BA1147" s="49">
        <v>44773</v>
      </c>
    </row>
    <row r="1148" spans="23:53" ht="16.2" customHeight="1" x14ac:dyDescent="0.4">
      <c r="W1148" s="49">
        <v>44779</v>
      </c>
      <c r="X1148" s="49">
        <v>44779</v>
      </c>
      <c r="Y1148" s="49">
        <v>44779</v>
      </c>
      <c r="AY1148" s="49">
        <v>44779</v>
      </c>
      <c r="AZ1148" s="49">
        <v>44779</v>
      </c>
      <c r="BA1148" s="49">
        <v>44779</v>
      </c>
    </row>
    <row r="1149" spans="23:53" ht="16.2" customHeight="1" x14ac:dyDescent="0.4">
      <c r="W1149" s="49">
        <v>44780</v>
      </c>
      <c r="X1149" s="49">
        <v>44780</v>
      </c>
      <c r="Y1149" s="49">
        <v>44780</v>
      </c>
      <c r="AY1149" s="49">
        <v>44780</v>
      </c>
      <c r="AZ1149" s="49">
        <v>44780</v>
      </c>
      <c r="BA1149" s="49">
        <v>44780</v>
      </c>
    </row>
    <row r="1150" spans="23:53" ht="16.2" customHeight="1" x14ac:dyDescent="0.4">
      <c r="W1150" s="49">
        <v>44786</v>
      </c>
      <c r="X1150" s="49">
        <v>44786</v>
      </c>
      <c r="Y1150" s="49">
        <v>44786</v>
      </c>
      <c r="AY1150" s="49">
        <v>44786</v>
      </c>
      <c r="AZ1150" s="49">
        <v>44786</v>
      </c>
      <c r="BA1150" s="49">
        <v>44786</v>
      </c>
    </row>
    <row r="1151" spans="23:53" ht="16.2" customHeight="1" x14ac:dyDescent="0.4">
      <c r="W1151" s="49">
        <v>44787</v>
      </c>
      <c r="X1151" s="49">
        <v>44787</v>
      </c>
      <c r="Y1151" s="49">
        <v>44787</v>
      </c>
      <c r="AY1151" s="49">
        <v>44787</v>
      </c>
      <c r="AZ1151" s="49">
        <v>44787</v>
      </c>
      <c r="BA1151" s="49">
        <v>44787</v>
      </c>
    </row>
    <row r="1152" spans="23:53" ht="16.2" customHeight="1" x14ac:dyDescent="0.4">
      <c r="W1152" s="49">
        <v>44788</v>
      </c>
      <c r="X1152" s="49">
        <v>44788</v>
      </c>
      <c r="Y1152" s="49">
        <v>44788</v>
      </c>
      <c r="AY1152" s="49">
        <v>44788</v>
      </c>
      <c r="AZ1152" s="49">
        <v>44788</v>
      </c>
      <c r="BA1152" s="49">
        <v>44788</v>
      </c>
    </row>
    <row r="1153" spans="23:53" ht="16.2" customHeight="1" x14ac:dyDescent="0.4">
      <c r="W1153" s="49">
        <v>44793</v>
      </c>
      <c r="X1153" s="49">
        <v>44793</v>
      </c>
      <c r="Y1153" s="49">
        <v>44793</v>
      </c>
      <c r="AY1153" s="49">
        <v>44793</v>
      </c>
      <c r="AZ1153" s="49">
        <v>44793</v>
      </c>
      <c r="BA1153" s="49">
        <v>44793</v>
      </c>
    </row>
    <row r="1154" spans="23:53" ht="16.2" customHeight="1" x14ac:dyDescent="0.4">
      <c r="W1154" s="49">
        <v>44794</v>
      </c>
      <c r="X1154" s="49">
        <v>44794</v>
      </c>
      <c r="Y1154" s="49">
        <v>44794</v>
      </c>
      <c r="AY1154" s="49">
        <v>44794</v>
      </c>
      <c r="AZ1154" s="49">
        <v>44794</v>
      </c>
      <c r="BA1154" s="49">
        <v>44794</v>
      </c>
    </row>
    <row r="1155" spans="23:53" ht="16.2" customHeight="1" x14ac:dyDescent="0.4">
      <c r="W1155" s="49">
        <v>44800</v>
      </c>
      <c r="X1155" s="49">
        <v>44800</v>
      </c>
      <c r="Y1155" s="49">
        <v>44800</v>
      </c>
      <c r="AY1155" s="49">
        <v>44800</v>
      </c>
      <c r="AZ1155" s="49">
        <v>44800</v>
      </c>
      <c r="BA1155" s="49">
        <v>44800</v>
      </c>
    </row>
    <row r="1156" spans="23:53" ht="16.2" customHeight="1" x14ac:dyDescent="0.4">
      <c r="W1156" s="49">
        <v>44801</v>
      </c>
      <c r="X1156" s="49">
        <v>44801</v>
      </c>
      <c r="Y1156" s="49">
        <v>44801</v>
      </c>
      <c r="AY1156" s="49">
        <v>44801</v>
      </c>
      <c r="AZ1156" s="49">
        <v>44801</v>
      </c>
      <c r="BA1156" s="49">
        <v>44801</v>
      </c>
    </row>
    <row r="1157" spans="23:53" ht="16.2" customHeight="1" x14ac:dyDescent="0.4">
      <c r="W1157" s="49">
        <v>44807</v>
      </c>
      <c r="X1157" s="49">
        <v>44807</v>
      </c>
      <c r="Y1157" s="49">
        <v>44807</v>
      </c>
      <c r="AY1157" s="49">
        <v>44807</v>
      </c>
      <c r="AZ1157" s="49">
        <v>44807</v>
      </c>
      <c r="BA1157" s="49">
        <v>44807</v>
      </c>
    </row>
    <row r="1158" spans="23:53" ht="16.2" customHeight="1" x14ac:dyDescent="0.4">
      <c r="W1158" s="49">
        <v>44808</v>
      </c>
      <c r="X1158" s="49">
        <v>44808</v>
      </c>
      <c r="Y1158" s="49">
        <v>44808</v>
      </c>
      <c r="AY1158" s="49">
        <v>44808</v>
      </c>
      <c r="AZ1158" s="49">
        <v>44808</v>
      </c>
      <c r="BA1158" s="49">
        <v>44808</v>
      </c>
    </row>
    <row r="1159" spans="23:53" ht="16.2" customHeight="1" x14ac:dyDescent="0.4">
      <c r="W1159" s="49">
        <v>44813</v>
      </c>
      <c r="X1159" s="49">
        <v>44813</v>
      </c>
      <c r="Y1159" s="49">
        <v>44813</v>
      </c>
      <c r="AY1159" s="49">
        <v>44813</v>
      </c>
      <c r="AZ1159" s="49">
        <v>44813</v>
      </c>
      <c r="BA1159" s="49">
        <v>44813</v>
      </c>
    </row>
    <row r="1160" spans="23:53" ht="16.2" customHeight="1" x14ac:dyDescent="0.4">
      <c r="W1160" s="49">
        <v>44815</v>
      </c>
      <c r="X1160" s="49">
        <v>44815</v>
      </c>
      <c r="Y1160" s="49">
        <v>44815</v>
      </c>
      <c r="AY1160" s="49">
        <v>44815</v>
      </c>
      <c r="AZ1160" s="49">
        <v>44815</v>
      </c>
      <c r="BA1160" s="49">
        <v>44815</v>
      </c>
    </row>
    <row r="1161" spans="23:53" ht="16.2" customHeight="1" x14ac:dyDescent="0.4">
      <c r="W1161" s="49">
        <v>44821</v>
      </c>
      <c r="X1161" s="49">
        <v>44821</v>
      </c>
      <c r="Y1161" s="49">
        <v>44821</v>
      </c>
      <c r="AY1161" s="49">
        <v>44821</v>
      </c>
      <c r="AZ1161" s="49">
        <v>44821</v>
      </c>
      <c r="BA1161" s="49">
        <v>44821</v>
      </c>
    </row>
    <row r="1162" spans="23:53" ht="16.2" customHeight="1" x14ac:dyDescent="0.4">
      <c r="W1162" s="49">
        <v>44822</v>
      </c>
      <c r="X1162" s="49">
        <v>44822</v>
      </c>
      <c r="Y1162" s="49">
        <v>44822</v>
      </c>
      <c r="AY1162" s="49">
        <v>44822</v>
      </c>
      <c r="AZ1162" s="49">
        <v>44822</v>
      </c>
      <c r="BA1162" s="49">
        <v>44822</v>
      </c>
    </row>
    <row r="1163" spans="23:53" ht="16.2" customHeight="1" x14ac:dyDescent="0.4">
      <c r="W1163" s="49">
        <v>44828</v>
      </c>
      <c r="X1163" s="49">
        <v>44828</v>
      </c>
      <c r="Y1163" s="49">
        <v>44828</v>
      </c>
      <c r="AY1163" s="49">
        <v>44828</v>
      </c>
      <c r="AZ1163" s="49">
        <v>44828</v>
      </c>
      <c r="BA1163" s="49">
        <v>44828</v>
      </c>
    </row>
    <row r="1164" spans="23:53" ht="16.2" customHeight="1" x14ac:dyDescent="0.4">
      <c r="W1164" s="49">
        <v>44829</v>
      </c>
      <c r="X1164" s="49">
        <v>44829</v>
      </c>
      <c r="Y1164" s="49">
        <v>44829</v>
      </c>
      <c r="AY1164" s="49">
        <v>44829</v>
      </c>
      <c r="AZ1164" s="49">
        <v>44829</v>
      </c>
      <c r="BA1164" s="49">
        <v>44829</v>
      </c>
    </row>
    <row r="1165" spans="23:53" ht="16.2" customHeight="1" x14ac:dyDescent="0.4">
      <c r="W1165" s="49">
        <v>44835</v>
      </c>
      <c r="X1165" s="49">
        <v>44835</v>
      </c>
      <c r="Y1165" s="49">
        <v>44835</v>
      </c>
      <c r="AY1165" s="49">
        <v>44835</v>
      </c>
      <c r="AZ1165" s="49">
        <v>44835</v>
      </c>
      <c r="BA1165" s="49">
        <v>44835</v>
      </c>
    </row>
    <row r="1166" spans="23:53" ht="16.2" customHeight="1" x14ac:dyDescent="0.4">
      <c r="W1166" s="49">
        <v>44836</v>
      </c>
      <c r="X1166" s="49">
        <v>44836</v>
      </c>
      <c r="Y1166" s="49">
        <v>44836</v>
      </c>
      <c r="AY1166" s="49">
        <v>44836</v>
      </c>
      <c r="AZ1166" s="49">
        <v>44836</v>
      </c>
      <c r="BA1166" s="49">
        <v>44836</v>
      </c>
    </row>
    <row r="1167" spans="23:53" ht="16.2" customHeight="1" x14ac:dyDescent="0.4">
      <c r="W1167" s="49">
        <v>44837</v>
      </c>
      <c r="X1167" s="49">
        <v>44837</v>
      </c>
      <c r="Y1167" s="49">
        <v>44837</v>
      </c>
      <c r="AY1167" s="49">
        <v>44837</v>
      </c>
      <c r="AZ1167" s="49">
        <v>44837</v>
      </c>
      <c r="BA1167" s="49">
        <v>44837</v>
      </c>
    </row>
    <row r="1168" spans="23:53" ht="16.2" customHeight="1" x14ac:dyDescent="0.4">
      <c r="W1168" s="49">
        <v>44842</v>
      </c>
      <c r="X1168" s="49">
        <v>44842</v>
      </c>
      <c r="Y1168" s="49">
        <v>44842</v>
      </c>
      <c r="AY1168" s="49">
        <v>44842</v>
      </c>
      <c r="AZ1168" s="49">
        <v>44842</v>
      </c>
      <c r="BA1168" s="49">
        <v>44842</v>
      </c>
    </row>
    <row r="1169" spans="23:53" ht="16.2" customHeight="1" x14ac:dyDescent="0.4">
      <c r="W1169" s="49">
        <v>44843</v>
      </c>
      <c r="X1169" s="49">
        <v>44843</v>
      </c>
      <c r="Y1169" s="49">
        <v>44843</v>
      </c>
      <c r="AY1169" s="49">
        <v>44843</v>
      </c>
      <c r="AZ1169" s="49">
        <v>44843</v>
      </c>
      <c r="BA1169" s="49">
        <v>44843</v>
      </c>
    </row>
    <row r="1170" spans="23:53" ht="16.2" customHeight="1" x14ac:dyDescent="0.4">
      <c r="W1170" s="49">
        <v>44849</v>
      </c>
      <c r="X1170" s="49">
        <v>44849</v>
      </c>
      <c r="Y1170" s="49">
        <v>44849</v>
      </c>
      <c r="AY1170" s="49">
        <v>44849</v>
      </c>
      <c r="AZ1170" s="49">
        <v>44849</v>
      </c>
      <c r="BA1170" s="49">
        <v>44849</v>
      </c>
    </row>
    <row r="1171" spans="23:53" ht="16.2" customHeight="1" x14ac:dyDescent="0.4">
      <c r="W1171" s="49">
        <v>44850</v>
      </c>
      <c r="X1171" s="49">
        <v>44850</v>
      </c>
      <c r="Y1171" s="49">
        <v>44850</v>
      </c>
      <c r="AY1171" s="49">
        <v>44850</v>
      </c>
      <c r="AZ1171" s="49">
        <v>44850</v>
      </c>
      <c r="BA1171" s="49">
        <v>44850</v>
      </c>
    </row>
    <row r="1172" spans="23:53" ht="16.2" customHeight="1" x14ac:dyDescent="0.4">
      <c r="W1172" s="49">
        <v>44856</v>
      </c>
      <c r="X1172" s="49">
        <v>44856</v>
      </c>
      <c r="Y1172" s="49">
        <v>44856</v>
      </c>
      <c r="AY1172" s="49">
        <v>44856</v>
      </c>
      <c r="AZ1172" s="49">
        <v>44856</v>
      </c>
      <c r="BA1172" s="49">
        <v>44856</v>
      </c>
    </row>
    <row r="1173" spans="23:53" ht="16.2" customHeight="1" x14ac:dyDescent="0.4">
      <c r="W1173" s="49">
        <v>44857</v>
      </c>
      <c r="X1173" s="49">
        <v>44857</v>
      </c>
      <c r="Y1173" s="49">
        <v>44857</v>
      </c>
      <c r="AY1173" s="49">
        <v>44857</v>
      </c>
      <c r="AZ1173" s="49">
        <v>44857</v>
      </c>
      <c r="BA1173" s="49">
        <v>44857</v>
      </c>
    </row>
    <row r="1174" spans="23:53" ht="16.2" customHeight="1" x14ac:dyDescent="0.4">
      <c r="W1174" s="49">
        <v>44863</v>
      </c>
      <c r="X1174" s="49">
        <v>44863</v>
      </c>
      <c r="Y1174" s="49">
        <v>44863</v>
      </c>
      <c r="AY1174" s="49">
        <v>44863</v>
      </c>
      <c r="AZ1174" s="49">
        <v>44863</v>
      </c>
      <c r="BA1174" s="49">
        <v>44863</v>
      </c>
    </row>
    <row r="1175" spans="23:53" ht="16.2" customHeight="1" x14ac:dyDescent="0.4">
      <c r="W1175" s="49">
        <v>44864</v>
      </c>
      <c r="X1175" s="49">
        <v>44864</v>
      </c>
      <c r="Y1175" s="49">
        <v>44864</v>
      </c>
      <c r="AY1175" s="49">
        <v>44864</v>
      </c>
      <c r="AZ1175" s="49">
        <v>44864</v>
      </c>
      <c r="BA1175" s="49">
        <v>44864</v>
      </c>
    </row>
    <row r="1176" spans="23:53" ht="16.2" customHeight="1" x14ac:dyDescent="0.4">
      <c r="W1176" s="49">
        <v>44870</v>
      </c>
      <c r="X1176" s="49">
        <v>44870</v>
      </c>
      <c r="Y1176" s="49">
        <v>44870</v>
      </c>
      <c r="AY1176" s="49">
        <v>44870</v>
      </c>
      <c r="AZ1176" s="49">
        <v>44870</v>
      </c>
      <c r="BA1176" s="49">
        <v>44870</v>
      </c>
    </row>
    <row r="1177" spans="23:53" ht="16.2" customHeight="1" x14ac:dyDescent="0.4">
      <c r="W1177" s="49">
        <v>44871</v>
      </c>
      <c r="X1177" s="49">
        <v>44871</v>
      </c>
      <c r="Y1177" s="49">
        <v>44871</v>
      </c>
      <c r="AY1177" s="49">
        <v>44871</v>
      </c>
      <c r="AZ1177" s="49">
        <v>44871</v>
      </c>
      <c r="BA1177" s="49">
        <v>44871</v>
      </c>
    </row>
    <row r="1178" spans="23:53" ht="16.2" customHeight="1" x14ac:dyDescent="0.4">
      <c r="W1178" s="49">
        <v>44877</v>
      </c>
      <c r="X1178" s="49">
        <v>44877</v>
      </c>
      <c r="Y1178" s="49">
        <v>44877</v>
      </c>
      <c r="AY1178" s="49">
        <v>44877</v>
      </c>
      <c r="AZ1178" s="49">
        <v>44877</v>
      </c>
      <c r="BA1178" s="49">
        <v>44877</v>
      </c>
    </row>
    <row r="1179" spans="23:53" ht="16.2" customHeight="1" x14ac:dyDescent="0.4">
      <c r="W1179" s="49">
        <v>44878</v>
      </c>
      <c r="X1179" s="49">
        <v>44878</v>
      </c>
      <c r="Y1179" s="49">
        <v>44878</v>
      </c>
      <c r="AY1179" s="49">
        <v>44878</v>
      </c>
      <c r="AZ1179" s="49">
        <v>44878</v>
      </c>
      <c r="BA1179" s="49">
        <v>44878</v>
      </c>
    </row>
    <row r="1180" spans="23:53" ht="16.2" customHeight="1" x14ac:dyDescent="0.4">
      <c r="W1180" s="49">
        <v>44884</v>
      </c>
      <c r="X1180" s="49">
        <v>44884</v>
      </c>
      <c r="Y1180" s="49">
        <v>44884</v>
      </c>
      <c r="AY1180" s="49">
        <v>44884</v>
      </c>
      <c r="AZ1180" s="49">
        <v>44884</v>
      </c>
      <c r="BA1180" s="49">
        <v>44884</v>
      </c>
    </row>
    <row r="1181" spans="23:53" ht="16.2" customHeight="1" x14ac:dyDescent="0.4">
      <c r="W1181" s="49">
        <v>44885</v>
      </c>
      <c r="X1181" s="49">
        <v>44885</v>
      </c>
      <c r="Y1181" s="49">
        <v>44885</v>
      </c>
      <c r="AY1181" s="49">
        <v>44885</v>
      </c>
      <c r="AZ1181" s="49">
        <v>44885</v>
      </c>
      <c r="BA1181" s="49">
        <v>44885</v>
      </c>
    </row>
    <row r="1182" spans="23:53" ht="16.2" customHeight="1" x14ac:dyDescent="0.4">
      <c r="W1182" s="49">
        <v>44891</v>
      </c>
      <c r="X1182" s="49">
        <v>44891</v>
      </c>
      <c r="Y1182" s="49">
        <v>44891</v>
      </c>
      <c r="AY1182" s="49">
        <v>44891</v>
      </c>
      <c r="AZ1182" s="49">
        <v>44891</v>
      </c>
      <c r="BA1182" s="49">
        <v>44891</v>
      </c>
    </row>
    <row r="1183" spans="23:53" ht="16.2" customHeight="1" x14ac:dyDescent="0.4">
      <c r="W1183" s="49">
        <v>44892</v>
      </c>
      <c r="X1183" s="49">
        <v>44892</v>
      </c>
      <c r="Y1183" s="49">
        <v>44892</v>
      </c>
      <c r="AY1183" s="49">
        <v>44892</v>
      </c>
      <c r="AZ1183" s="49">
        <v>44892</v>
      </c>
      <c r="BA1183" s="49">
        <v>44892</v>
      </c>
    </row>
    <row r="1184" spans="23:53" ht="16.2" customHeight="1" x14ac:dyDescent="0.4">
      <c r="W1184" s="49">
        <v>44898</v>
      </c>
      <c r="X1184" s="49">
        <v>44898</v>
      </c>
      <c r="Y1184" s="49">
        <v>44898</v>
      </c>
      <c r="AY1184" s="49">
        <v>44898</v>
      </c>
      <c r="AZ1184" s="49">
        <v>44898</v>
      </c>
      <c r="BA1184" s="49">
        <v>44898</v>
      </c>
    </row>
    <row r="1185" spans="23:53" ht="16.2" customHeight="1" x14ac:dyDescent="0.4">
      <c r="W1185" s="49">
        <v>44899</v>
      </c>
      <c r="X1185" s="49">
        <v>44899</v>
      </c>
      <c r="Y1185" s="49">
        <v>44899</v>
      </c>
      <c r="AY1185" s="49">
        <v>44899</v>
      </c>
      <c r="AZ1185" s="49">
        <v>44899</v>
      </c>
      <c r="BA1185" s="49">
        <v>44899</v>
      </c>
    </row>
    <row r="1186" spans="23:53" ht="16.2" customHeight="1" x14ac:dyDescent="0.4">
      <c r="W1186" s="49">
        <v>44905</v>
      </c>
      <c r="X1186" s="49">
        <v>44905</v>
      </c>
      <c r="Y1186" s="49">
        <v>44905</v>
      </c>
      <c r="AY1186" s="49">
        <v>44905</v>
      </c>
      <c r="AZ1186" s="49">
        <v>44905</v>
      </c>
      <c r="BA1186" s="49">
        <v>44905</v>
      </c>
    </row>
    <row r="1187" spans="23:53" ht="16.2" customHeight="1" x14ac:dyDescent="0.4">
      <c r="W1187" s="49">
        <v>44906</v>
      </c>
      <c r="X1187" s="49">
        <v>44906</v>
      </c>
      <c r="Y1187" s="49">
        <v>44906</v>
      </c>
      <c r="AY1187" s="49">
        <v>44906</v>
      </c>
      <c r="AZ1187" s="49">
        <v>44906</v>
      </c>
      <c r="BA1187" s="49">
        <v>44906</v>
      </c>
    </row>
    <row r="1188" spans="23:53" ht="16.2" customHeight="1" x14ac:dyDescent="0.4">
      <c r="W1188" s="49">
        <v>44912</v>
      </c>
      <c r="X1188" s="49">
        <v>44912</v>
      </c>
      <c r="Y1188" s="49">
        <v>44912</v>
      </c>
      <c r="AY1188" s="49">
        <v>44912</v>
      </c>
      <c r="AZ1188" s="49">
        <v>44912</v>
      </c>
      <c r="BA1188" s="49">
        <v>44912</v>
      </c>
    </row>
    <row r="1189" spans="23:53" ht="16.2" customHeight="1" x14ac:dyDescent="0.4">
      <c r="W1189" s="49">
        <v>44913</v>
      </c>
      <c r="X1189" s="49">
        <v>44913</v>
      </c>
      <c r="Y1189" s="49">
        <v>44913</v>
      </c>
      <c r="AY1189" s="49">
        <v>44913</v>
      </c>
      <c r="AZ1189" s="49">
        <v>44913</v>
      </c>
      <c r="BA1189" s="49">
        <v>44913</v>
      </c>
    </row>
    <row r="1190" spans="23:53" ht="16.2" customHeight="1" x14ac:dyDescent="0.4">
      <c r="W1190" s="49">
        <v>44919</v>
      </c>
      <c r="X1190" s="49">
        <v>44919</v>
      </c>
      <c r="Y1190" s="49">
        <v>44919</v>
      </c>
      <c r="AY1190" s="49">
        <v>44919</v>
      </c>
      <c r="AZ1190" s="49">
        <v>44919</v>
      </c>
      <c r="BA1190" s="49">
        <v>44919</v>
      </c>
    </row>
    <row r="1191" spans="23:53" ht="16.2" customHeight="1" x14ac:dyDescent="0.4">
      <c r="W1191" s="49">
        <v>44920</v>
      </c>
      <c r="X1191" s="49">
        <v>44920</v>
      </c>
      <c r="Y1191" s="49">
        <v>44920</v>
      </c>
      <c r="AY1191" s="49">
        <v>44920</v>
      </c>
      <c r="AZ1191" s="49">
        <v>44920</v>
      </c>
      <c r="BA1191" s="49">
        <v>44920</v>
      </c>
    </row>
    <row r="1192" spans="23:53" ht="16.2" customHeight="1" x14ac:dyDescent="0.4">
      <c r="W1192" s="49">
        <v>44926</v>
      </c>
      <c r="X1192" s="49">
        <v>44926</v>
      </c>
      <c r="Y1192" s="49">
        <v>44926</v>
      </c>
      <c r="AY1192" s="49">
        <v>44926</v>
      </c>
      <c r="AZ1192" s="49">
        <v>44926</v>
      </c>
      <c r="BA1192" s="49">
        <v>44926</v>
      </c>
    </row>
    <row r="1193" spans="23:53" ht="16.2" customHeight="1" x14ac:dyDescent="0.4">
      <c r="W1193" s="49">
        <v>44927</v>
      </c>
      <c r="X1193" s="49">
        <v>44927</v>
      </c>
      <c r="Y1193" s="49">
        <v>44927</v>
      </c>
      <c r="AY1193" s="49">
        <v>44927</v>
      </c>
      <c r="AZ1193" s="49">
        <v>44927</v>
      </c>
      <c r="BA1193" s="49">
        <v>44927</v>
      </c>
    </row>
    <row r="1194" spans="23:53" ht="16.2" customHeight="1" x14ac:dyDescent="0.4">
      <c r="W1194" s="49">
        <v>44933</v>
      </c>
      <c r="X1194" s="49">
        <v>44933</v>
      </c>
      <c r="Y1194" s="49">
        <v>44933</v>
      </c>
      <c r="AY1194" s="49">
        <v>44933</v>
      </c>
      <c r="AZ1194" s="49">
        <v>44933</v>
      </c>
      <c r="BA1194" s="49">
        <v>44933</v>
      </c>
    </row>
    <row r="1195" spans="23:53" ht="16.2" customHeight="1" x14ac:dyDescent="0.4">
      <c r="W1195" s="49">
        <v>44934</v>
      </c>
      <c r="X1195" s="49">
        <v>44934</v>
      </c>
      <c r="Y1195" s="49">
        <v>44934</v>
      </c>
      <c r="AY1195" s="49">
        <v>44934</v>
      </c>
      <c r="AZ1195" s="49">
        <v>44934</v>
      </c>
      <c r="BA1195" s="49">
        <v>44934</v>
      </c>
    </row>
    <row r="1196" spans="23:53" ht="16.2" customHeight="1" x14ac:dyDescent="0.4">
      <c r="W1196" s="49">
        <v>44940</v>
      </c>
      <c r="X1196" s="49">
        <v>44940</v>
      </c>
      <c r="Y1196" s="49">
        <v>44940</v>
      </c>
      <c r="AY1196" s="49">
        <v>44940</v>
      </c>
      <c r="AZ1196" s="49">
        <v>44940</v>
      </c>
      <c r="BA1196" s="49">
        <v>44940</v>
      </c>
    </row>
    <row r="1197" spans="23:53" ht="16.2" customHeight="1" x14ac:dyDescent="0.4">
      <c r="W1197" s="49">
        <v>44941</v>
      </c>
      <c r="X1197" s="49">
        <v>44941</v>
      </c>
      <c r="Y1197" s="49">
        <v>44941</v>
      </c>
      <c r="AY1197" s="49">
        <v>44941</v>
      </c>
      <c r="AZ1197" s="49">
        <v>44941</v>
      </c>
      <c r="BA1197" s="49">
        <v>44941</v>
      </c>
    </row>
    <row r="1198" spans="23:53" ht="16.2" customHeight="1" x14ac:dyDescent="0.4">
      <c r="W1198" s="49">
        <v>44948</v>
      </c>
      <c r="X1198" s="49">
        <v>44948</v>
      </c>
      <c r="Y1198" s="49">
        <v>44948</v>
      </c>
      <c r="AY1198" s="49">
        <v>44948</v>
      </c>
      <c r="AZ1198" s="49">
        <v>44948</v>
      </c>
      <c r="BA1198" s="49">
        <v>44948</v>
      </c>
    </row>
    <row r="1199" spans="23:53" ht="16.2" customHeight="1" x14ac:dyDescent="0.4">
      <c r="W1199" s="49">
        <v>44949</v>
      </c>
      <c r="X1199" s="49">
        <v>44949</v>
      </c>
      <c r="Y1199" s="49">
        <v>44949</v>
      </c>
      <c r="AY1199" s="49">
        <v>44949</v>
      </c>
      <c r="AZ1199" s="49">
        <v>44949</v>
      </c>
      <c r="BA1199" s="49">
        <v>44949</v>
      </c>
    </row>
    <row r="1200" spans="23:53" ht="16.2" customHeight="1" x14ac:dyDescent="0.4">
      <c r="W1200" s="49">
        <v>44954</v>
      </c>
      <c r="X1200" s="49">
        <v>44954</v>
      </c>
      <c r="Y1200" s="49">
        <v>44954</v>
      </c>
      <c r="AY1200" s="49">
        <v>44954</v>
      </c>
      <c r="AZ1200" s="49">
        <v>44954</v>
      </c>
      <c r="BA1200" s="49">
        <v>44954</v>
      </c>
    </row>
    <row r="1201" spans="23:53" ht="16.2" customHeight="1" x14ac:dyDescent="0.4">
      <c r="W1201" s="49">
        <v>44955</v>
      </c>
      <c r="X1201" s="49">
        <v>44955</v>
      </c>
      <c r="Y1201" s="49">
        <v>44955</v>
      </c>
      <c r="AY1201" s="49">
        <v>44955</v>
      </c>
      <c r="AZ1201" s="49">
        <v>44955</v>
      </c>
      <c r="BA1201" s="49">
        <v>44955</v>
      </c>
    </row>
    <row r="1202" spans="23:53" ht="16.2" customHeight="1" x14ac:dyDescent="0.4">
      <c r="W1202" s="49">
        <v>44961</v>
      </c>
      <c r="X1202" s="49">
        <v>44961</v>
      </c>
      <c r="Y1202" s="49">
        <v>44961</v>
      </c>
      <c r="AY1202" s="49">
        <v>44961</v>
      </c>
      <c r="AZ1202" s="49">
        <v>44961</v>
      </c>
      <c r="BA1202" s="49">
        <v>44961</v>
      </c>
    </row>
    <row r="1203" spans="23:53" ht="16.2" customHeight="1" x14ac:dyDescent="0.4">
      <c r="W1203" s="49">
        <v>44962</v>
      </c>
      <c r="X1203" s="49">
        <v>44962</v>
      </c>
      <c r="Y1203" s="49">
        <v>44962</v>
      </c>
      <c r="AY1203" s="49">
        <v>44962</v>
      </c>
      <c r="AZ1203" s="49">
        <v>44962</v>
      </c>
      <c r="BA1203" s="49">
        <v>44962</v>
      </c>
    </row>
    <row r="1204" spans="23:53" ht="16.2" customHeight="1" x14ac:dyDescent="0.4">
      <c r="W1204" s="49">
        <v>44968</v>
      </c>
      <c r="X1204" s="49">
        <v>44968</v>
      </c>
      <c r="Y1204" s="49">
        <v>44968</v>
      </c>
      <c r="AY1204" s="49">
        <v>44968</v>
      </c>
      <c r="AZ1204" s="49">
        <v>44968</v>
      </c>
      <c r="BA1204" s="49">
        <v>44968</v>
      </c>
    </row>
    <row r="1205" spans="23:53" ht="16.2" customHeight="1" x14ac:dyDescent="0.4">
      <c r="W1205" s="49">
        <v>44969</v>
      </c>
      <c r="X1205" s="49">
        <v>44969</v>
      </c>
      <c r="Y1205" s="49">
        <v>44969</v>
      </c>
      <c r="AY1205" s="49">
        <v>44969</v>
      </c>
      <c r="AZ1205" s="49">
        <v>44969</v>
      </c>
      <c r="BA1205" s="49">
        <v>44969</v>
      </c>
    </row>
    <row r="1206" spans="23:53" ht="16.2" customHeight="1" x14ac:dyDescent="0.4">
      <c r="W1206" s="49">
        <v>44975</v>
      </c>
      <c r="X1206" s="49">
        <v>44975</v>
      </c>
      <c r="Y1206" s="49">
        <v>44975</v>
      </c>
      <c r="AY1206" s="49">
        <v>44975</v>
      </c>
      <c r="AZ1206" s="49">
        <v>44975</v>
      </c>
      <c r="BA1206" s="49">
        <v>44975</v>
      </c>
    </row>
    <row r="1207" spans="23:53" ht="16.2" customHeight="1" x14ac:dyDescent="0.4">
      <c r="W1207" s="49">
        <v>44976</v>
      </c>
      <c r="X1207" s="49">
        <v>44976</v>
      </c>
      <c r="Y1207" s="49">
        <v>44976</v>
      </c>
      <c r="AY1207" s="49">
        <v>44976</v>
      </c>
      <c r="AZ1207" s="49">
        <v>44976</v>
      </c>
      <c r="BA1207" s="49">
        <v>44976</v>
      </c>
    </row>
    <row r="1208" spans="23:53" ht="16.2" customHeight="1" x14ac:dyDescent="0.4">
      <c r="W1208" s="49">
        <v>44982</v>
      </c>
      <c r="X1208" s="49">
        <v>44982</v>
      </c>
      <c r="Y1208" s="49">
        <v>44982</v>
      </c>
      <c r="AY1208" s="49">
        <v>44982</v>
      </c>
      <c r="AZ1208" s="49">
        <v>44982</v>
      </c>
      <c r="BA1208" s="49">
        <v>44982</v>
      </c>
    </row>
    <row r="1209" spans="23:53" ht="16.2" customHeight="1" x14ac:dyDescent="0.4">
      <c r="W1209" s="49">
        <v>44983</v>
      </c>
      <c r="X1209" s="49">
        <v>44983</v>
      </c>
      <c r="Y1209" s="49">
        <v>44983</v>
      </c>
      <c r="AY1209" s="49">
        <v>44983</v>
      </c>
      <c r="AZ1209" s="49">
        <v>44983</v>
      </c>
      <c r="BA1209" s="49">
        <v>44983</v>
      </c>
    </row>
    <row r="1210" spans="23:53" ht="16.2" customHeight="1" x14ac:dyDescent="0.4">
      <c r="W1210" s="49">
        <v>44986</v>
      </c>
      <c r="X1210" s="49">
        <v>44986</v>
      </c>
      <c r="Y1210" s="49">
        <v>44986</v>
      </c>
      <c r="AY1210" s="49">
        <v>44986</v>
      </c>
      <c r="AZ1210" s="49">
        <v>44986</v>
      </c>
      <c r="BA1210" s="49">
        <v>44986</v>
      </c>
    </row>
    <row r="1211" spans="23:53" ht="16.2" customHeight="1" x14ac:dyDescent="0.4">
      <c r="W1211" s="49">
        <v>44989</v>
      </c>
      <c r="X1211" s="49">
        <v>44989</v>
      </c>
      <c r="Y1211" s="49">
        <v>44989</v>
      </c>
      <c r="AY1211" s="49">
        <v>44989</v>
      </c>
      <c r="AZ1211" s="49">
        <v>44989</v>
      </c>
      <c r="BA1211" s="49">
        <v>44989</v>
      </c>
    </row>
    <row r="1212" spans="23:53" ht="16.2" customHeight="1" x14ac:dyDescent="0.4">
      <c r="W1212" s="49">
        <v>44990</v>
      </c>
      <c r="X1212" s="49">
        <v>44990</v>
      </c>
      <c r="Y1212" s="49">
        <v>44990</v>
      </c>
      <c r="AY1212" s="49">
        <v>44990</v>
      </c>
      <c r="AZ1212" s="49">
        <v>44990</v>
      </c>
      <c r="BA1212" s="49">
        <v>44990</v>
      </c>
    </row>
    <row r="1213" spans="23:53" ht="16.2" customHeight="1" x14ac:dyDescent="0.4">
      <c r="W1213" s="49">
        <v>44996</v>
      </c>
      <c r="X1213" s="49">
        <v>44996</v>
      </c>
      <c r="Y1213" s="49">
        <v>44996</v>
      </c>
      <c r="AY1213" s="49">
        <v>44996</v>
      </c>
      <c r="AZ1213" s="49">
        <v>44996</v>
      </c>
      <c r="BA1213" s="49">
        <v>44996</v>
      </c>
    </row>
    <row r="1214" spans="23:53" ht="16.2" customHeight="1" x14ac:dyDescent="0.4">
      <c r="W1214" s="49">
        <v>44997</v>
      </c>
      <c r="X1214" s="49">
        <v>44997</v>
      </c>
      <c r="Y1214" s="49">
        <v>44997</v>
      </c>
      <c r="AY1214" s="49">
        <v>44997</v>
      </c>
      <c r="AZ1214" s="49">
        <v>44997</v>
      </c>
      <c r="BA1214" s="49">
        <v>44997</v>
      </c>
    </row>
    <row r="1215" spans="23:53" ht="16.2" customHeight="1" x14ac:dyDescent="0.4">
      <c r="W1215" s="49">
        <v>45003</v>
      </c>
      <c r="X1215" s="49">
        <v>45003</v>
      </c>
      <c r="Y1215" s="49">
        <v>45003</v>
      </c>
      <c r="AY1215" s="49">
        <v>45003</v>
      </c>
      <c r="AZ1215" s="49">
        <v>45003</v>
      </c>
      <c r="BA1215" s="49">
        <v>45003</v>
      </c>
    </row>
    <row r="1216" spans="23:53" ht="16.2" customHeight="1" x14ac:dyDescent="0.4">
      <c r="W1216" s="49">
        <v>45004</v>
      </c>
      <c r="X1216" s="49">
        <v>45004</v>
      </c>
      <c r="Y1216" s="49">
        <v>45004</v>
      </c>
      <c r="AY1216" s="49">
        <v>45004</v>
      </c>
      <c r="AZ1216" s="49">
        <v>45004</v>
      </c>
      <c r="BA1216" s="49">
        <v>45004</v>
      </c>
    </row>
    <row r="1217" spans="23:53" ht="16.2" customHeight="1" x14ac:dyDescent="0.4">
      <c r="W1217" s="49">
        <v>45010</v>
      </c>
      <c r="X1217" s="49">
        <v>45010</v>
      </c>
      <c r="Y1217" s="49">
        <v>45010</v>
      </c>
      <c r="AY1217" s="49">
        <v>45010</v>
      </c>
      <c r="AZ1217" s="49">
        <v>45010</v>
      </c>
      <c r="BA1217" s="49">
        <v>45010</v>
      </c>
    </row>
    <row r="1218" spans="23:53" ht="16.2" customHeight="1" x14ac:dyDescent="0.4">
      <c r="W1218" s="49">
        <v>45011</v>
      </c>
      <c r="X1218" s="49">
        <v>45011</v>
      </c>
      <c r="Y1218" s="49">
        <v>45011</v>
      </c>
      <c r="AY1218" s="49">
        <v>45011</v>
      </c>
      <c r="AZ1218" s="49">
        <v>45011</v>
      </c>
      <c r="BA1218" s="49">
        <v>45011</v>
      </c>
    </row>
    <row r="1219" spans="23:53" ht="16.2" customHeight="1" x14ac:dyDescent="0.4">
      <c r="W1219" s="49">
        <v>45017</v>
      </c>
      <c r="X1219" s="49">
        <v>45017</v>
      </c>
      <c r="Y1219" s="49">
        <v>45017</v>
      </c>
      <c r="AY1219" s="49">
        <v>45017</v>
      </c>
      <c r="AZ1219" s="49">
        <v>45017</v>
      </c>
      <c r="BA1219" s="49">
        <v>45017</v>
      </c>
    </row>
    <row r="1220" spans="23:53" ht="16.2" customHeight="1" x14ac:dyDescent="0.4">
      <c r="W1220" s="49">
        <v>45018</v>
      </c>
      <c r="X1220" s="49">
        <v>45018</v>
      </c>
      <c r="Y1220" s="49">
        <v>45018</v>
      </c>
      <c r="AY1220" s="49">
        <v>45018</v>
      </c>
      <c r="AZ1220" s="49">
        <v>45018</v>
      </c>
      <c r="BA1220" s="49">
        <v>45018</v>
      </c>
    </row>
    <row r="1221" spans="23:53" ht="16.2" customHeight="1" x14ac:dyDescent="0.4">
      <c r="W1221" s="49">
        <v>45024</v>
      </c>
      <c r="X1221" s="49">
        <v>45024</v>
      </c>
      <c r="Y1221" s="49">
        <v>45024</v>
      </c>
      <c r="AY1221" s="49">
        <v>45024</v>
      </c>
      <c r="AZ1221" s="49">
        <v>45024</v>
      </c>
      <c r="BA1221" s="49">
        <v>45024</v>
      </c>
    </row>
    <row r="1222" spans="23:53" ht="16.2" customHeight="1" x14ac:dyDescent="0.4">
      <c r="W1222" s="49">
        <v>45025</v>
      </c>
      <c r="X1222" s="49">
        <v>45025</v>
      </c>
      <c r="Y1222" s="49">
        <v>45025</v>
      </c>
      <c r="AY1222" s="49">
        <v>45025</v>
      </c>
      <c r="AZ1222" s="49">
        <v>45025</v>
      </c>
      <c r="BA1222" s="49">
        <v>45025</v>
      </c>
    </row>
    <row r="1223" spans="23:53" ht="16.2" customHeight="1" x14ac:dyDescent="0.4">
      <c r="W1223" s="49">
        <v>45031</v>
      </c>
      <c r="X1223" s="49">
        <v>45031</v>
      </c>
      <c r="Y1223" s="49">
        <v>45031</v>
      </c>
      <c r="AY1223" s="49">
        <v>45031</v>
      </c>
      <c r="AZ1223" s="49">
        <v>45031</v>
      </c>
      <c r="BA1223" s="49">
        <v>45031</v>
      </c>
    </row>
    <row r="1224" spans="23:53" ht="16.2" customHeight="1" x14ac:dyDescent="0.4">
      <c r="W1224" s="49">
        <v>45032</v>
      </c>
      <c r="X1224" s="49">
        <v>45032</v>
      </c>
      <c r="Y1224" s="49">
        <v>45032</v>
      </c>
      <c r="AY1224" s="49">
        <v>45032</v>
      </c>
      <c r="AZ1224" s="49">
        <v>45032</v>
      </c>
      <c r="BA1224" s="49">
        <v>45032</v>
      </c>
    </row>
    <row r="1225" spans="23:53" ht="16.2" customHeight="1" x14ac:dyDescent="0.4">
      <c r="W1225" s="49">
        <v>45038</v>
      </c>
      <c r="X1225" s="49">
        <v>45038</v>
      </c>
      <c r="Y1225" s="49">
        <v>45038</v>
      </c>
      <c r="AY1225" s="49">
        <v>45038</v>
      </c>
      <c r="AZ1225" s="49">
        <v>45038</v>
      </c>
      <c r="BA1225" s="49">
        <v>45038</v>
      </c>
    </row>
    <row r="1226" spans="23:53" ht="16.2" customHeight="1" x14ac:dyDescent="0.4">
      <c r="W1226" s="49">
        <v>45039</v>
      </c>
      <c r="X1226" s="49">
        <v>45039</v>
      </c>
      <c r="Y1226" s="49">
        <v>45039</v>
      </c>
      <c r="AY1226" s="49">
        <v>45039</v>
      </c>
      <c r="AZ1226" s="49">
        <v>45039</v>
      </c>
      <c r="BA1226" s="49">
        <v>45039</v>
      </c>
    </row>
    <row r="1227" spans="23:53" ht="16.2" customHeight="1" x14ac:dyDescent="0.4">
      <c r="W1227" s="49">
        <v>45045</v>
      </c>
      <c r="X1227" s="49">
        <v>45045</v>
      </c>
      <c r="Y1227" s="49">
        <v>45045</v>
      </c>
      <c r="AY1227" s="49">
        <v>45045</v>
      </c>
      <c r="AZ1227" s="49">
        <v>45045</v>
      </c>
      <c r="BA1227" s="49">
        <v>45045</v>
      </c>
    </row>
    <row r="1228" spans="23:53" ht="16.2" customHeight="1" x14ac:dyDescent="0.4">
      <c r="W1228" s="49">
        <v>45046</v>
      </c>
      <c r="X1228" s="49">
        <v>45046</v>
      </c>
      <c r="Y1228" s="49">
        <v>45046</v>
      </c>
      <c r="AY1228" s="49">
        <v>45046</v>
      </c>
      <c r="AZ1228" s="49">
        <v>45046</v>
      </c>
      <c r="BA1228" s="49">
        <v>45046</v>
      </c>
    </row>
    <row r="1229" spans="23:53" ht="16.2" customHeight="1" x14ac:dyDescent="0.4">
      <c r="W1229" s="49">
        <v>45047</v>
      </c>
      <c r="X1229" s="49">
        <v>45047</v>
      </c>
      <c r="Y1229" s="49">
        <v>45047</v>
      </c>
      <c r="AY1229" s="49">
        <v>45047</v>
      </c>
      <c r="AZ1229" s="49">
        <v>45047</v>
      </c>
      <c r="BA1229" s="49">
        <v>45047</v>
      </c>
    </row>
    <row r="1230" spans="23:53" ht="16.2" customHeight="1" x14ac:dyDescent="0.4">
      <c r="W1230" s="49">
        <v>45051</v>
      </c>
      <c r="X1230" s="49">
        <v>45051</v>
      </c>
      <c r="Y1230" s="49">
        <v>45051</v>
      </c>
      <c r="AY1230" s="49">
        <v>45051</v>
      </c>
      <c r="AZ1230" s="49">
        <v>45051</v>
      </c>
      <c r="BA1230" s="49">
        <v>45051</v>
      </c>
    </row>
    <row r="1231" spans="23:53" ht="16.2" customHeight="1" x14ac:dyDescent="0.4">
      <c r="W1231" s="49">
        <v>45052</v>
      </c>
      <c r="X1231" s="49">
        <v>45052</v>
      </c>
      <c r="Y1231" s="49">
        <v>45052</v>
      </c>
      <c r="AY1231" s="49">
        <v>45052</v>
      </c>
      <c r="AZ1231" s="49">
        <v>45052</v>
      </c>
      <c r="BA1231" s="49">
        <v>45052</v>
      </c>
    </row>
    <row r="1232" spans="23:53" ht="16.2" customHeight="1" x14ac:dyDescent="0.4">
      <c r="W1232" s="49">
        <v>45053</v>
      </c>
      <c r="X1232" s="49">
        <v>45053</v>
      </c>
      <c r="Y1232" s="49">
        <v>45053</v>
      </c>
      <c r="AY1232" s="49">
        <v>45053</v>
      </c>
      <c r="AZ1232" s="49">
        <v>45053</v>
      </c>
      <c r="BA1232" s="49">
        <v>45053</v>
      </c>
    </row>
    <row r="1233" spans="23:53" ht="16.2" customHeight="1" x14ac:dyDescent="0.4">
      <c r="W1233" s="49">
        <v>45059</v>
      </c>
      <c r="X1233" s="49">
        <v>45059</v>
      </c>
      <c r="Y1233" s="49">
        <v>45059</v>
      </c>
      <c r="AY1233" s="49">
        <v>45059</v>
      </c>
      <c r="AZ1233" s="49">
        <v>45059</v>
      </c>
      <c r="BA1233" s="49">
        <v>45059</v>
      </c>
    </row>
    <row r="1234" spans="23:53" ht="16.2" customHeight="1" x14ac:dyDescent="0.4">
      <c r="W1234" s="49">
        <v>45060</v>
      </c>
      <c r="X1234" s="49">
        <v>45060</v>
      </c>
      <c r="Y1234" s="49">
        <v>45060</v>
      </c>
      <c r="AY1234" s="49">
        <v>45060</v>
      </c>
      <c r="AZ1234" s="49">
        <v>45060</v>
      </c>
      <c r="BA1234" s="49">
        <v>45060</v>
      </c>
    </row>
    <row r="1235" spans="23:53" ht="16.2" customHeight="1" x14ac:dyDescent="0.4">
      <c r="W1235" s="49">
        <v>45066</v>
      </c>
      <c r="X1235" s="49">
        <v>45066</v>
      </c>
      <c r="Y1235" s="49">
        <v>45066</v>
      </c>
      <c r="AY1235" s="49">
        <v>45066</v>
      </c>
      <c r="AZ1235" s="49">
        <v>45066</v>
      </c>
      <c r="BA1235" s="49">
        <v>45066</v>
      </c>
    </row>
    <row r="1236" spans="23:53" ht="16.2" customHeight="1" x14ac:dyDescent="0.4">
      <c r="W1236" s="49">
        <v>45067</v>
      </c>
      <c r="X1236" s="49">
        <v>45067</v>
      </c>
      <c r="Y1236" s="49">
        <v>45067</v>
      </c>
      <c r="AY1236" s="49">
        <v>45067</v>
      </c>
      <c r="AZ1236" s="49">
        <v>45067</v>
      </c>
      <c r="BA1236" s="49">
        <v>45067</v>
      </c>
    </row>
    <row r="1237" spans="23:53" ht="16.2" customHeight="1" x14ac:dyDescent="0.4">
      <c r="W1237" s="49">
        <v>45074</v>
      </c>
      <c r="X1237" s="49">
        <v>45074</v>
      </c>
      <c r="Y1237" s="49">
        <v>45074</v>
      </c>
      <c r="AY1237" s="49">
        <v>45074</v>
      </c>
      <c r="AZ1237" s="49">
        <v>45074</v>
      </c>
      <c r="BA1237" s="49">
        <v>45074</v>
      </c>
    </row>
    <row r="1238" spans="23:53" ht="16.2" customHeight="1" x14ac:dyDescent="0.4">
      <c r="W1238" s="49">
        <v>45080</v>
      </c>
      <c r="X1238" s="49">
        <v>45080</v>
      </c>
      <c r="Y1238" s="49">
        <v>45080</v>
      </c>
      <c r="AY1238" s="49">
        <v>45080</v>
      </c>
      <c r="AZ1238" s="49">
        <v>45080</v>
      </c>
      <c r="BA1238" s="49">
        <v>45080</v>
      </c>
    </row>
    <row r="1239" spans="23:53" ht="16.2" customHeight="1" x14ac:dyDescent="0.4">
      <c r="W1239" s="49">
        <v>45081</v>
      </c>
      <c r="X1239" s="49">
        <v>45081</v>
      </c>
      <c r="Y1239" s="49">
        <v>45081</v>
      </c>
      <c r="AY1239" s="49">
        <v>45081</v>
      </c>
      <c r="AZ1239" s="49">
        <v>45081</v>
      </c>
      <c r="BA1239" s="49">
        <v>45081</v>
      </c>
    </row>
    <row r="1240" spans="23:53" ht="16.2" customHeight="1" x14ac:dyDescent="0.4">
      <c r="W1240" s="49">
        <v>45083</v>
      </c>
      <c r="X1240" s="49">
        <v>45083</v>
      </c>
      <c r="Y1240" s="49">
        <v>45083</v>
      </c>
      <c r="AY1240" s="49">
        <v>45083</v>
      </c>
      <c r="AZ1240" s="49">
        <v>45083</v>
      </c>
      <c r="BA1240" s="49">
        <v>45083</v>
      </c>
    </row>
    <row r="1241" spans="23:53" ht="16.2" customHeight="1" x14ac:dyDescent="0.4">
      <c r="W1241" s="49">
        <v>45087</v>
      </c>
      <c r="X1241" s="49">
        <v>45087</v>
      </c>
      <c r="Y1241" s="49">
        <v>45087</v>
      </c>
      <c r="AY1241" s="49">
        <v>45087</v>
      </c>
      <c r="AZ1241" s="49">
        <v>45087</v>
      </c>
      <c r="BA1241" s="49">
        <v>45087</v>
      </c>
    </row>
    <row r="1242" spans="23:53" ht="16.2" customHeight="1" x14ac:dyDescent="0.4">
      <c r="W1242" s="49">
        <v>45088</v>
      </c>
      <c r="X1242" s="49">
        <v>45088</v>
      </c>
      <c r="Y1242" s="49">
        <v>45088</v>
      </c>
      <c r="AY1242" s="49">
        <v>45088</v>
      </c>
      <c r="AZ1242" s="49">
        <v>45088</v>
      </c>
      <c r="BA1242" s="49">
        <v>45088</v>
      </c>
    </row>
    <row r="1243" spans="23:53" ht="16.2" customHeight="1" x14ac:dyDescent="0.4">
      <c r="W1243" s="49">
        <v>45094</v>
      </c>
      <c r="X1243" s="49">
        <v>45094</v>
      </c>
      <c r="Y1243" s="49">
        <v>45094</v>
      </c>
      <c r="AY1243" s="49">
        <v>45094</v>
      </c>
      <c r="AZ1243" s="49">
        <v>45094</v>
      </c>
      <c r="BA1243" s="49">
        <v>45094</v>
      </c>
    </row>
    <row r="1244" spans="23:53" ht="16.2" customHeight="1" x14ac:dyDescent="0.4">
      <c r="W1244" s="49">
        <v>45095</v>
      </c>
      <c r="X1244" s="49">
        <v>45095</v>
      </c>
      <c r="Y1244" s="49">
        <v>45095</v>
      </c>
      <c r="AY1244" s="49">
        <v>45095</v>
      </c>
      <c r="AZ1244" s="49">
        <v>45095</v>
      </c>
      <c r="BA1244" s="49">
        <v>45095</v>
      </c>
    </row>
    <row r="1245" spans="23:53" ht="16.2" customHeight="1" x14ac:dyDescent="0.4">
      <c r="W1245" s="49">
        <v>45101</v>
      </c>
      <c r="X1245" s="49">
        <v>45101</v>
      </c>
      <c r="Y1245" s="49">
        <v>45101</v>
      </c>
      <c r="AY1245" s="49">
        <v>45101</v>
      </c>
      <c r="AZ1245" s="49">
        <v>45101</v>
      </c>
      <c r="BA1245" s="49">
        <v>45101</v>
      </c>
    </row>
    <row r="1246" spans="23:53" ht="16.2" customHeight="1" x14ac:dyDescent="0.4">
      <c r="W1246" s="49">
        <v>45102</v>
      </c>
      <c r="X1246" s="49">
        <v>45102</v>
      </c>
      <c r="Y1246" s="49">
        <v>45102</v>
      </c>
      <c r="AY1246" s="49">
        <v>45102</v>
      </c>
      <c r="AZ1246" s="49">
        <v>45102</v>
      </c>
      <c r="BA1246" s="49">
        <v>45102</v>
      </c>
    </row>
    <row r="1247" spans="23:53" ht="16.2" customHeight="1" x14ac:dyDescent="0.4">
      <c r="W1247" s="49">
        <v>45108</v>
      </c>
      <c r="X1247" s="49">
        <v>45108</v>
      </c>
      <c r="Y1247" s="49">
        <v>45108</v>
      </c>
      <c r="AY1247" s="49">
        <v>45108</v>
      </c>
      <c r="AZ1247" s="49">
        <v>45108</v>
      </c>
      <c r="BA1247" s="49">
        <v>45108</v>
      </c>
    </row>
    <row r="1248" spans="23:53" ht="16.2" customHeight="1" x14ac:dyDescent="0.4">
      <c r="W1248" s="49">
        <v>45109</v>
      </c>
      <c r="X1248" s="49">
        <v>45109</v>
      </c>
      <c r="Y1248" s="49">
        <v>45109</v>
      </c>
      <c r="AY1248" s="49">
        <v>45109</v>
      </c>
      <c r="AZ1248" s="49">
        <v>45109</v>
      </c>
      <c r="BA1248" s="49">
        <v>45109</v>
      </c>
    </row>
    <row r="1249" spans="23:53" ht="16.2" customHeight="1" x14ac:dyDescent="0.4">
      <c r="W1249" s="49">
        <v>45115</v>
      </c>
      <c r="X1249" s="49">
        <v>45115</v>
      </c>
      <c r="Y1249" s="49">
        <v>45115</v>
      </c>
      <c r="AY1249" s="49">
        <v>45115</v>
      </c>
      <c r="AZ1249" s="49">
        <v>45115</v>
      </c>
      <c r="BA1249" s="49">
        <v>45115</v>
      </c>
    </row>
    <row r="1250" spans="23:53" ht="16.2" customHeight="1" x14ac:dyDescent="0.4">
      <c r="W1250" s="49">
        <v>45116</v>
      </c>
      <c r="X1250" s="49">
        <v>45116</v>
      </c>
      <c r="Y1250" s="49">
        <v>45116</v>
      </c>
      <c r="AY1250" s="49">
        <v>45116</v>
      </c>
      <c r="AZ1250" s="49">
        <v>45116</v>
      </c>
      <c r="BA1250" s="49">
        <v>45116</v>
      </c>
    </row>
    <row r="1251" spans="23:53" ht="16.2" customHeight="1" x14ac:dyDescent="0.4">
      <c r="W1251" s="49">
        <v>45122</v>
      </c>
      <c r="X1251" s="49">
        <v>45122</v>
      </c>
      <c r="Y1251" s="49">
        <v>45122</v>
      </c>
      <c r="AY1251" s="49">
        <v>45122</v>
      </c>
      <c r="AZ1251" s="49">
        <v>45122</v>
      </c>
      <c r="BA1251" s="49">
        <v>45122</v>
      </c>
    </row>
    <row r="1252" spans="23:53" ht="16.2" customHeight="1" x14ac:dyDescent="0.4">
      <c r="W1252" s="49">
        <v>45123</v>
      </c>
      <c r="X1252" s="49">
        <v>45123</v>
      </c>
      <c r="Y1252" s="49">
        <v>45123</v>
      </c>
      <c r="AY1252" s="49">
        <v>45123</v>
      </c>
      <c r="AZ1252" s="49">
        <v>45123</v>
      </c>
      <c r="BA1252" s="49">
        <v>45123</v>
      </c>
    </row>
    <row r="1253" spans="23:53" ht="16.2" customHeight="1" x14ac:dyDescent="0.4">
      <c r="W1253" s="49">
        <v>45129</v>
      </c>
      <c r="X1253" s="49">
        <v>45129</v>
      </c>
      <c r="Y1253" s="49">
        <v>45129</v>
      </c>
      <c r="AY1253" s="49">
        <v>45129</v>
      </c>
      <c r="AZ1253" s="49">
        <v>45129</v>
      </c>
      <c r="BA1253" s="49">
        <v>45129</v>
      </c>
    </row>
    <row r="1254" spans="23:53" ht="16.2" customHeight="1" x14ac:dyDescent="0.4">
      <c r="W1254" s="49">
        <v>45130</v>
      </c>
      <c r="X1254" s="49">
        <v>45130</v>
      </c>
      <c r="Y1254" s="49">
        <v>45130</v>
      </c>
      <c r="AY1254" s="49">
        <v>45130</v>
      </c>
      <c r="AZ1254" s="49">
        <v>45130</v>
      </c>
      <c r="BA1254" s="49">
        <v>45130</v>
      </c>
    </row>
    <row r="1255" spans="23:53" ht="16.2" customHeight="1" x14ac:dyDescent="0.4">
      <c r="W1255" s="49">
        <v>45136</v>
      </c>
      <c r="X1255" s="49">
        <v>45136</v>
      </c>
      <c r="Y1255" s="49">
        <v>45136</v>
      </c>
      <c r="AY1255" s="49">
        <v>45136</v>
      </c>
      <c r="AZ1255" s="49">
        <v>45136</v>
      </c>
      <c r="BA1255" s="49">
        <v>45136</v>
      </c>
    </row>
    <row r="1256" spans="23:53" ht="16.2" customHeight="1" x14ac:dyDescent="0.4">
      <c r="W1256" s="49">
        <v>45137</v>
      </c>
      <c r="X1256" s="49">
        <v>45137</v>
      </c>
      <c r="Y1256" s="49">
        <v>45137</v>
      </c>
      <c r="AY1256" s="49">
        <v>45137</v>
      </c>
      <c r="AZ1256" s="49">
        <v>45137</v>
      </c>
      <c r="BA1256" s="49">
        <v>45137</v>
      </c>
    </row>
    <row r="1257" spans="23:53" ht="16.2" customHeight="1" x14ac:dyDescent="0.4">
      <c r="W1257" s="49">
        <v>45143</v>
      </c>
      <c r="X1257" s="49">
        <v>45143</v>
      </c>
      <c r="Y1257" s="49">
        <v>45143</v>
      </c>
      <c r="AY1257" s="49">
        <v>45143</v>
      </c>
      <c r="AZ1257" s="49">
        <v>45143</v>
      </c>
      <c r="BA1257" s="49">
        <v>45143</v>
      </c>
    </row>
    <row r="1258" spans="23:53" ht="16.2" customHeight="1" x14ac:dyDescent="0.4">
      <c r="W1258" s="49">
        <v>45144</v>
      </c>
      <c r="X1258" s="49">
        <v>45144</v>
      </c>
      <c r="Y1258" s="49">
        <v>45144</v>
      </c>
      <c r="AY1258" s="49">
        <v>45144</v>
      </c>
      <c r="AZ1258" s="49">
        <v>45144</v>
      </c>
      <c r="BA1258" s="49">
        <v>45144</v>
      </c>
    </row>
    <row r="1259" spans="23:53" ht="16.2" customHeight="1" x14ac:dyDescent="0.4">
      <c r="W1259" s="49">
        <v>45150</v>
      </c>
      <c r="X1259" s="49">
        <v>45150</v>
      </c>
      <c r="Y1259" s="49">
        <v>45150</v>
      </c>
      <c r="AY1259" s="49">
        <v>45150</v>
      </c>
      <c r="AZ1259" s="49">
        <v>45150</v>
      </c>
      <c r="BA1259" s="49">
        <v>45150</v>
      </c>
    </row>
    <row r="1260" spans="23:53" ht="16.2" customHeight="1" x14ac:dyDescent="0.4">
      <c r="W1260" s="49">
        <v>45151</v>
      </c>
      <c r="X1260" s="49">
        <v>45151</v>
      </c>
      <c r="Y1260" s="49">
        <v>45151</v>
      </c>
      <c r="AY1260" s="49">
        <v>45151</v>
      </c>
      <c r="AZ1260" s="49">
        <v>45151</v>
      </c>
      <c r="BA1260" s="49">
        <v>45151</v>
      </c>
    </row>
    <row r="1261" spans="23:53" ht="16.2" customHeight="1" x14ac:dyDescent="0.4">
      <c r="W1261" s="49">
        <v>45153</v>
      </c>
      <c r="X1261" s="49">
        <v>45153</v>
      </c>
      <c r="Y1261" s="49">
        <v>45153</v>
      </c>
      <c r="AY1261" s="49">
        <v>45153</v>
      </c>
      <c r="AZ1261" s="49">
        <v>45153</v>
      </c>
      <c r="BA1261" s="49">
        <v>45153</v>
      </c>
    </row>
    <row r="1262" spans="23:53" ht="16.2" customHeight="1" x14ac:dyDescent="0.4">
      <c r="W1262" s="49">
        <v>45157</v>
      </c>
      <c r="X1262" s="49">
        <v>45157</v>
      </c>
      <c r="Y1262" s="49">
        <v>45157</v>
      </c>
      <c r="AY1262" s="49">
        <v>45157</v>
      </c>
      <c r="AZ1262" s="49">
        <v>45157</v>
      </c>
      <c r="BA1262" s="49">
        <v>45157</v>
      </c>
    </row>
    <row r="1263" spans="23:53" ht="16.2" customHeight="1" x14ac:dyDescent="0.4">
      <c r="W1263" s="49">
        <v>45158</v>
      </c>
      <c r="X1263" s="49">
        <v>45158</v>
      </c>
      <c r="Y1263" s="49">
        <v>45158</v>
      </c>
      <c r="AY1263" s="49">
        <v>45158</v>
      </c>
      <c r="AZ1263" s="49">
        <v>45158</v>
      </c>
      <c r="BA1263" s="49">
        <v>45158</v>
      </c>
    </row>
    <row r="1264" spans="23:53" ht="16.2" customHeight="1" x14ac:dyDescent="0.4">
      <c r="W1264" s="49">
        <v>45164</v>
      </c>
      <c r="X1264" s="49">
        <v>45164</v>
      </c>
      <c r="Y1264" s="49">
        <v>45164</v>
      </c>
      <c r="AY1264" s="49">
        <v>45164</v>
      </c>
      <c r="AZ1264" s="49">
        <v>45164</v>
      </c>
      <c r="BA1264" s="49">
        <v>45164</v>
      </c>
    </row>
    <row r="1265" spans="23:53" ht="16.2" customHeight="1" x14ac:dyDescent="0.4">
      <c r="W1265" s="49">
        <v>45165</v>
      </c>
      <c r="X1265" s="49">
        <v>45165</v>
      </c>
      <c r="Y1265" s="49">
        <v>45165</v>
      </c>
      <c r="AY1265" s="49">
        <v>45165</v>
      </c>
      <c r="AZ1265" s="49">
        <v>45165</v>
      </c>
      <c r="BA1265" s="49">
        <v>45165</v>
      </c>
    </row>
    <row r="1266" spans="23:53" ht="16.2" customHeight="1" x14ac:dyDescent="0.4">
      <c r="W1266" s="49">
        <v>45171</v>
      </c>
      <c r="X1266" s="49">
        <v>45171</v>
      </c>
      <c r="Y1266" s="49">
        <v>45171</v>
      </c>
      <c r="AY1266" s="49">
        <v>45171</v>
      </c>
      <c r="AZ1266" s="49">
        <v>45171</v>
      </c>
      <c r="BA1266" s="49">
        <v>45171</v>
      </c>
    </row>
    <row r="1267" spans="23:53" ht="16.2" customHeight="1" x14ac:dyDescent="0.4">
      <c r="W1267" s="49">
        <v>45172</v>
      </c>
      <c r="X1267" s="49">
        <v>45172</v>
      </c>
      <c r="Y1267" s="49">
        <v>45172</v>
      </c>
      <c r="AY1267" s="49">
        <v>45172</v>
      </c>
      <c r="AZ1267" s="49">
        <v>45172</v>
      </c>
      <c r="BA1267" s="49">
        <v>45172</v>
      </c>
    </row>
    <row r="1268" spans="23:53" ht="16.2" customHeight="1" x14ac:dyDescent="0.4">
      <c r="W1268" s="49">
        <v>45178</v>
      </c>
      <c r="X1268" s="49">
        <v>45178</v>
      </c>
      <c r="Y1268" s="49">
        <v>45178</v>
      </c>
      <c r="AY1268" s="49">
        <v>45178</v>
      </c>
      <c r="AZ1268" s="49">
        <v>45178</v>
      </c>
      <c r="BA1268" s="49">
        <v>45178</v>
      </c>
    </row>
    <row r="1269" spans="23:53" ht="16.2" customHeight="1" x14ac:dyDescent="0.4">
      <c r="W1269" s="49">
        <v>45179</v>
      </c>
      <c r="X1269" s="49">
        <v>45179</v>
      </c>
      <c r="Y1269" s="49">
        <v>45179</v>
      </c>
      <c r="AY1269" s="49">
        <v>45179</v>
      </c>
      <c r="AZ1269" s="49">
        <v>45179</v>
      </c>
      <c r="BA1269" s="49">
        <v>45179</v>
      </c>
    </row>
    <row r="1270" spans="23:53" ht="16.2" customHeight="1" x14ac:dyDescent="0.4">
      <c r="W1270" s="49">
        <v>45185</v>
      </c>
      <c r="X1270" s="49">
        <v>45185</v>
      </c>
      <c r="Y1270" s="49">
        <v>45185</v>
      </c>
      <c r="AY1270" s="49">
        <v>45185</v>
      </c>
      <c r="AZ1270" s="49">
        <v>45185</v>
      </c>
      <c r="BA1270" s="49">
        <v>45185</v>
      </c>
    </row>
    <row r="1271" spans="23:53" ht="16.2" customHeight="1" x14ac:dyDescent="0.4">
      <c r="W1271" s="49">
        <v>45186</v>
      </c>
      <c r="X1271" s="49">
        <v>45186</v>
      </c>
      <c r="Y1271" s="49">
        <v>45186</v>
      </c>
      <c r="AY1271" s="49">
        <v>45186</v>
      </c>
      <c r="AZ1271" s="49">
        <v>45186</v>
      </c>
      <c r="BA1271" s="49">
        <v>45186</v>
      </c>
    </row>
    <row r="1272" spans="23:53" ht="16.2" customHeight="1" x14ac:dyDescent="0.4">
      <c r="W1272" s="49">
        <v>45192</v>
      </c>
      <c r="X1272" s="49">
        <v>45192</v>
      </c>
      <c r="Y1272" s="49">
        <v>45192</v>
      </c>
      <c r="AY1272" s="49">
        <v>45192</v>
      </c>
      <c r="AZ1272" s="49">
        <v>45192</v>
      </c>
      <c r="BA1272" s="49">
        <v>45192</v>
      </c>
    </row>
    <row r="1273" spans="23:53" ht="16.2" customHeight="1" x14ac:dyDescent="0.4">
      <c r="W1273" s="49">
        <v>45193</v>
      </c>
      <c r="X1273" s="49">
        <v>45193</v>
      </c>
      <c r="Y1273" s="49">
        <v>45193</v>
      </c>
      <c r="AY1273" s="49">
        <v>45193</v>
      </c>
      <c r="AZ1273" s="49">
        <v>45193</v>
      </c>
      <c r="BA1273" s="49">
        <v>45193</v>
      </c>
    </row>
    <row r="1274" spans="23:53" ht="16.2" customHeight="1" x14ac:dyDescent="0.4">
      <c r="W1274" s="49">
        <v>45197</v>
      </c>
      <c r="X1274" s="49">
        <v>45197</v>
      </c>
      <c r="Y1274" s="49">
        <v>45197</v>
      </c>
      <c r="AY1274" s="49">
        <v>45197</v>
      </c>
      <c r="AZ1274" s="49">
        <v>45197</v>
      </c>
      <c r="BA1274" s="49">
        <v>45197</v>
      </c>
    </row>
    <row r="1275" spans="23:53" ht="16.2" customHeight="1" x14ac:dyDescent="0.4">
      <c r="W1275" s="49">
        <v>45198</v>
      </c>
      <c r="X1275" s="49">
        <v>45198</v>
      </c>
      <c r="Y1275" s="49">
        <v>45198</v>
      </c>
      <c r="AY1275" s="49">
        <v>45198</v>
      </c>
      <c r="AZ1275" s="49">
        <v>45198</v>
      </c>
      <c r="BA1275" s="49">
        <v>45198</v>
      </c>
    </row>
    <row r="1276" spans="23:53" ht="16.2" customHeight="1" x14ac:dyDescent="0.4">
      <c r="W1276" s="49">
        <v>45200</v>
      </c>
      <c r="X1276" s="49">
        <v>45200</v>
      </c>
      <c r="Y1276" s="49">
        <v>45200</v>
      </c>
      <c r="AY1276" s="49">
        <v>45200</v>
      </c>
      <c r="AZ1276" s="49">
        <v>45200</v>
      </c>
      <c r="BA1276" s="49">
        <v>45200</v>
      </c>
    </row>
    <row r="1277" spans="23:53" ht="16.2" customHeight="1" x14ac:dyDescent="0.4">
      <c r="W1277" s="49">
        <v>45202</v>
      </c>
      <c r="X1277" s="49">
        <v>45202</v>
      </c>
      <c r="Y1277" s="49">
        <v>45202</v>
      </c>
      <c r="AY1277" s="49">
        <v>45202</v>
      </c>
      <c r="AZ1277" s="49">
        <v>45202</v>
      </c>
      <c r="BA1277" s="49">
        <v>45202</v>
      </c>
    </row>
    <row r="1278" spans="23:53" ht="16.2" customHeight="1" x14ac:dyDescent="0.4">
      <c r="W1278" s="49">
        <v>45206</v>
      </c>
      <c r="X1278" s="49">
        <v>45206</v>
      </c>
      <c r="Y1278" s="49">
        <v>45206</v>
      </c>
      <c r="AY1278" s="49">
        <v>45206</v>
      </c>
      <c r="AZ1278" s="49">
        <v>45206</v>
      </c>
      <c r="BA1278" s="49">
        <v>45206</v>
      </c>
    </row>
    <row r="1279" spans="23:53" ht="16.2" customHeight="1" x14ac:dyDescent="0.4">
      <c r="W1279" s="49">
        <v>45207</v>
      </c>
      <c r="X1279" s="49">
        <v>45207</v>
      </c>
      <c r="Y1279" s="49">
        <v>45207</v>
      </c>
      <c r="AY1279" s="49">
        <v>45207</v>
      </c>
      <c r="AZ1279" s="49">
        <v>45207</v>
      </c>
      <c r="BA1279" s="49">
        <v>45207</v>
      </c>
    </row>
    <row r="1280" spans="23:53" ht="16.2" customHeight="1" x14ac:dyDescent="0.4">
      <c r="W1280" s="49">
        <v>45208</v>
      </c>
      <c r="X1280" s="49">
        <v>45208</v>
      </c>
      <c r="Y1280" s="49">
        <v>45208</v>
      </c>
      <c r="AY1280" s="49">
        <v>45208</v>
      </c>
      <c r="AZ1280" s="49">
        <v>45208</v>
      </c>
      <c r="BA1280" s="49">
        <v>45208</v>
      </c>
    </row>
    <row r="1281" spans="23:53" ht="16.2" customHeight="1" x14ac:dyDescent="0.4">
      <c r="W1281" s="49">
        <v>45213</v>
      </c>
      <c r="X1281" s="49">
        <v>45213</v>
      </c>
      <c r="Y1281" s="49">
        <v>45213</v>
      </c>
      <c r="AY1281" s="49">
        <v>45213</v>
      </c>
      <c r="AZ1281" s="49">
        <v>45213</v>
      </c>
      <c r="BA1281" s="49">
        <v>45213</v>
      </c>
    </row>
    <row r="1282" spans="23:53" ht="16.2" customHeight="1" x14ac:dyDescent="0.4">
      <c r="W1282" s="49">
        <v>45214</v>
      </c>
      <c r="X1282" s="49">
        <v>45214</v>
      </c>
      <c r="Y1282" s="49">
        <v>45214</v>
      </c>
      <c r="AY1282" s="49">
        <v>45214</v>
      </c>
      <c r="AZ1282" s="49">
        <v>45214</v>
      </c>
      <c r="BA1282" s="49">
        <v>45214</v>
      </c>
    </row>
    <row r="1283" spans="23:53" ht="16.2" customHeight="1" x14ac:dyDescent="0.4">
      <c r="W1283" s="49">
        <v>45220</v>
      </c>
      <c r="X1283" s="49">
        <v>45220</v>
      </c>
      <c r="Y1283" s="49">
        <v>45220</v>
      </c>
      <c r="AY1283" s="49">
        <v>45220</v>
      </c>
      <c r="AZ1283" s="49">
        <v>45220</v>
      </c>
      <c r="BA1283" s="49">
        <v>45220</v>
      </c>
    </row>
    <row r="1284" spans="23:53" ht="16.2" customHeight="1" x14ac:dyDescent="0.4">
      <c r="W1284" s="49">
        <v>45221</v>
      </c>
      <c r="X1284" s="49">
        <v>45221</v>
      </c>
      <c r="Y1284" s="49">
        <v>45221</v>
      </c>
      <c r="AY1284" s="49">
        <v>45221</v>
      </c>
      <c r="AZ1284" s="49">
        <v>45221</v>
      </c>
      <c r="BA1284" s="49">
        <v>45221</v>
      </c>
    </row>
    <row r="1285" spans="23:53" ht="16.2" customHeight="1" x14ac:dyDescent="0.4">
      <c r="W1285" s="49">
        <v>45227</v>
      </c>
      <c r="X1285" s="49">
        <v>45227</v>
      </c>
      <c r="Y1285" s="49">
        <v>45227</v>
      </c>
      <c r="AY1285" s="49">
        <v>45227</v>
      </c>
      <c r="AZ1285" s="49">
        <v>45227</v>
      </c>
      <c r="BA1285" s="49">
        <v>45227</v>
      </c>
    </row>
    <row r="1286" spans="23:53" ht="16.2" customHeight="1" x14ac:dyDescent="0.4">
      <c r="W1286" s="49">
        <v>45228</v>
      </c>
      <c r="X1286" s="49">
        <v>45228</v>
      </c>
      <c r="Y1286" s="49">
        <v>45228</v>
      </c>
      <c r="AY1286" s="49">
        <v>45228</v>
      </c>
      <c r="AZ1286" s="49">
        <v>45228</v>
      </c>
      <c r="BA1286" s="49">
        <v>45228</v>
      </c>
    </row>
    <row r="1287" spans="23:53" ht="16.2" customHeight="1" x14ac:dyDescent="0.4">
      <c r="W1287" s="49">
        <v>45234</v>
      </c>
      <c r="X1287" s="49">
        <v>45234</v>
      </c>
      <c r="Y1287" s="49">
        <v>45234</v>
      </c>
      <c r="AY1287" s="49">
        <v>45234</v>
      </c>
      <c r="AZ1287" s="49">
        <v>45234</v>
      </c>
      <c r="BA1287" s="49">
        <v>45234</v>
      </c>
    </row>
    <row r="1288" spans="23:53" ht="16.2" customHeight="1" x14ac:dyDescent="0.4">
      <c r="W1288" s="49">
        <v>45235</v>
      </c>
      <c r="X1288" s="49">
        <v>45235</v>
      </c>
      <c r="Y1288" s="49">
        <v>45235</v>
      </c>
      <c r="AY1288" s="49">
        <v>45235</v>
      </c>
      <c r="AZ1288" s="49">
        <v>45235</v>
      </c>
      <c r="BA1288" s="49">
        <v>45235</v>
      </c>
    </row>
    <row r="1289" spans="23:53" ht="16.2" customHeight="1" x14ac:dyDescent="0.4">
      <c r="W1289" s="49">
        <v>45241</v>
      </c>
      <c r="X1289" s="49">
        <v>45241</v>
      </c>
      <c r="Y1289" s="49">
        <v>45241</v>
      </c>
      <c r="AY1289" s="49">
        <v>45241</v>
      </c>
      <c r="AZ1289" s="49">
        <v>45241</v>
      </c>
      <c r="BA1289" s="49">
        <v>45241</v>
      </c>
    </row>
    <row r="1290" spans="23:53" ht="16.2" customHeight="1" x14ac:dyDescent="0.4">
      <c r="W1290" s="49">
        <v>45242</v>
      </c>
      <c r="X1290" s="49">
        <v>45242</v>
      </c>
      <c r="Y1290" s="49">
        <v>45242</v>
      </c>
      <c r="AY1290" s="49">
        <v>45242</v>
      </c>
      <c r="AZ1290" s="49">
        <v>45242</v>
      </c>
      <c r="BA1290" s="49">
        <v>45242</v>
      </c>
    </row>
    <row r="1291" spans="23:53" ht="16.2" customHeight="1" x14ac:dyDescent="0.4">
      <c r="W1291" s="49">
        <v>45248</v>
      </c>
      <c r="X1291" s="49">
        <v>45248</v>
      </c>
      <c r="Y1291" s="49">
        <v>45248</v>
      </c>
      <c r="AY1291" s="49">
        <v>45248</v>
      </c>
      <c r="AZ1291" s="49">
        <v>45248</v>
      </c>
      <c r="BA1291" s="49">
        <v>45248</v>
      </c>
    </row>
    <row r="1292" spans="23:53" ht="16.2" customHeight="1" x14ac:dyDescent="0.4">
      <c r="W1292" s="49">
        <v>45249</v>
      </c>
      <c r="X1292" s="49">
        <v>45249</v>
      </c>
      <c r="Y1292" s="49">
        <v>45249</v>
      </c>
      <c r="AY1292" s="49">
        <v>45249</v>
      </c>
      <c r="AZ1292" s="49">
        <v>45249</v>
      </c>
      <c r="BA1292" s="49">
        <v>45249</v>
      </c>
    </row>
    <row r="1293" spans="23:53" ht="16.2" customHeight="1" x14ac:dyDescent="0.4">
      <c r="W1293" s="49">
        <v>45255</v>
      </c>
      <c r="X1293" s="49">
        <v>45255</v>
      </c>
      <c r="Y1293" s="49">
        <v>45255</v>
      </c>
      <c r="AY1293" s="49">
        <v>45255</v>
      </c>
      <c r="AZ1293" s="49">
        <v>45255</v>
      </c>
      <c r="BA1293" s="49">
        <v>45255</v>
      </c>
    </row>
    <row r="1294" spans="23:53" ht="16.2" customHeight="1" x14ac:dyDescent="0.4">
      <c r="W1294" s="49">
        <v>45256</v>
      </c>
      <c r="X1294" s="49">
        <v>45256</v>
      </c>
      <c r="Y1294" s="49">
        <v>45256</v>
      </c>
      <c r="AY1294" s="49">
        <v>45256</v>
      </c>
      <c r="AZ1294" s="49">
        <v>45256</v>
      </c>
      <c r="BA1294" s="49">
        <v>45256</v>
      </c>
    </row>
    <row r="1295" spans="23:53" ht="16.2" customHeight="1" x14ac:dyDescent="0.4">
      <c r="W1295" s="49">
        <v>45262</v>
      </c>
      <c r="X1295" s="49">
        <v>45262</v>
      </c>
      <c r="Y1295" s="49">
        <v>45262</v>
      </c>
      <c r="AY1295" s="49">
        <v>45262</v>
      </c>
      <c r="AZ1295" s="49">
        <v>45262</v>
      </c>
      <c r="BA1295" s="49">
        <v>45262</v>
      </c>
    </row>
    <row r="1296" spans="23:53" ht="16.2" customHeight="1" x14ac:dyDescent="0.4">
      <c r="W1296" s="49">
        <v>45263</v>
      </c>
      <c r="X1296" s="49">
        <v>45263</v>
      </c>
      <c r="Y1296" s="49">
        <v>45263</v>
      </c>
      <c r="AY1296" s="49">
        <v>45263</v>
      </c>
      <c r="AZ1296" s="49">
        <v>45263</v>
      </c>
      <c r="BA1296" s="49">
        <v>45263</v>
      </c>
    </row>
    <row r="1297" spans="23:53" ht="16.2" customHeight="1" x14ac:dyDescent="0.4">
      <c r="W1297" s="49">
        <v>45269</v>
      </c>
      <c r="X1297" s="49">
        <v>45269</v>
      </c>
      <c r="Y1297" s="49">
        <v>45269</v>
      </c>
      <c r="AY1297" s="49">
        <v>45269</v>
      </c>
      <c r="AZ1297" s="49">
        <v>45269</v>
      </c>
      <c r="BA1297" s="49">
        <v>45269</v>
      </c>
    </row>
    <row r="1298" spans="23:53" ht="16.2" customHeight="1" x14ac:dyDescent="0.4">
      <c r="W1298" s="49">
        <v>45270</v>
      </c>
      <c r="X1298" s="49">
        <v>45270</v>
      </c>
      <c r="Y1298" s="49">
        <v>45270</v>
      </c>
      <c r="AY1298" s="49">
        <v>45270</v>
      </c>
      <c r="AZ1298" s="49">
        <v>45270</v>
      </c>
      <c r="BA1298" s="49">
        <v>45270</v>
      </c>
    </row>
    <row r="1299" spans="23:53" ht="16.2" customHeight="1" x14ac:dyDescent="0.4">
      <c r="W1299" s="49">
        <v>45276</v>
      </c>
      <c r="X1299" s="49">
        <v>45276</v>
      </c>
      <c r="Y1299" s="49">
        <v>45276</v>
      </c>
      <c r="AY1299" s="49">
        <v>45276</v>
      </c>
      <c r="AZ1299" s="49">
        <v>45276</v>
      </c>
      <c r="BA1299" s="49">
        <v>45276</v>
      </c>
    </row>
    <row r="1300" spans="23:53" ht="16.2" customHeight="1" x14ac:dyDescent="0.4">
      <c r="W1300" s="49">
        <v>45277</v>
      </c>
      <c r="X1300" s="49">
        <v>45277</v>
      </c>
      <c r="Y1300" s="49">
        <v>45277</v>
      </c>
      <c r="AY1300" s="49">
        <v>45277</v>
      </c>
      <c r="AZ1300" s="49">
        <v>45277</v>
      </c>
      <c r="BA1300" s="49">
        <v>45277</v>
      </c>
    </row>
    <row r="1301" spans="23:53" ht="16.2" customHeight="1" x14ac:dyDescent="0.4">
      <c r="W1301" s="49">
        <v>45283</v>
      </c>
      <c r="X1301" s="49">
        <v>45283</v>
      </c>
      <c r="Y1301" s="49">
        <v>45283</v>
      </c>
      <c r="AY1301" s="49">
        <v>45283</v>
      </c>
      <c r="AZ1301" s="49">
        <v>45283</v>
      </c>
      <c r="BA1301" s="49">
        <v>45283</v>
      </c>
    </row>
    <row r="1302" spans="23:53" ht="16.2" customHeight="1" x14ac:dyDescent="0.4">
      <c r="W1302" s="49">
        <v>45284</v>
      </c>
      <c r="X1302" s="49">
        <v>45284</v>
      </c>
      <c r="Y1302" s="49">
        <v>45284</v>
      </c>
      <c r="AY1302" s="49">
        <v>45284</v>
      </c>
      <c r="AZ1302" s="49">
        <v>45284</v>
      </c>
      <c r="BA1302" s="49">
        <v>45284</v>
      </c>
    </row>
    <row r="1303" spans="23:53" ht="16.2" customHeight="1" x14ac:dyDescent="0.4">
      <c r="W1303" s="49">
        <v>45285</v>
      </c>
      <c r="X1303" s="49">
        <v>45285</v>
      </c>
      <c r="Y1303" s="49">
        <v>45285</v>
      </c>
      <c r="AY1303" s="49">
        <v>45285</v>
      </c>
      <c r="AZ1303" s="49">
        <v>45285</v>
      </c>
      <c r="BA1303" s="49">
        <v>45285</v>
      </c>
    </row>
    <row r="1304" spans="23:53" ht="16.2" customHeight="1" x14ac:dyDescent="0.4">
      <c r="W1304" s="49">
        <v>45290</v>
      </c>
      <c r="X1304" s="49">
        <v>45290</v>
      </c>
      <c r="Y1304" s="49">
        <v>45290</v>
      </c>
      <c r="AY1304" s="49">
        <v>45290</v>
      </c>
      <c r="AZ1304" s="49">
        <v>45290</v>
      </c>
      <c r="BA1304" s="49">
        <v>45290</v>
      </c>
    </row>
    <row r="1305" spans="23:53" ht="16.2" customHeight="1" x14ac:dyDescent="0.4">
      <c r="W1305" s="49">
        <v>45291</v>
      </c>
      <c r="X1305" s="49">
        <v>45291</v>
      </c>
      <c r="Y1305" s="49">
        <v>45291</v>
      </c>
      <c r="AY1305" s="49">
        <v>45291</v>
      </c>
      <c r="AZ1305" s="49">
        <v>45291</v>
      </c>
      <c r="BA1305" s="49">
        <v>45291</v>
      </c>
    </row>
    <row r="1306" spans="23:53" ht="16.2" customHeight="1" x14ac:dyDescent="0.4">
      <c r="W1306" s="49">
        <v>45292</v>
      </c>
      <c r="X1306" s="49">
        <v>45292</v>
      </c>
      <c r="Y1306" s="49">
        <v>45292</v>
      </c>
      <c r="AY1306" s="49">
        <v>45292</v>
      </c>
      <c r="AZ1306" s="49">
        <v>45292</v>
      </c>
      <c r="BA1306" s="49">
        <v>45292</v>
      </c>
    </row>
    <row r="1307" spans="23:53" ht="16.2" customHeight="1" x14ac:dyDescent="0.4">
      <c r="W1307" s="49">
        <v>45297</v>
      </c>
      <c r="X1307" s="49">
        <v>45297</v>
      </c>
      <c r="Y1307" s="49">
        <v>45297</v>
      </c>
      <c r="AY1307" s="49">
        <v>45297</v>
      </c>
      <c r="AZ1307" s="49">
        <v>45297</v>
      </c>
      <c r="BA1307" s="49">
        <v>45297</v>
      </c>
    </row>
    <row r="1308" spans="23:53" ht="16.2" customHeight="1" x14ac:dyDescent="0.4">
      <c r="W1308" s="49">
        <v>45298</v>
      </c>
      <c r="X1308" s="49">
        <v>45298</v>
      </c>
      <c r="Y1308" s="49">
        <v>45298</v>
      </c>
      <c r="AY1308" s="49">
        <v>45298</v>
      </c>
      <c r="AZ1308" s="49">
        <v>45298</v>
      </c>
      <c r="BA1308" s="49">
        <v>45298</v>
      </c>
    </row>
    <row r="1309" spans="23:53" ht="16.2" customHeight="1" x14ac:dyDescent="0.4">
      <c r="W1309" s="49">
        <v>45304</v>
      </c>
      <c r="X1309" s="49">
        <v>45304</v>
      </c>
      <c r="Y1309" s="49">
        <v>45304</v>
      </c>
      <c r="AY1309" s="49">
        <v>45304</v>
      </c>
      <c r="AZ1309" s="49">
        <v>45304</v>
      </c>
      <c r="BA1309" s="49">
        <v>45304</v>
      </c>
    </row>
    <row r="1310" spans="23:53" ht="16.2" customHeight="1" x14ac:dyDescent="0.4">
      <c r="W1310" s="49">
        <v>45305</v>
      </c>
      <c r="X1310" s="49">
        <v>45305</v>
      </c>
      <c r="Y1310" s="49">
        <v>45305</v>
      </c>
      <c r="AY1310" s="49">
        <v>45305</v>
      </c>
      <c r="AZ1310" s="49">
        <v>45305</v>
      </c>
      <c r="BA1310" s="49">
        <v>45305</v>
      </c>
    </row>
    <row r="1311" spans="23:53" ht="16.2" customHeight="1" x14ac:dyDescent="0.4">
      <c r="W1311" s="49">
        <v>45311</v>
      </c>
      <c r="X1311" s="49">
        <v>45311</v>
      </c>
      <c r="Y1311" s="49">
        <v>45311</v>
      </c>
      <c r="AY1311" s="49">
        <v>45311</v>
      </c>
      <c r="AZ1311" s="49">
        <v>45311</v>
      </c>
      <c r="BA1311" s="49">
        <v>45311</v>
      </c>
    </row>
    <row r="1312" spans="23:53" ht="16.2" customHeight="1" x14ac:dyDescent="0.4">
      <c r="W1312" s="49">
        <v>45312</v>
      </c>
      <c r="X1312" s="49">
        <v>45312</v>
      </c>
      <c r="Y1312" s="49">
        <v>45312</v>
      </c>
      <c r="AY1312" s="49">
        <v>45312</v>
      </c>
      <c r="AZ1312" s="49">
        <v>45312</v>
      </c>
      <c r="BA1312" s="49">
        <v>45312</v>
      </c>
    </row>
    <row r="1313" spans="23:53" ht="16.2" customHeight="1" x14ac:dyDescent="0.4">
      <c r="W1313" s="49">
        <v>45318</v>
      </c>
      <c r="X1313" s="49">
        <v>45318</v>
      </c>
      <c r="Y1313" s="49">
        <v>45318</v>
      </c>
      <c r="AY1313" s="49">
        <v>45318</v>
      </c>
      <c r="AZ1313" s="49">
        <v>45318</v>
      </c>
      <c r="BA1313" s="49">
        <v>45318</v>
      </c>
    </row>
    <row r="1314" spans="23:53" ht="16.2" customHeight="1" x14ac:dyDescent="0.4">
      <c r="W1314" s="49">
        <v>45319</v>
      </c>
      <c r="X1314" s="49">
        <v>45319</v>
      </c>
      <c r="Y1314" s="49">
        <v>45319</v>
      </c>
      <c r="AY1314" s="49">
        <v>45319</v>
      </c>
      <c r="AZ1314" s="49">
        <v>45319</v>
      </c>
      <c r="BA1314" s="49">
        <v>45319</v>
      </c>
    </row>
    <row r="1315" spans="23:53" ht="16.2" customHeight="1" x14ac:dyDescent="0.4">
      <c r="W1315" s="49">
        <v>45325</v>
      </c>
      <c r="X1315" s="49">
        <v>45325</v>
      </c>
      <c r="Y1315" s="49">
        <v>45325</v>
      </c>
      <c r="AY1315" s="49">
        <v>45325</v>
      </c>
      <c r="AZ1315" s="49">
        <v>45325</v>
      </c>
      <c r="BA1315" s="49">
        <v>45325</v>
      </c>
    </row>
    <row r="1316" spans="23:53" ht="16.2" customHeight="1" x14ac:dyDescent="0.4">
      <c r="W1316" s="49">
        <v>45326</v>
      </c>
      <c r="X1316" s="49">
        <v>45326</v>
      </c>
      <c r="Y1316" s="49">
        <v>45326</v>
      </c>
      <c r="AY1316" s="49">
        <v>45326</v>
      </c>
      <c r="AZ1316" s="49">
        <v>45326</v>
      </c>
      <c r="BA1316" s="49">
        <v>45326</v>
      </c>
    </row>
    <row r="1317" spans="23:53" ht="16.2" customHeight="1" x14ac:dyDescent="0.4">
      <c r="W1317" s="49">
        <v>45331</v>
      </c>
      <c r="X1317" s="49">
        <v>45331</v>
      </c>
      <c r="Y1317" s="49">
        <v>45331</v>
      </c>
      <c r="AY1317" s="49">
        <v>45331</v>
      </c>
      <c r="AZ1317" s="49">
        <v>45331</v>
      </c>
      <c r="BA1317" s="49">
        <v>45331</v>
      </c>
    </row>
    <row r="1318" spans="23:53" ht="16.2" customHeight="1" x14ac:dyDescent="0.4">
      <c r="W1318" s="49">
        <v>45333</v>
      </c>
      <c r="X1318" s="49">
        <v>45333</v>
      </c>
      <c r="Y1318" s="49">
        <v>45333</v>
      </c>
      <c r="AY1318" s="49">
        <v>45333</v>
      </c>
      <c r="AZ1318" s="49">
        <v>45333</v>
      </c>
      <c r="BA1318" s="49">
        <v>45333</v>
      </c>
    </row>
    <row r="1319" spans="23:53" ht="16.2" customHeight="1" x14ac:dyDescent="0.4">
      <c r="W1319" s="49">
        <v>45339</v>
      </c>
      <c r="X1319" s="49">
        <v>45339</v>
      </c>
      <c r="Y1319" s="49">
        <v>45339</v>
      </c>
      <c r="AY1319" s="49">
        <v>45339</v>
      </c>
      <c r="AZ1319" s="49">
        <v>45339</v>
      </c>
      <c r="BA1319" s="49">
        <v>45339</v>
      </c>
    </row>
    <row r="1320" spans="23:53" ht="16.2" customHeight="1" x14ac:dyDescent="0.4">
      <c r="W1320" s="49">
        <v>45340</v>
      </c>
      <c r="X1320" s="49">
        <v>45340</v>
      </c>
      <c r="Y1320" s="49">
        <v>45340</v>
      </c>
      <c r="AY1320" s="49">
        <v>45340</v>
      </c>
      <c r="AZ1320" s="49">
        <v>45340</v>
      </c>
      <c r="BA1320" s="49">
        <v>45340</v>
      </c>
    </row>
    <row r="1321" spans="23:53" ht="16.2" customHeight="1" x14ac:dyDescent="0.4">
      <c r="W1321" s="49">
        <v>45346</v>
      </c>
      <c r="X1321" s="49">
        <v>45346</v>
      </c>
      <c r="Y1321" s="49">
        <v>45346</v>
      </c>
      <c r="AY1321" s="49">
        <v>45346</v>
      </c>
      <c r="AZ1321" s="49">
        <v>45346</v>
      </c>
      <c r="BA1321" s="49">
        <v>45346</v>
      </c>
    </row>
    <row r="1322" spans="23:53" ht="16.2" customHeight="1" x14ac:dyDescent="0.4">
      <c r="W1322" s="49">
        <v>45347</v>
      </c>
      <c r="X1322" s="49">
        <v>45347</v>
      </c>
      <c r="Y1322" s="49">
        <v>45347</v>
      </c>
      <c r="AY1322" s="49">
        <v>45347</v>
      </c>
      <c r="AZ1322" s="49">
        <v>45347</v>
      </c>
      <c r="BA1322" s="49">
        <v>45347</v>
      </c>
    </row>
    <row r="1323" spans="23:53" ht="16.2" customHeight="1" x14ac:dyDescent="0.4">
      <c r="W1323" s="49">
        <v>45352</v>
      </c>
      <c r="X1323" s="49">
        <v>45352</v>
      </c>
      <c r="Y1323" s="49">
        <v>45352</v>
      </c>
      <c r="AY1323" s="49">
        <v>45352</v>
      </c>
      <c r="AZ1323" s="49">
        <v>45352</v>
      </c>
      <c r="BA1323" s="49">
        <v>45352</v>
      </c>
    </row>
    <row r="1324" spans="23:53" ht="16.2" customHeight="1" x14ac:dyDescent="0.4">
      <c r="W1324" s="49">
        <v>45353</v>
      </c>
      <c r="X1324" s="49">
        <v>45353</v>
      </c>
      <c r="Y1324" s="49">
        <v>45353</v>
      </c>
      <c r="AY1324" s="49">
        <v>45353</v>
      </c>
      <c r="AZ1324" s="49">
        <v>45353</v>
      </c>
      <c r="BA1324" s="49">
        <v>45353</v>
      </c>
    </row>
    <row r="1325" spans="23:53" ht="16.2" customHeight="1" x14ac:dyDescent="0.4">
      <c r="W1325" s="49">
        <v>45354</v>
      </c>
      <c r="X1325" s="49">
        <v>45354</v>
      </c>
      <c r="Y1325" s="49">
        <v>45354</v>
      </c>
      <c r="AY1325" s="49">
        <v>45354</v>
      </c>
      <c r="AZ1325" s="49">
        <v>45354</v>
      </c>
      <c r="BA1325" s="49">
        <v>45354</v>
      </c>
    </row>
    <row r="1326" spans="23:53" ht="16.2" customHeight="1" x14ac:dyDescent="0.4">
      <c r="W1326" s="49">
        <v>45360</v>
      </c>
      <c r="X1326" s="49">
        <v>45360</v>
      </c>
      <c r="Y1326" s="49">
        <v>45360</v>
      </c>
      <c r="AY1326" s="49">
        <v>45360</v>
      </c>
      <c r="AZ1326" s="49">
        <v>45360</v>
      </c>
      <c r="BA1326" s="49">
        <v>45360</v>
      </c>
    </row>
    <row r="1327" spans="23:53" ht="16.2" customHeight="1" x14ac:dyDescent="0.4">
      <c r="W1327" s="49">
        <v>45361</v>
      </c>
      <c r="X1327" s="49">
        <v>45361</v>
      </c>
      <c r="Y1327" s="49">
        <v>45361</v>
      </c>
      <c r="AY1327" s="49">
        <v>45361</v>
      </c>
      <c r="AZ1327" s="49">
        <v>45361</v>
      </c>
      <c r="BA1327" s="49">
        <v>45361</v>
      </c>
    </row>
    <row r="1328" spans="23:53" ht="16.2" customHeight="1" x14ac:dyDescent="0.4">
      <c r="W1328" s="49">
        <v>45367</v>
      </c>
      <c r="X1328" s="49">
        <v>45367</v>
      </c>
      <c r="Y1328" s="49">
        <v>45367</v>
      </c>
      <c r="AY1328" s="49">
        <v>45367</v>
      </c>
      <c r="AZ1328" s="49">
        <v>45367</v>
      </c>
      <c r="BA1328" s="49">
        <v>45367</v>
      </c>
    </row>
    <row r="1329" spans="23:53" ht="16.2" customHeight="1" x14ac:dyDescent="0.4">
      <c r="W1329" s="49">
        <v>45368</v>
      </c>
      <c r="X1329" s="49">
        <v>45368</v>
      </c>
      <c r="Y1329" s="49">
        <v>45368</v>
      </c>
      <c r="AY1329" s="49">
        <v>45368</v>
      </c>
      <c r="AZ1329" s="49">
        <v>45368</v>
      </c>
      <c r="BA1329" s="49">
        <v>45368</v>
      </c>
    </row>
    <row r="1330" spans="23:53" ht="16.2" customHeight="1" x14ac:dyDescent="0.4">
      <c r="W1330" s="49">
        <v>45374</v>
      </c>
      <c r="X1330" s="49">
        <v>45374</v>
      </c>
      <c r="Y1330" s="49">
        <v>45374</v>
      </c>
      <c r="AY1330" s="49">
        <v>45374</v>
      </c>
      <c r="AZ1330" s="49">
        <v>45374</v>
      </c>
      <c r="BA1330" s="49">
        <v>45374</v>
      </c>
    </row>
    <row r="1331" spans="23:53" ht="16.2" customHeight="1" x14ac:dyDescent="0.4">
      <c r="W1331" s="49">
        <v>45375</v>
      </c>
      <c r="X1331" s="49">
        <v>45375</v>
      </c>
      <c r="Y1331" s="49">
        <v>45375</v>
      </c>
      <c r="AY1331" s="49">
        <v>45375</v>
      </c>
      <c r="AZ1331" s="49">
        <v>45375</v>
      </c>
      <c r="BA1331" s="49">
        <v>45375</v>
      </c>
    </row>
    <row r="1332" spans="23:53" ht="16.2" customHeight="1" x14ac:dyDescent="0.4">
      <c r="W1332" s="49">
        <v>45381</v>
      </c>
      <c r="X1332" s="49">
        <v>45381</v>
      </c>
      <c r="Y1332" s="49">
        <v>45381</v>
      </c>
      <c r="AY1332" s="49">
        <v>45381</v>
      </c>
      <c r="AZ1332" s="49">
        <v>45381</v>
      </c>
      <c r="BA1332" s="49">
        <v>45381</v>
      </c>
    </row>
    <row r="1333" spans="23:53" ht="16.2" customHeight="1" x14ac:dyDescent="0.4">
      <c r="W1333" s="49">
        <v>45382</v>
      </c>
      <c r="X1333" s="49">
        <v>45382</v>
      </c>
      <c r="Y1333" s="49">
        <v>45382</v>
      </c>
      <c r="AY1333" s="49">
        <v>45382</v>
      </c>
      <c r="AZ1333" s="49">
        <v>45382</v>
      </c>
      <c r="BA1333" s="49">
        <v>45382</v>
      </c>
    </row>
    <row r="1334" spans="23:53" ht="16.2" customHeight="1" x14ac:dyDescent="0.4">
      <c r="W1334" s="49">
        <v>45388</v>
      </c>
      <c r="X1334" s="49">
        <v>45388</v>
      </c>
      <c r="Y1334" s="49">
        <v>45388</v>
      </c>
      <c r="AY1334" s="49">
        <v>45388</v>
      </c>
      <c r="AZ1334" s="49">
        <v>45388</v>
      </c>
      <c r="BA1334" s="49">
        <v>45388</v>
      </c>
    </row>
    <row r="1335" spans="23:53" ht="16.2" customHeight="1" x14ac:dyDescent="0.4">
      <c r="W1335" s="49">
        <v>45389</v>
      </c>
      <c r="X1335" s="49">
        <v>45389</v>
      </c>
      <c r="Y1335" s="49">
        <v>45389</v>
      </c>
      <c r="AY1335" s="49">
        <v>45389</v>
      </c>
      <c r="AZ1335" s="49">
        <v>45389</v>
      </c>
      <c r="BA1335" s="49">
        <v>45389</v>
      </c>
    </row>
    <row r="1336" spans="23:53" ht="16.2" customHeight="1" x14ac:dyDescent="0.4">
      <c r="W1336" s="49">
        <v>45395</v>
      </c>
      <c r="X1336" s="49">
        <v>45395</v>
      </c>
      <c r="Y1336" s="49">
        <v>45395</v>
      </c>
      <c r="AY1336" s="49">
        <v>45395</v>
      </c>
      <c r="AZ1336" s="49">
        <v>45395</v>
      </c>
      <c r="BA1336" s="49">
        <v>45395</v>
      </c>
    </row>
    <row r="1337" spans="23:53" ht="16.2" customHeight="1" x14ac:dyDescent="0.4">
      <c r="W1337" s="49">
        <v>45396</v>
      </c>
      <c r="X1337" s="49">
        <v>45396</v>
      </c>
      <c r="Y1337" s="49">
        <v>45396</v>
      </c>
      <c r="AY1337" s="49">
        <v>45396</v>
      </c>
      <c r="AZ1337" s="49">
        <v>45396</v>
      </c>
      <c r="BA1337" s="49">
        <v>45396</v>
      </c>
    </row>
    <row r="1338" spans="23:53" ht="16.2" customHeight="1" x14ac:dyDescent="0.4">
      <c r="W1338" s="49">
        <v>45402</v>
      </c>
      <c r="X1338" s="49">
        <v>45402</v>
      </c>
      <c r="Y1338" s="49">
        <v>45402</v>
      </c>
      <c r="AY1338" s="49">
        <v>45402</v>
      </c>
      <c r="AZ1338" s="49">
        <v>45402</v>
      </c>
      <c r="BA1338" s="49">
        <v>45402</v>
      </c>
    </row>
    <row r="1339" spans="23:53" ht="16.2" customHeight="1" x14ac:dyDescent="0.4">
      <c r="W1339" s="49">
        <v>45403</v>
      </c>
      <c r="X1339" s="49">
        <v>45403</v>
      </c>
      <c r="Y1339" s="49">
        <v>45403</v>
      </c>
      <c r="AY1339" s="49">
        <v>45403</v>
      </c>
      <c r="AZ1339" s="49">
        <v>45403</v>
      </c>
      <c r="BA1339" s="49">
        <v>45403</v>
      </c>
    </row>
    <row r="1340" spans="23:53" ht="16.2" customHeight="1" x14ac:dyDescent="0.4">
      <c r="W1340" s="49">
        <v>45409</v>
      </c>
      <c r="X1340" s="49">
        <v>45409</v>
      </c>
      <c r="Y1340" s="49">
        <v>45409</v>
      </c>
      <c r="AY1340" s="49">
        <v>45409</v>
      </c>
      <c r="AZ1340" s="49">
        <v>45409</v>
      </c>
      <c r="BA1340" s="49">
        <v>45409</v>
      </c>
    </row>
    <row r="1341" spans="23:53" ht="16.2" customHeight="1" x14ac:dyDescent="0.4">
      <c r="W1341" s="49">
        <v>45410</v>
      </c>
      <c r="X1341" s="49">
        <v>45410</v>
      </c>
      <c r="Y1341" s="49">
        <v>45410</v>
      </c>
      <c r="AY1341" s="49">
        <v>45410</v>
      </c>
      <c r="AZ1341" s="49">
        <v>45410</v>
      </c>
      <c r="BA1341" s="49">
        <v>45410</v>
      </c>
    </row>
    <row r="1342" spans="23:53" ht="16.2" customHeight="1" x14ac:dyDescent="0.4">
      <c r="W1342" s="49">
        <v>45413</v>
      </c>
      <c r="X1342" s="49">
        <v>45413</v>
      </c>
      <c r="Y1342" s="49">
        <v>45413</v>
      </c>
      <c r="AY1342" s="49">
        <v>45413</v>
      </c>
      <c r="AZ1342" s="49">
        <v>45413</v>
      </c>
      <c r="BA1342" s="49">
        <v>45413</v>
      </c>
    </row>
    <row r="1343" spans="23:53" ht="16.2" customHeight="1" x14ac:dyDescent="0.4">
      <c r="W1343" s="49">
        <v>45416</v>
      </c>
      <c r="X1343" s="49">
        <v>45416</v>
      </c>
      <c r="Y1343" s="49">
        <v>45416</v>
      </c>
      <c r="AY1343" s="49">
        <v>45416</v>
      </c>
      <c r="AZ1343" s="49">
        <v>45416</v>
      </c>
      <c r="BA1343" s="49">
        <v>45416</v>
      </c>
    </row>
    <row r="1344" spans="23:53" ht="16.2" customHeight="1" x14ac:dyDescent="0.4">
      <c r="W1344" s="49">
        <v>45417</v>
      </c>
      <c r="X1344" s="49">
        <v>45417</v>
      </c>
      <c r="Y1344" s="49">
        <v>45417</v>
      </c>
      <c r="AY1344" s="49">
        <v>45417</v>
      </c>
      <c r="AZ1344" s="49">
        <v>45417</v>
      </c>
      <c r="BA1344" s="49">
        <v>45417</v>
      </c>
    </row>
    <row r="1345" spans="23:53" ht="16.2" customHeight="1" x14ac:dyDescent="0.4">
      <c r="W1345" s="49">
        <v>45423</v>
      </c>
      <c r="X1345" s="49">
        <v>45423</v>
      </c>
      <c r="Y1345" s="49">
        <v>45423</v>
      </c>
      <c r="AY1345" s="49">
        <v>45423</v>
      </c>
      <c r="AZ1345" s="49">
        <v>45423</v>
      </c>
      <c r="BA1345" s="49">
        <v>45423</v>
      </c>
    </row>
    <row r="1346" spans="23:53" ht="16.2" customHeight="1" x14ac:dyDescent="0.4">
      <c r="W1346" s="49">
        <v>45424</v>
      </c>
      <c r="X1346" s="49">
        <v>45424</v>
      </c>
      <c r="Y1346" s="49">
        <v>45424</v>
      </c>
      <c r="AY1346" s="49">
        <v>45424</v>
      </c>
      <c r="AZ1346" s="49">
        <v>45424</v>
      </c>
      <c r="BA1346" s="49">
        <v>45424</v>
      </c>
    </row>
    <row r="1347" spans="23:53" ht="16.2" customHeight="1" x14ac:dyDescent="0.4">
      <c r="W1347" s="49">
        <v>45427</v>
      </c>
      <c r="X1347" s="49">
        <v>45427</v>
      </c>
      <c r="Y1347" s="49">
        <v>45427</v>
      </c>
      <c r="AY1347" s="49">
        <v>45427</v>
      </c>
      <c r="AZ1347" s="49">
        <v>45427</v>
      </c>
      <c r="BA1347" s="49">
        <v>45427</v>
      </c>
    </row>
    <row r="1348" spans="23:53" ht="16.2" customHeight="1" x14ac:dyDescent="0.4">
      <c r="W1348" s="49">
        <v>45430</v>
      </c>
      <c r="X1348" s="49">
        <v>45430</v>
      </c>
      <c r="Y1348" s="49">
        <v>45430</v>
      </c>
      <c r="AY1348" s="49">
        <v>45430</v>
      </c>
      <c r="AZ1348" s="49">
        <v>45430</v>
      </c>
      <c r="BA1348" s="49">
        <v>45430</v>
      </c>
    </row>
    <row r="1349" spans="23:53" ht="16.2" customHeight="1" x14ac:dyDescent="0.4">
      <c r="W1349" s="49">
        <v>45431</v>
      </c>
      <c r="X1349" s="49">
        <v>45431</v>
      </c>
      <c r="Y1349" s="49">
        <v>45431</v>
      </c>
      <c r="AY1349" s="49">
        <v>45431</v>
      </c>
      <c r="AZ1349" s="49">
        <v>45431</v>
      </c>
      <c r="BA1349" s="49">
        <v>45431</v>
      </c>
    </row>
    <row r="1350" spans="23:53" ht="16.2" customHeight="1" x14ac:dyDescent="0.4">
      <c r="W1350" s="49">
        <v>45437</v>
      </c>
      <c r="X1350" s="49">
        <v>45437</v>
      </c>
      <c r="Y1350" s="49">
        <v>45437</v>
      </c>
      <c r="AY1350" s="49">
        <v>45437</v>
      </c>
      <c r="AZ1350" s="49">
        <v>45437</v>
      </c>
      <c r="BA1350" s="49">
        <v>45437</v>
      </c>
    </row>
    <row r="1351" spans="23:53" ht="16.2" customHeight="1" x14ac:dyDescent="0.4">
      <c r="W1351" s="49">
        <v>45438</v>
      </c>
      <c r="X1351" s="49">
        <v>45438</v>
      </c>
      <c r="Y1351" s="49">
        <v>45438</v>
      </c>
      <c r="AY1351" s="49">
        <v>45438</v>
      </c>
      <c r="AZ1351" s="49">
        <v>45438</v>
      </c>
      <c r="BA1351" s="49">
        <v>45438</v>
      </c>
    </row>
    <row r="1352" spans="23:53" ht="16.2" customHeight="1" x14ac:dyDescent="0.4">
      <c r="W1352" s="49">
        <v>45444</v>
      </c>
      <c r="X1352" s="49">
        <v>45444</v>
      </c>
      <c r="Y1352" s="49">
        <v>45444</v>
      </c>
      <c r="AY1352" s="49">
        <v>45444</v>
      </c>
      <c r="AZ1352" s="49">
        <v>45444</v>
      </c>
      <c r="BA1352" s="49">
        <v>45444</v>
      </c>
    </row>
    <row r="1353" spans="23:53" ht="16.2" customHeight="1" x14ac:dyDescent="0.4">
      <c r="W1353" s="49">
        <v>45445</v>
      </c>
      <c r="X1353" s="49">
        <v>45445</v>
      </c>
      <c r="Y1353" s="49">
        <v>45445</v>
      </c>
      <c r="AY1353" s="49">
        <v>45445</v>
      </c>
      <c r="AZ1353" s="49">
        <v>45445</v>
      </c>
      <c r="BA1353" s="49">
        <v>45445</v>
      </c>
    </row>
    <row r="1354" spans="23:53" ht="16.2" customHeight="1" x14ac:dyDescent="0.4">
      <c r="W1354" s="49">
        <v>45449</v>
      </c>
      <c r="X1354" s="49">
        <v>45449</v>
      </c>
      <c r="Y1354" s="49">
        <v>45449</v>
      </c>
      <c r="AY1354" s="49">
        <v>45449</v>
      </c>
      <c r="AZ1354" s="49">
        <v>45449</v>
      </c>
      <c r="BA1354" s="49">
        <v>45449</v>
      </c>
    </row>
    <row r="1355" spans="23:53" ht="16.2" customHeight="1" x14ac:dyDescent="0.4">
      <c r="W1355" s="49">
        <v>45451</v>
      </c>
      <c r="X1355" s="49">
        <v>45451</v>
      </c>
      <c r="Y1355" s="49">
        <v>45451</v>
      </c>
      <c r="AY1355" s="49">
        <v>45451</v>
      </c>
      <c r="AZ1355" s="49">
        <v>45451</v>
      </c>
      <c r="BA1355" s="49">
        <v>45451</v>
      </c>
    </row>
    <row r="1356" spans="23:53" ht="16.2" customHeight="1" x14ac:dyDescent="0.4">
      <c r="W1356" s="49">
        <v>45452</v>
      </c>
      <c r="X1356" s="49">
        <v>45452</v>
      </c>
      <c r="Y1356" s="49">
        <v>45452</v>
      </c>
      <c r="AY1356" s="49">
        <v>45452</v>
      </c>
      <c r="AZ1356" s="49">
        <v>45452</v>
      </c>
      <c r="BA1356" s="49">
        <v>45452</v>
      </c>
    </row>
    <row r="1357" spans="23:53" ht="16.2" customHeight="1" x14ac:dyDescent="0.4">
      <c r="W1357" s="49">
        <v>45458</v>
      </c>
      <c r="X1357" s="49">
        <v>45458</v>
      </c>
      <c r="Y1357" s="49">
        <v>45458</v>
      </c>
      <c r="AY1357" s="49">
        <v>45458</v>
      </c>
      <c r="AZ1357" s="49">
        <v>45458</v>
      </c>
      <c r="BA1357" s="49">
        <v>45458</v>
      </c>
    </row>
    <row r="1358" spans="23:53" ht="16.2" customHeight="1" x14ac:dyDescent="0.4">
      <c r="W1358" s="49">
        <v>45459</v>
      </c>
      <c r="X1358" s="49">
        <v>45459</v>
      </c>
      <c r="Y1358" s="49">
        <v>45459</v>
      </c>
      <c r="AY1358" s="49">
        <v>45459</v>
      </c>
      <c r="AZ1358" s="49">
        <v>45459</v>
      </c>
      <c r="BA1358" s="49">
        <v>45459</v>
      </c>
    </row>
    <row r="1359" spans="23:53" ht="16.2" customHeight="1" x14ac:dyDescent="0.4">
      <c r="W1359" s="49">
        <v>45465</v>
      </c>
      <c r="X1359" s="49">
        <v>45465</v>
      </c>
      <c r="Y1359" s="49">
        <v>45465</v>
      </c>
      <c r="AY1359" s="49">
        <v>45465</v>
      </c>
      <c r="AZ1359" s="49">
        <v>45465</v>
      </c>
      <c r="BA1359" s="49">
        <v>45465</v>
      </c>
    </row>
    <row r="1360" spans="23:53" ht="16.2" customHeight="1" x14ac:dyDescent="0.4">
      <c r="W1360" s="49">
        <v>45466</v>
      </c>
      <c r="X1360" s="49">
        <v>45466</v>
      </c>
      <c r="Y1360" s="49">
        <v>45466</v>
      </c>
      <c r="AY1360" s="49">
        <v>45466</v>
      </c>
      <c r="AZ1360" s="49">
        <v>45466</v>
      </c>
      <c r="BA1360" s="49">
        <v>45466</v>
      </c>
    </row>
    <row r="1361" spans="23:53" ht="16.2" customHeight="1" x14ac:dyDescent="0.4">
      <c r="W1361" s="49">
        <v>45472</v>
      </c>
      <c r="X1361" s="49">
        <v>45472</v>
      </c>
      <c r="Y1361" s="49">
        <v>45472</v>
      </c>
      <c r="AY1361" s="49">
        <v>45472</v>
      </c>
      <c r="AZ1361" s="49">
        <v>45472</v>
      </c>
      <c r="BA1361" s="49">
        <v>45472</v>
      </c>
    </row>
    <row r="1362" spans="23:53" ht="16.2" customHeight="1" x14ac:dyDescent="0.4">
      <c r="W1362" s="49">
        <v>45473</v>
      </c>
      <c r="X1362" s="49">
        <v>45473</v>
      </c>
      <c r="Y1362" s="49">
        <v>45473</v>
      </c>
      <c r="AY1362" s="49">
        <v>45473</v>
      </c>
      <c r="AZ1362" s="49">
        <v>45473</v>
      </c>
      <c r="BA1362" s="49">
        <v>45473</v>
      </c>
    </row>
    <row r="1363" spans="23:53" ht="16.2" customHeight="1" x14ac:dyDescent="0.4">
      <c r="W1363" s="49">
        <v>45479</v>
      </c>
      <c r="X1363" s="49">
        <v>45479</v>
      </c>
      <c r="Y1363" s="49">
        <v>45479</v>
      </c>
      <c r="AY1363" s="49">
        <v>45479</v>
      </c>
      <c r="AZ1363" s="49">
        <v>45479</v>
      </c>
      <c r="BA1363" s="49">
        <v>45479</v>
      </c>
    </row>
    <row r="1364" spans="23:53" ht="16.2" customHeight="1" x14ac:dyDescent="0.4">
      <c r="W1364" s="49">
        <v>45480</v>
      </c>
      <c r="X1364" s="49">
        <v>45480</v>
      </c>
      <c r="Y1364" s="49">
        <v>45480</v>
      </c>
      <c r="AY1364" s="49">
        <v>45480</v>
      </c>
      <c r="AZ1364" s="49">
        <v>45480</v>
      </c>
      <c r="BA1364" s="49">
        <v>45480</v>
      </c>
    </row>
    <row r="1365" spans="23:53" ht="16.2" customHeight="1" x14ac:dyDescent="0.4">
      <c r="W1365" s="49">
        <v>45486</v>
      </c>
      <c r="X1365" s="49">
        <v>45486</v>
      </c>
      <c r="Y1365" s="49">
        <v>45486</v>
      </c>
      <c r="AY1365" s="49">
        <v>45486</v>
      </c>
      <c r="AZ1365" s="49">
        <v>45486</v>
      </c>
      <c r="BA1365" s="49">
        <v>45486</v>
      </c>
    </row>
    <row r="1366" spans="23:53" ht="16.2" customHeight="1" x14ac:dyDescent="0.4">
      <c r="W1366" s="49">
        <v>45487</v>
      </c>
      <c r="X1366" s="49">
        <v>45487</v>
      </c>
      <c r="Y1366" s="49">
        <v>45487</v>
      </c>
      <c r="AY1366" s="49">
        <v>45487</v>
      </c>
      <c r="AZ1366" s="49">
        <v>45487</v>
      </c>
      <c r="BA1366" s="49">
        <v>45487</v>
      </c>
    </row>
    <row r="1367" spans="23:53" ht="16.2" customHeight="1" x14ac:dyDescent="0.4">
      <c r="W1367" s="49">
        <v>45493</v>
      </c>
      <c r="X1367" s="49">
        <v>45493</v>
      </c>
      <c r="Y1367" s="49">
        <v>45493</v>
      </c>
      <c r="AY1367" s="49">
        <v>45493</v>
      </c>
      <c r="AZ1367" s="49">
        <v>45493</v>
      </c>
      <c r="BA1367" s="49">
        <v>45493</v>
      </c>
    </row>
    <row r="1368" spans="23:53" ht="16.2" customHeight="1" x14ac:dyDescent="0.4">
      <c r="W1368" s="49">
        <v>45494</v>
      </c>
      <c r="X1368" s="49">
        <v>45494</v>
      </c>
      <c r="Y1368" s="49">
        <v>45494</v>
      </c>
      <c r="AY1368" s="49">
        <v>45494</v>
      </c>
      <c r="AZ1368" s="49">
        <v>45494</v>
      </c>
      <c r="BA1368" s="49">
        <v>45494</v>
      </c>
    </row>
    <row r="1369" spans="23:53" ht="16.2" customHeight="1" x14ac:dyDescent="0.4">
      <c r="W1369" s="49">
        <v>45500</v>
      </c>
      <c r="X1369" s="49">
        <v>45500</v>
      </c>
      <c r="Y1369" s="49">
        <v>45500</v>
      </c>
      <c r="AY1369" s="49">
        <v>45500</v>
      </c>
      <c r="AZ1369" s="49">
        <v>45500</v>
      </c>
      <c r="BA1369" s="49">
        <v>45500</v>
      </c>
    </row>
    <row r="1370" spans="23:53" ht="16.2" customHeight="1" x14ac:dyDescent="0.4">
      <c r="W1370" s="49">
        <v>45501</v>
      </c>
      <c r="X1370" s="49">
        <v>45501</v>
      </c>
      <c r="Y1370" s="49">
        <v>45501</v>
      </c>
      <c r="AY1370" s="49">
        <v>45501</v>
      </c>
      <c r="AZ1370" s="49">
        <v>45501</v>
      </c>
      <c r="BA1370" s="49">
        <v>45501</v>
      </c>
    </row>
    <row r="1371" spans="23:53" ht="16.2" customHeight="1" x14ac:dyDescent="0.4">
      <c r="W1371" s="49">
        <v>45507</v>
      </c>
      <c r="X1371" s="49">
        <v>45507</v>
      </c>
      <c r="Y1371" s="49">
        <v>45507</v>
      </c>
      <c r="AY1371" s="49">
        <v>45507</v>
      </c>
      <c r="AZ1371" s="49">
        <v>45507</v>
      </c>
      <c r="BA1371" s="49">
        <v>45507</v>
      </c>
    </row>
    <row r="1372" spans="23:53" ht="16.2" customHeight="1" x14ac:dyDescent="0.4">
      <c r="W1372" s="49">
        <v>45508</v>
      </c>
      <c r="X1372" s="49">
        <v>45508</v>
      </c>
      <c r="Y1372" s="49">
        <v>45508</v>
      </c>
      <c r="AY1372" s="49">
        <v>45508</v>
      </c>
      <c r="AZ1372" s="49">
        <v>45508</v>
      </c>
      <c r="BA1372" s="49">
        <v>45508</v>
      </c>
    </row>
    <row r="1373" spans="23:53" ht="16.2" customHeight="1" x14ac:dyDescent="0.4">
      <c r="W1373" s="49">
        <v>45514</v>
      </c>
      <c r="X1373" s="49">
        <v>45514</v>
      </c>
      <c r="Y1373" s="49">
        <v>45514</v>
      </c>
      <c r="AY1373" s="49">
        <v>45514</v>
      </c>
      <c r="AZ1373" s="49">
        <v>45514</v>
      </c>
      <c r="BA1373" s="49">
        <v>45514</v>
      </c>
    </row>
    <row r="1374" spans="23:53" ht="16.2" customHeight="1" x14ac:dyDescent="0.4">
      <c r="W1374" s="49">
        <v>45515</v>
      </c>
      <c r="X1374" s="49">
        <v>45515</v>
      </c>
      <c r="Y1374" s="49">
        <v>45515</v>
      </c>
      <c r="AY1374" s="49">
        <v>45515</v>
      </c>
      <c r="AZ1374" s="49">
        <v>45515</v>
      </c>
      <c r="BA1374" s="49">
        <v>45515</v>
      </c>
    </row>
    <row r="1375" spans="23:53" ht="16.2" customHeight="1" x14ac:dyDescent="0.4">
      <c r="W1375" s="49">
        <v>45519</v>
      </c>
      <c r="X1375" s="49">
        <v>45519</v>
      </c>
      <c r="Y1375" s="49">
        <v>45519</v>
      </c>
      <c r="AY1375" s="49">
        <v>45519</v>
      </c>
      <c r="AZ1375" s="49">
        <v>45519</v>
      </c>
      <c r="BA1375" s="49">
        <v>45519</v>
      </c>
    </row>
    <row r="1376" spans="23:53" ht="16.2" customHeight="1" x14ac:dyDescent="0.4">
      <c r="W1376" s="49">
        <v>45521</v>
      </c>
      <c r="X1376" s="49">
        <v>45521</v>
      </c>
      <c r="Y1376" s="49">
        <v>45521</v>
      </c>
      <c r="AY1376" s="49">
        <v>45521</v>
      </c>
      <c r="AZ1376" s="49">
        <v>45521</v>
      </c>
      <c r="BA1376" s="49">
        <v>45521</v>
      </c>
    </row>
    <row r="1377" spans="23:53" ht="16.2" customHeight="1" x14ac:dyDescent="0.4">
      <c r="W1377" s="49">
        <v>45522</v>
      </c>
      <c r="X1377" s="49">
        <v>45522</v>
      </c>
      <c r="Y1377" s="49">
        <v>45522</v>
      </c>
      <c r="AY1377" s="49">
        <v>45522</v>
      </c>
      <c r="AZ1377" s="49">
        <v>45522</v>
      </c>
      <c r="BA1377" s="49">
        <v>45522</v>
      </c>
    </row>
    <row r="1378" spans="23:53" ht="16.2" customHeight="1" x14ac:dyDescent="0.4">
      <c r="W1378" s="49">
        <v>45528</v>
      </c>
      <c r="X1378" s="49">
        <v>45528</v>
      </c>
      <c r="Y1378" s="49">
        <v>45528</v>
      </c>
      <c r="AY1378" s="49">
        <v>45528</v>
      </c>
      <c r="AZ1378" s="49">
        <v>45528</v>
      </c>
      <c r="BA1378" s="49">
        <v>45528</v>
      </c>
    </row>
    <row r="1379" spans="23:53" ht="16.2" customHeight="1" x14ac:dyDescent="0.4">
      <c r="W1379" s="49">
        <v>45529</v>
      </c>
      <c r="X1379" s="49">
        <v>45529</v>
      </c>
      <c r="Y1379" s="49">
        <v>45529</v>
      </c>
      <c r="AY1379" s="49">
        <v>45529</v>
      </c>
      <c r="AZ1379" s="49">
        <v>45529</v>
      </c>
      <c r="BA1379" s="49">
        <v>45529</v>
      </c>
    </row>
    <row r="1380" spans="23:53" ht="16.2" customHeight="1" x14ac:dyDescent="0.4">
      <c r="W1380" s="49">
        <v>45535</v>
      </c>
      <c r="X1380" s="49">
        <v>45535</v>
      </c>
      <c r="Y1380" s="49">
        <v>45535</v>
      </c>
      <c r="AY1380" s="49">
        <v>45535</v>
      </c>
      <c r="AZ1380" s="49">
        <v>45535</v>
      </c>
      <c r="BA1380" s="49">
        <v>45535</v>
      </c>
    </row>
    <row r="1381" spans="23:53" ht="16.2" customHeight="1" x14ac:dyDescent="0.4">
      <c r="W1381" s="49">
        <v>45536</v>
      </c>
      <c r="X1381" s="49">
        <v>45536</v>
      </c>
      <c r="Y1381" s="49">
        <v>45536</v>
      </c>
      <c r="AY1381" s="49">
        <v>45536</v>
      </c>
      <c r="AZ1381" s="49">
        <v>45536</v>
      </c>
      <c r="BA1381" s="49">
        <v>45536</v>
      </c>
    </row>
    <row r="1382" spans="23:53" ht="16.2" customHeight="1" x14ac:dyDescent="0.4">
      <c r="W1382" s="49">
        <v>45542</v>
      </c>
      <c r="X1382" s="49">
        <v>45542</v>
      </c>
      <c r="Y1382" s="49">
        <v>45542</v>
      </c>
      <c r="AY1382" s="49">
        <v>45542</v>
      </c>
      <c r="AZ1382" s="49">
        <v>45542</v>
      </c>
      <c r="BA1382" s="49">
        <v>45542</v>
      </c>
    </row>
    <row r="1383" spans="23:53" ht="16.2" customHeight="1" x14ac:dyDescent="0.4">
      <c r="W1383" s="49">
        <v>45543</v>
      </c>
      <c r="X1383" s="49">
        <v>45543</v>
      </c>
      <c r="Y1383" s="49">
        <v>45543</v>
      </c>
      <c r="AY1383" s="49">
        <v>45543</v>
      </c>
      <c r="AZ1383" s="49">
        <v>45543</v>
      </c>
      <c r="BA1383" s="49">
        <v>45543</v>
      </c>
    </row>
    <row r="1384" spans="23:53" ht="16.2" customHeight="1" x14ac:dyDescent="0.4">
      <c r="W1384" s="49">
        <v>45549</v>
      </c>
      <c r="X1384" s="49">
        <v>45549</v>
      </c>
      <c r="Y1384" s="49">
        <v>45549</v>
      </c>
      <c r="AY1384" s="49">
        <v>45549</v>
      </c>
      <c r="AZ1384" s="49">
        <v>45549</v>
      </c>
      <c r="BA1384" s="49">
        <v>45549</v>
      </c>
    </row>
    <row r="1385" spans="23:53" ht="16.2" customHeight="1" x14ac:dyDescent="0.4">
      <c r="W1385" s="49">
        <v>45550</v>
      </c>
      <c r="X1385" s="49">
        <v>45550</v>
      </c>
      <c r="Y1385" s="49">
        <v>45550</v>
      </c>
      <c r="AY1385" s="49">
        <v>45550</v>
      </c>
      <c r="AZ1385" s="49">
        <v>45550</v>
      </c>
      <c r="BA1385" s="49">
        <v>45550</v>
      </c>
    </row>
    <row r="1386" spans="23:53" ht="16.2" customHeight="1" x14ac:dyDescent="0.4">
      <c r="W1386" s="49">
        <v>45551</v>
      </c>
      <c r="X1386" s="49">
        <v>45551</v>
      </c>
      <c r="Y1386" s="49">
        <v>45551</v>
      </c>
      <c r="AY1386" s="49">
        <v>45551</v>
      </c>
      <c r="AZ1386" s="49">
        <v>45551</v>
      </c>
      <c r="BA1386" s="49">
        <v>45551</v>
      </c>
    </row>
    <row r="1387" spans="23:53" ht="16.2" customHeight="1" x14ac:dyDescent="0.4">
      <c r="W1387" s="49">
        <v>45552</v>
      </c>
      <c r="X1387" s="49">
        <v>45552</v>
      </c>
      <c r="Y1387" s="49">
        <v>45552</v>
      </c>
      <c r="AY1387" s="49">
        <v>45552</v>
      </c>
      <c r="AZ1387" s="49">
        <v>45552</v>
      </c>
      <c r="BA1387" s="49">
        <v>45552</v>
      </c>
    </row>
    <row r="1388" spans="23:53" ht="16.2" customHeight="1" x14ac:dyDescent="0.4">
      <c r="W1388" s="49">
        <v>45553</v>
      </c>
      <c r="X1388" s="49">
        <v>45553</v>
      </c>
      <c r="Y1388" s="49">
        <v>45553</v>
      </c>
      <c r="AY1388" s="49">
        <v>45553</v>
      </c>
      <c r="AZ1388" s="49">
        <v>45553</v>
      </c>
      <c r="BA1388" s="49">
        <v>45553</v>
      </c>
    </row>
    <row r="1389" spans="23:53" ht="16.2" customHeight="1" x14ac:dyDescent="0.4">
      <c r="W1389" s="49">
        <v>45556</v>
      </c>
      <c r="X1389" s="49">
        <v>45556</v>
      </c>
      <c r="Y1389" s="49">
        <v>45556</v>
      </c>
      <c r="AY1389" s="49">
        <v>45556</v>
      </c>
      <c r="AZ1389" s="49">
        <v>45556</v>
      </c>
      <c r="BA1389" s="49">
        <v>45556</v>
      </c>
    </row>
    <row r="1390" spans="23:53" ht="16.2" customHeight="1" x14ac:dyDescent="0.4">
      <c r="W1390" s="49">
        <v>45557</v>
      </c>
      <c r="X1390" s="49">
        <v>45557</v>
      </c>
      <c r="Y1390" s="49">
        <v>45557</v>
      </c>
      <c r="AY1390" s="49">
        <v>45557</v>
      </c>
      <c r="AZ1390" s="49">
        <v>45557</v>
      </c>
      <c r="BA1390" s="49">
        <v>45557</v>
      </c>
    </row>
    <row r="1391" spans="23:53" ht="16.2" customHeight="1" x14ac:dyDescent="0.4">
      <c r="W1391" s="49">
        <v>45563</v>
      </c>
      <c r="X1391" s="49">
        <v>45563</v>
      </c>
      <c r="Y1391" s="49">
        <v>45563</v>
      </c>
      <c r="AY1391" s="49">
        <v>45563</v>
      </c>
      <c r="AZ1391" s="49">
        <v>45563</v>
      </c>
      <c r="BA1391" s="49">
        <v>45563</v>
      </c>
    </row>
    <row r="1392" spans="23:53" ht="16.2" customHeight="1" x14ac:dyDescent="0.4">
      <c r="W1392" s="49">
        <v>45564</v>
      </c>
      <c r="X1392" s="49">
        <v>45564</v>
      </c>
      <c r="Y1392" s="49">
        <v>45564</v>
      </c>
      <c r="AY1392" s="49">
        <v>45564</v>
      </c>
      <c r="AZ1392" s="49">
        <v>45564</v>
      </c>
      <c r="BA1392" s="49">
        <v>45564</v>
      </c>
    </row>
    <row r="1393" spans="23:53" ht="16.2" customHeight="1" x14ac:dyDescent="0.4">
      <c r="W1393" s="49">
        <v>45568</v>
      </c>
      <c r="X1393" s="49">
        <v>45568</v>
      </c>
      <c r="Y1393" s="49">
        <v>45568</v>
      </c>
      <c r="AY1393" s="49">
        <v>45568</v>
      </c>
      <c r="AZ1393" s="49">
        <v>45568</v>
      </c>
      <c r="BA1393" s="49">
        <v>45568</v>
      </c>
    </row>
    <row r="1394" spans="23:53" ht="16.2" customHeight="1" x14ac:dyDescent="0.4">
      <c r="W1394" s="49">
        <v>45570</v>
      </c>
      <c r="X1394" s="49">
        <v>45570</v>
      </c>
      <c r="Y1394" s="49">
        <v>45570</v>
      </c>
      <c r="AY1394" s="49">
        <v>45570</v>
      </c>
      <c r="AZ1394" s="49">
        <v>45570</v>
      </c>
      <c r="BA1394" s="49">
        <v>45570</v>
      </c>
    </row>
    <row r="1395" spans="23:53" ht="16.2" customHeight="1" x14ac:dyDescent="0.4">
      <c r="W1395" s="49">
        <v>45571</v>
      </c>
      <c r="X1395" s="49">
        <v>45571</v>
      </c>
      <c r="Y1395" s="49">
        <v>45571</v>
      </c>
      <c r="AY1395" s="49">
        <v>45571</v>
      </c>
      <c r="AZ1395" s="49">
        <v>45571</v>
      </c>
      <c r="BA1395" s="49">
        <v>45571</v>
      </c>
    </row>
    <row r="1396" spans="23:53" ht="16.2" customHeight="1" x14ac:dyDescent="0.4">
      <c r="W1396" s="49">
        <v>45574</v>
      </c>
      <c r="X1396" s="49">
        <v>45574</v>
      </c>
      <c r="Y1396" s="49">
        <v>45574</v>
      </c>
      <c r="AY1396" s="49">
        <v>45574</v>
      </c>
      <c r="AZ1396" s="49">
        <v>45574</v>
      </c>
      <c r="BA1396" s="49">
        <v>45574</v>
      </c>
    </row>
    <row r="1397" spans="23:53" ht="16.2" customHeight="1" x14ac:dyDescent="0.4">
      <c r="W1397" s="49">
        <v>45577</v>
      </c>
      <c r="X1397" s="49">
        <v>45577</v>
      </c>
      <c r="Y1397" s="49">
        <v>45577</v>
      </c>
      <c r="AY1397" s="49">
        <v>45577</v>
      </c>
      <c r="AZ1397" s="49">
        <v>45577</v>
      </c>
      <c r="BA1397" s="49">
        <v>45577</v>
      </c>
    </row>
    <row r="1398" spans="23:53" ht="16.2" customHeight="1" x14ac:dyDescent="0.4">
      <c r="W1398" s="49">
        <v>45578</v>
      </c>
      <c r="X1398" s="49">
        <v>45578</v>
      </c>
      <c r="Y1398" s="49">
        <v>45578</v>
      </c>
      <c r="AY1398" s="49">
        <v>45578</v>
      </c>
      <c r="AZ1398" s="49">
        <v>45578</v>
      </c>
      <c r="BA1398" s="49">
        <v>45578</v>
      </c>
    </row>
    <row r="1399" spans="23:53" ht="16.2" customHeight="1" x14ac:dyDescent="0.4">
      <c r="W1399" s="49">
        <v>45584</v>
      </c>
      <c r="X1399" s="49">
        <v>45584</v>
      </c>
      <c r="Y1399" s="49">
        <v>45584</v>
      </c>
      <c r="AY1399" s="49">
        <v>45584</v>
      </c>
      <c r="AZ1399" s="49">
        <v>45584</v>
      </c>
      <c r="BA1399" s="49">
        <v>45584</v>
      </c>
    </row>
    <row r="1400" spans="23:53" ht="16.2" customHeight="1" x14ac:dyDescent="0.4">
      <c r="W1400" s="49">
        <v>45585</v>
      </c>
      <c r="X1400" s="49">
        <v>45585</v>
      </c>
      <c r="Y1400" s="49">
        <v>45585</v>
      </c>
      <c r="AY1400" s="49">
        <v>45585</v>
      </c>
      <c r="AZ1400" s="49">
        <v>45585</v>
      </c>
      <c r="BA1400" s="49">
        <v>45585</v>
      </c>
    </row>
    <row r="1401" spans="23:53" ht="16.2" customHeight="1" x14ac:dyDescent="0.4">
      <c r="W1401" s="49">
        <v>45591</v>
      </c>
      <c r="X1401" s="49">
        <v>45591</v>
      </c>
      <c r="Y1401" s="49">
        <v>45591</v>
      </c>
      <c r="AY1401" s="49">
        <v>45591</v>
      </c>
      <c r="AZ1401" s="49">
        <v>45591</v>
      </c>
      <c r="BA1401" s="49">
        <v>45591</v>
      </c>
    </row>
    <row r="1402" spans="23:53" ht="16.2" customHeight="1" x14ac:dyDescent="0.4">
      <c r="W1402" s="49">
        <v>45592</v>
      </c>
      <c r="X1402" s="49">
        <v>45592</v>
      </c>
      <c r="Y1402" s="49">
        <v>45592</v>
      </c>
      <c r="AY1402" s="49">
        <v>45592</v>
      </c>
      <c r="AZ1402" s="49">
        <v>45592</v>
      </c>
      <c r="BA1402" s="49">
        <v>45592</v>
      </c>
    </row>
    <row r="1403" spans="23:53" ht="16.2" customHeight="1" x14ac:dyDescent="0.4">
      <c r="W1403" s="49">
        <v>45598</v>
      </c>
      <c r="X1403" s="49">
        <v>45598</v>
      </c>
      <c r="Y1403" s="49">
        <v>45598</v>
      </c>
      <c r="AY1403" s="49">
        <v>45598</v>
      </c>
      <c r="AZ1403" s="49">
        <v>45598</v>
      </c>
      <c r="BA1403" s="49">
        <v>45598</v>
      </c>
    </row>
    <row r="1404" spans="23:53" ht="16.2" customHeight="1" x14ac:dyDescent="0.4">
      <c r="W1404" s="49">
        <v>45599</v>
      </c>
      <c r="X1404" s="49">
        <v>45599</v>
      </c>
      <c r="Y1404" s="49">
        <v>45599</v>
      </c>
      <c r="AY1404" s="49">
        <v>45599</v>
      </c>
      <c r="AZ1404" s="49">
        <v>45599</v>
      </c>
      <c r="BA1404" s="49">
        <v>45599</v>
      </c>
    </row>
    <row r="1405" spans="23:53" ht="16.2" customHeight="1" x14ac:dyDescent="0.4">
      <c r="W1405" s="49">
        <v>45605</v>
      </c>
      <c r="X1405" s="49">
        <v>45605</v>
      </c>
      <c r="Y1405" s="49">
        <v>45605</v>
      </c>
      <c r="AY1405" s="49">
        <v>45605</v>
      </c>
      <c r="AZ1405" s="49">
        <v>45605</v>
      </c>
      <c r="BA1405" s="49">
        <v>45605</v>
      </c>
    </row>
    <row r="1406" spans="23:53" ht="16.2" customHeight="1" x14ac:dyDescent="0.4">
      <c r="W1406" s="49">
        <v>45606</v>
      </c>
      <c r="X1406" s="49">
        <v>45606</v>
      </c>
      <c r="Y1406" s="49">
        <v>45606</v>
      </c>
      <c r="AY1406" s="49">
        <v>45606</v>
      </c>
      <c r="AZ1406" s="49">
        <v>45606</v>
      </c>
      <c r="BA1406" s="49">
        <v>45606</v>
      </c>
    </row>
    <row r="1407" spans="23:53" ht="16.2" customHeight="1" x14ac:dyDescent="0.4">
      <c r="W1407" s="49">
        <v>45612</v>
      </c>
      <c r="X1407" s="49">
        <v>45612</v>
      </c>
      <c r="Y1407" s="49">
        <v>45612</v>
      </c>
      <c r="AY1407" s="49">
        <v>45612</v>
      </c>
      <c r="AZ1407" s="49">
        <v>45612</v>
      </c>
      <c r="BA1407" s="49">
        <v>45612</v>
      </c>
    </row>
    <row r="1408" spans="23:53" ht="16.2" customHeight="1" x14ac:dyDescent="0.4">
      <c r="W1408" s="49">
        <v>45613</v>
      </c>
      <c r="X1408" s="49">
        <v>45613</v>
      </c>
      <c r="Y1408" s="49">
        <v>45613</v>
      </c>
      <c r="AY1408" s="49">
        <v>45613</v>
      </c>
      <c r="AZ1408" s="49">
        <v>45613</v>
      </c>
      <c r="BA1408" s="49">
        <v>45613</v>
      </c>
    </row>
    <row r="1409" spans="23:53" ht="16.2" customHeight="1" x14ac:dyDescent="0.4">
      <c r="W1409" s="49">
        <v>45619</v>
      </c>
      <c r="X1409" s="49">
        <v>45619</v>
      </c>
      <c r="Y1409" s="49">
        <v>45619</v>
      </c>
      <c r="AY1409" s="49">
        <v>45619</v>
      </c>
      <c r="AZ1409" s="49">
        <v>45619</v>
      </c>
      <c r="BA1409" s="49">
        <v>45619</v>
      </c>
    </row>
    <row r="1410" spans="23:53" ht="16.2" customHeight="1" x14ac:dyDescent="0.4">
      <c r="W1410" s="49">
        <v>45620</v>
      </c>
      <c r="X1410" s="49">
        <v>45620</v>
      </c>
      <c r="Y1410" s="49">
        <v>45620</v>
      </c>
      <c r="AY1410" s="49">
        <v>45620</v>
      </c>
      <c r="AZ1410" s="49">
        <v>45620</v>
      </c>
      <c r="BA1410" s="49">
        <v>45620</v>
      </c>
    </row>
    <row r="1411" spans="23:53" ht="16.2" customHeight="1" x14ac:dyDescent="0.4">
      <c r="W1411" s="49">
        <v>45626</v>
      </c>
      <c r="X1411" s="49">
        <v>45626</v>
      </c>
      <c r="Y1411" s="49">
        <v>45626</v>
      </c>
      <c r="AY1411" s="49">
        <v>45626</v>
      </c>
      <c r="AZ1411" s="49">
        <v>45626</v>
      </c>
      <c r="BA1411" s="49">
        <v>45626</v>
      </c>
    </row>
    <row r="1412" spans="23:53" ht="16.2" customHeight="1" x14ac:dyDescent="0.4">
      <c r="W1412" s="49">
        <v>45627</v>
      </c>
      <c r="X1412" s="49">
        <v>45627</v>
      </c>
      <c r="Y1412" s="49">
        <v>45627</v>
      </c>
      <c r="AY1412" s="49">
        <v>45627</v>
      </c>
      <c r="AZ1412" s="49">
        <v>45627</v>
      </c>
      <c r="BA1412" s="49">
        <v>45627</v>
      </c>
    </row>
    <row r="1413" spans="23:53" ht="16.2" customHeight="1" x14ac:dyDescent="0.4">
      <c r="W1413" s="49">
        <v>45633</v>
      </c>
      <c r="X1413" s="49">
        <v>45633</v>
      </c>
      <c r="Y1413" s="49">
        <v>45633</v>
      </c>
      <c r="AY1413" s="49">
        <v>45633</v>
      </c>
      <c r="AZ1413" s="49">
        <v>45633</v>
      </c>
      <c r="BA1413" s="49">
        <v>45633</v>
      </c>
    </row>
    <row r="1414" spans="23:53" ht="16.2" customHeight="1" x14ac:dyDescent="0.4">
      <c r="W1414" s="49">
        <v>45634</v>
      </c>
      <c r="X1414" s="49">
        <v>45634</v>
      </c>
      <c r="Y1414" s="49">
        <v>45634</v>
      </c>
      <c r="AY1414" s="49">
        <v>45634</v>
      </c>
      <c r="AZ1414" s="49">
        <v>45634</v>
      </c>
      <c r="BA1414" s="49">
        <v>45634</v>
      </c>
    </row>
    <row r="1415" spans="23:53" ht="16.2" customHeight="1" x14ac:dyDescent="0.4">
      <c r="W1415" s="49">
        <v>45640</v>
      </c>
      <c r="X1415" s="49">
        <v>45640</v>
      </c>
      <c r="Y1415" s="49">
        <v>45640</v>
      </c>
      <c r="AY1415" s="49">
        <v>45640</v>
      </c>
      <c r="AZ1415" s="49">
        <v>45640</v>
      </c>
      <c r="BA1415" s="49">
        <v>45640</v>
      </c>
    </row>
    <row r="1416" spans="23:53" ht="16.2" customHeight="1" x14ac:dyDescent="0.4">
      <c r="W1416" s="49">
        <v>45641</v>
      </c>
      <c r="X1416" s="49">
        <v>45641</v>
      </c>
      <c r="Y1416" s="49">
        <v>45641</v>
      </c>
      <c r="AY1416" s="49">
        <v>45641</v>
      </c>
      <c r="AZ1416" s="49">
        <v>45641</v>
      </c>
      <c r="BA1416" s="49">
        <v>45641</v>
      </c>
    </row>
    <row r="1417" spans="23:53" ht="16.2" customHeight="1" x14ac:dyDescent="0.4">
      <c r="W1417" s="49">
        <v>45647</v>
      </c>
      <c r="X1417" s="49">
        <v>45647</v>
      </c>
      <c r="Y1417" s="49">
        <v>45647</v>
      </c>
      <c r="AY1417" s="49">
        <v>45647</v>
      </c>
      <c r="AZ1417" s="49">
        <v>45647</v>
      </c>
      <c r="BA1417" s="49">
        <v>45647</v>
      </c>
    </row>
    <row r="1418" spans="23:53" ht="16.2" customHeight="1" x14ac:dyDescent="0.4">
      <c r="W1418" s="49">
        <v>45648</v>
      </c>
      <c r="X1418" s="49">
        <v>45648</v>
      </c>
      <c r="Y1418" s="49">
        <v>45648</v>
      </c>
      <c r="AY1418" s="49">
        <v>45648</v>
      </c>
      <c r="AZ1418" s="49">
        <v>45648</v>
      </c>
      <c r="BA1418" s="49">
        <v>45648</v>
      </c>
    </row>
    <row r="1419" spans="23:53" ht="16.2" customHeight="1" x14ac:dyDescent="0.4">
      <c r="W1419" s="49">
        <v>45651</v>
      </c>
      <c r="X1419" s="49">
        <v>45651</v>
      </c>
      <c r="Y1419" s="49">
        <v>45651</v>
      </c>
      <c r="AY1419" s="49">
        <v>45651</v>
      </c>
      <c r="AZ1419" s="49">
        <v>45651</v>
      </c>
      <c r="BA1419" s="49">
        <v>45651</v>
      </c>
    </row>
    <row r="1420" spans="23:53" ht="16.2" customHeight="1" x14ac:dyDescent="0.4">
      <c r="W1420" s="49">
        <v>45654</v>
      </c>
      <c r="X1420" s="49">
        <v>45654</v>
      </c>
      <c r="Y1420" s="49">
        <v>45654</v>
      </c>
      <c r="AY1420" s="49">
        <v>45654</v>
      </c>
      <c r="AZ1420" s="49">
        <v>45654</v>
      </c>
      <c r="BA1420" s="49">
        <v>45654</v>
      </c>
    </row>
    <row r="1421" spans="23:53" ht="16.2" customHeight="1" x14ac:dyDescent="0.4">
      <c r="W1421" s="49">
        <v>45655</v>
      </c>
      <c r="X1421" s="49">
        <v>45655</v>
      </c>
      <c r="Y1421" s="49">
        <v>45655</v>
      </c>
      <c r="AY1421" s="49">
        <v>45655</v>
      </c>
      <c r="AZ1421" s="49">
        <v>45655</v>
      </c>
      <c r="BA1421" s="49">
        <v>45655</v>
      </c>
    </row>
    <row r="1422" spans="23:53" ht="16.2" customHeight="1" x14ac:dyDescent="0.4">
      <c r="W1422" s="49">
        <v>45658</v>
      </c>
      <c r="X1422" s="49">
        <v>45658</v>
      </c>
      <c r="Y1422" s="49">
        <v>45658</v>
      </c>
      <c r="AY1422" s="49">
        <v>45658</v>
      </c>
      <c r="AZ1422" s="49">
        <v>45658</v>
      </c>
      <c r="BA1422" s="49">
        <v>45658</v>
      </c>
    </row>
    <row r="1423" spans="23:53" ht="16.2" customHeight="1" x14ac:dyDescent="0.4">
      <c r="W1423" s="49">
        <v>45661</v>
      </c>
      <c r="X1423" s="49">
        <v>45661</v>
      </c>
      <c r="Y1423" s="49">
        <v>45661</v>
      </c>
      <c r="AY1423" s="49">
        <v>45661</v>
      </c>
      <c r="AZ1423" s="49">
        <v>45661</v>
      </c>
      <c r="BA1423" s="49">
        <v>45661</v>
      </c>
    </row>
    <row r="1424" spans="23:53" ht="16.2" customHeight="1" x14ac:dyDescent="0.4">
      <c r="W1424" s="49">
        <v>45662</v>
      </c>
      <c r="X1424" s="49">
        <v>45662</v>
      </c>
      <c r="Y1424" s="49">
        <v>45662</v>
      </c>
      <c r="AY1424" s="49">
        <v>45662</v>
      </c>
      <c r="AZ1424" s="49">
        <v>45662</v>
      </c>
      <c r="BA1424" s="49">
        <v>45662</v>
      </c>
    </row>
    <row r="1425" spans="23:53" ht="16.2" customHeight="1" x14ac:dyDescent="0.4">
      <c r="W1425" s="49">
        <v>45668</v>
      </c>
      <c r="X1425" s="49">
        <v>45668</v>
      </c>
      <c r="Y1425" s="49">
        <v>45668</v>
      </c>
      <c r="AY1425" s="49">
        <v>45668</v>
      </c>
      <c r="AZ1425" s="49">
        <v>45668</v>
      </c>
      <c r="BA1425" s="49">
        <v>45668</v>
      </c>
    </row>
    <row r="1426" spans="23:53" ht="16.2" customHeight="1" x14ac:dyDescent="0.4">
      <c r="W1426" s="49">
        <v>45669</v>
      </c>
      <c r="X1426" s="49">
        <v>45669</v>
      </c>
      <c r="Y1426" s="49">
        <v>45669</v>
      </c>
      <c r="AY1426" s="49">
        <v>45669</v>
      </c>
      <c r="AZ1426" s="49">
        <v>45669</v>
      </c>
      <c r="BA1426" s="49">
        <v>45669</v>
      </c>
    </row>
    <row r="1427" spans="23:53" ht="16.2" customHeight="1" x14ac:dyDescent="0.4">
      <c r="W1427" s="49">
        <v>45675</v>
      </c>
      <c r="X1427" s="49">
        <v>45675</v>
      </c>
      <c r="Y1427" s="49">
        <v>45675</v>
      </c>
      <c r="AY1427" s="49">
        <v>45675</v>
      </c>
      <c r="AZ1427" s="49">
        <v>45675</v>
      </c>
      <c r="BA1427" s="49">
        <v>45675</v>
      </c>
    </row>
    <row r="1428" spans="23:53" ht="16.2" customHeight="1" x14ac:dyDescent="0.4">
      <c r="W1428" s="49">
        <v>45676</v>
      </c>
      <c r="X1428" s="49">
        <v>45676</v>
      </c>
      <c r="Y1428" s="49">
        <v>45676</v>
      </c>
      <c r="AY1428" s="49">
        <v>45676</v>
      </c>
      <c r="AZ1428" s="49">
        <v>45676</v>
      </c>
      <c r="BA1428" s="49">
        <v>45676</v>
      </c>
    </row>
    <row r="1429" spans="23:53" ht="16.2" customHeight="1" x14ac:dyDescent="0.4">
      <c r="W1429" s="49">
        <v>45682</v>
      </c>
      <c r="X1429" s="49">
        <v>45682</v>
      </c>
      <c r="Y1429" s="49">
        <v>45682</v>
      </c>
      <c r="AY1429" s="49">
        <v>45682</v>
      </c>
      <c r="AZ1429" s="49">
        <v>45682</v>
      </c>
      <c r="BA1429" s="49">
        <v>45682</v>
      </c>
    </row>
    <row r="1430" spans="23:53" ht="16.2" customHeight="1" x14ac:dyDescent="0.4">
      <c r="W1430" s="49">
        <v>45683</v>
      </c>
      <c r="X1430" s="49">
        <v>45683</v>
      </c>
      <c r="Y1430" s="49">
        <v>45683</v>
      </c>
      <c r="AY1430" s="49">
        <v>45683</v>
      </c>
      <c r="AZ1430" s="49">
        <v>45683</v>
      </c>
      <c r="BA1430" s="49">
        <v>45683</v>
      </c>
    </row>
    <row r="1431" spans="23:53" ht="16.2" customHeight="1" x14ac:dyDescent="0.4">
      <c r="W1431" s="49">
        <v>45685</v>
      </c>
      <c r="X1431" s="49">
        <v>45685</v>
      </c>
      <c r="Y1431" s="49">
        <v>45685</v>
      </c>
      <c r="AY1431" s="49">
        <v>45685</v>
      </c>
      <c r="AZ1431" s="49">
        <v>45685</v>
      </c>
      <c r="BA1431" s="49">
        <v>45685</v>
      </c>
    </row>
    <row r="1432" spans="23:53" ht="16.2" customHeight="1" x14ac:dyDescent="0.4">
      <c r="W1432" s="49">
        <v>45686</v>
      </c>
      <c r="X1432" s="49">
        <v>45686</v>
      </c>
      <c r="Y1432" s="49">
        <v>45686</v>
      </c>
      <c r="AY1432" s="49">
        <v>45686</v>
      </c>
      <c r="AZ1432" s="49">
        <v>45686</v>
      </c>
      <c r="BA1432" s="49">
        <v>45686</v>
      </c>
    </row>
    <row r="1433" spans="23:53" ht="16.2" customHeight="1" x14ac:dyDescent="0.4">
      <c r="W1433" s="49">
        <v>45687</v>
      </c>
      <c r="X1433" s="49">
        <v>45687</v>
      </c>
      <c r="Y1433" s="49">
        <v>45687</v>
      </c>
      <c r="AY1433" s="49">
        <v>45687</v>
      </c>
      <c r="AZ1433" s="49">
        <v>45687</v>
      </c>
      <c r="BA1433" s="49">
        <v>45687</v>
      </c>
    </row>
    <row r="1434" spans="23:53" ht="16.2" customHeight="1" x14ac:dyDescent="0.4">
      <c r="W1434" s="49">
        <v>45689</v>
      </c>
      <c r="X1434" s="49">
        <v>45689</v>
      </c>
      <c r="Y1434" s="49">
        <v>45689</v>
      </c>
      <c r="AY1434" s="49">
        <v>45689</v>
      </c>
      <c r="AZ1434" s="49">
        <v>45689</v>
      </c>
      <c r="BA1434" s="49">
        <v>45689</v>
      </c>
    </row>
    <row r="1435" spans="23:53" ht="16.2" customHeight="1" x14ac:dyDescent="0.4">
      <c r="W1435" s="49">
        <v>45690</v>
      </c>
      <c r="X1435" s="49">
        <v>45690</v>
      </c>
      <c r="Y1435" s="49">
        <v>45690</v>
      </c>
      <c r="AY1435" s="49">
        <v>45690</v>
      </c>
      <c r="AZ1435" s="49">
        <v>45690</v>
      </c>
      <c r="BA1435" s="49">
        <v>45690</v>
      </c>
    </row>
    <row r="1436" spans="23:53" ht="16.2" customHeight="1" x14ac:dyDescent="0.4">
      <c r="W1436" s="49">
        <v>45696</v>
      </c>
      <c r="X1436" s="49">
        <v>45696</v>
      </c>
      <c r="Y1436" s="49">
        <v>45696</v>
      </c>
      <c r="AY1436" s="49">
        <v>45696</v>
      </c>
      <c r="AZ1436" s="49">
        <v>45696</v>
      </c>
      <c r="BA1436" s="49">
        <v>45696</v>
      </c>
    </row>
    <row r="1437" spans="23:53" ht="16.2" customHeight="1" x14ac:dyDescent="0.4">
      <c r="W1437" s="49">
        <v>45697</v>
      </c>
      <c r="X1437" s="49">
        <v>45697</v>
      </c>
      <c r="Y1437" s="49">
        <v>45697</v>
      </c>
      <c r="AY1437" s="49">
        <v>45697</v>
      </c>
      <c r="AZ1437" s="49">
        <v>45697</v>
      </c>
      <c r="BA1437" s="49">
        <v>45697</v>
      </c>
    </row>
    <row r="1438" spans="23:53" ht="16.2" customHeight="1" x14ac:dyDescent="0.4">
      <c r="W1438" s="49">
        <v>45703</v>
      </c>
      <c r="X1438" s="49">
        <v>45703</v>
      </c>
      <c r="Y1438" s="49">
        <v>45703</v>
      </c>
      <c r="AY1438" s="49">
        <v>45703</v>
      </c>
      <c r="AZ1438" s="49">
        <v>45703</v>
      </c>
      <c r="BA1438" s="49">
        <v>45703</v>
      </c>
    </row>
    <row r="1439" spans="23:53" ht="16.2" customHeight="1" x14ac:dyDescent="0.4">
      <c r="W1439" s="49">
        <v>45704</v>
      </c>
      <c r="X1439" s="49">
        <v>45704</v>
      </c>
      <c r="Y1439" s="49">
        <v>45704</v>
      </c>
      <c r="AY1439" s="49">
        <v>45704</v>
      </c>
      <c r="AZ1439" s="49">
        <v>45704</v>
      </c>
      <c r="BA1439" s="49">
        <v>45704</v>
      </c>
    </row>
    <row r="1440" spans="23:53" ht="16.2" customHeight="1" x14ac:dyDescent="0.4">
      <c r="W1440" s="49">
        <v>45710</v>
      </c>
      <c r="X1440" s="49">
        <v>45710</v>
      </c>
      <c r="Y1440" s="49">
        <v>45710</v>
      </c>
      <c r="AY1440" s="49">
        <v>45710</v>
      </c>
      <c r="AZ1440" s="49">
        <v>45710</v>
      </c>
      <c r="BA1440" s="49">
        <v>45710</v>
      </c>
    </row>
    <row r="1441" spans="23:53" ht="16.2" customHeight="1" x14ac:dyDescent="0.4">
      <c r="W1441" s="49">
        <v>45711</v>
      </c>
      <c r="X1441" s="49">
        <v>45711</v>
      </c>
      <c r="Y1441" s="49">
        <v>45711</v>
      </c>
      <c r="AY1441" s="49">
        <v>45711</v>
      </c>
      <c r="AZ1441" s="49">
        <v>45711</v>
      </c>
      <c r="BA1441" s="49">
        <v>45711</v>
      </c>
    </row>
    <row r="1442" spans="23:53" ht="16.2" customHeight="1" x14ac:dyDescent="0.4">
      <c r="W1442" s="49">
        <v>45718</v>
      </c>
      <c r="X1442" s="49">
        <v>45718</v>
      </c>
      <c r="Y1442" s="49">
        <v>45718</v>
      </c>
      <c r="AY1442" s="49">
        <v>45718</v>
      </c>
      <c r="AZ1442" s="49">
        <v>45718</v>
      </c>
      <c r="BA1442" s="49">
        <v>45718</v>
      </c>
    </row>
    <row r="1443" spans="23:53" ht="16.2" customHeight="1" x14ac:dyDescent="0.4">
      <c r="W1443" s="49">
        <v>45724</v>
      </c>
      <c r="X1443" s="49">
        <v>45724</v>
      </c>
      <c r="Y1443" s="49">
        <v>45724</v>
      </c>
      <c r="AY1443" s="49">
        <v>45724</v>
      </c>
      <c r="AZ1443" s="49">
        <v>45724</v>
      </c>
      <c r="BA1443" s="49">
        <v>45724</v>
      </c>
    </row>
    <row r="1444" spans="23:53" ht="16.2" customHeight="1" x14ac:dyDescent="0.4">
      <c r="W1444" s="49">
        <v>45725</v>
      </c>
      <c r="X1444" s="49">
        <v>45725</v>
      </c>
      <c r="Y1444" s="49">
        <v>45725</v>
      </c>
      <c r="AY1444" s="49">
        <v>45725</v>
      </c>
      <c r="AZ1444" s="49">
        <v>45725</v>
      </c>
      <c r="BA1444" s="49">
        <v>45725</v>
      </c>
    </row>
    <row r="1445" spans="23:53" ht="16.2" customHeight="1" x14ac:dyDescent="0.4">
      <c r="W1445" s="49">
        <v>45731</v>
      </c>
      <c r="X1445" s="49">
        <v>45731</v>
      </c>
      <c r="Y1445" s="49">
        <v>45731</v>
      </c>
      <c r="AY1445" s="49">
        <v>45731</v>
      </c>
      <c r="AZ1445" s="49">
        <v>45731</v>
      </c>
      <c r="BA1445" s="49">
        <v>45731</v>
      </c>
    </row>
    <row r="1446" spans="23:53" ht="16.2" customHeight="1" x14ac:dyDescent="0.4">
      <c r="W1446" s="49">
        <v>45732</v>
      </c>
      <c r="X1446" s="49">
        <v>45732</v>
      </c>
      <c r="Y1446" s="49">
        <v>45732</v>
      </c>
      <c r="AY1446" s="49">
        <v>45732</v>
      </c>
      <c r="AZ1446" s="49">
        <v>45732</v>
      </c>
      <c r="BA1446" s="49">
        <v>45732</v>
      </c>
    </row>
    <row r="1447" spans="23:53" ht="16.2" customHeight="1" x14ac:dyDescent="0.4">
      <c r="W1447" s="49">
        <v>45738</v>
      </c>
      <c r="X1447" s="49">
        <v>45738</v>
      </c>
      <c r="Y1447" s="49">
        <v>45738</v>
      </c>
      <c r="AY1447" s="49">
        <v>45738</v>
      </c>
      <c r="AZ1447" s="49">
        <v>45738</v>
      </c>
      <c r="BA1447" s="49">
        <v>45738</v>
      </c>
    </row>
    <row r="1448" spans="23:53" ht="16.2" customHeight="1" x14ac:dyDescent="0.4">
      <c r="W1448" s="49">
        <v>45739</v>
      </c>
      <c r="X1448" s="49">
        <v>45739</v>
      </c>
      <c r="Y1448" s="49">
        <v>45739</v>
      </c>
      <c r="AY1448" s="49">
        <v>45739</v>
      </c>
      <c r="AZ1448" s="49">
        <v>45739</v>
      </c>
      <c r="BA1448" s="49">
        <v>45739</v>
      </c>
    </row>
    <row r="1449" spans="23:53" ht="16.2" customHeight="1" x14ac:dyDescent="0.4">
      <c r="W1449" s="49">
        <v>45745</v>
      </c>
      <c r="X1449" s="49">
        <v>45745</v>
      </c>
      <c r="Y1449" s="49">
        <v>45745</v>
      </c>
      <c r="AY1449" s="49">
        <v>45745</v>
      </c>
      <c r="AZ1449" s="49">
        <v>45745</v>
      </c>
      <c r="BA1449" s="49">
        <v>45745</v>
      </c>
    </row>
    <row r="1450" spans="23:53" ht="16.2" customHeight="1" x14ac:dyDescent="0.4">
      <c r="W1450" s="49">
        <v>45746</v>
      </c>
      <c r="X1450" s="49">
        <v>45746</v>
      </c>
      <c r="Y1450" s="49">
        <v>45746</v>
      </c>
      <c r="AY1450" s="49">
        <v>45746</v>
      </c>
      <c r="AZ1450" s="49">
        <v>45746</v>
      </c>
      <c r="BA1450" s="49">
        <v>45746</v>
      </c>
    </row>
    <row r="1451" spans="23:53" ht="16.2" customHeight="1" x14ac:dyDescent="0.4">
      <c r="W1451" s="49">
        <v>45752</v>
      </c>
      <c r="X1451" s="49">
        <v>45752</v>
      </c>
      <c r="Y1451" s="49">
        <v>45752</v>
      </c>
      <c r="AY1451" s="49">
        <v>45752</v>
      </c>
      <c r="AZ1451" s="49">
        <v>45752</v>
      </c>
      <c r="BA1451" s="49">
        <v>45752</v>
      </c>
    </row>
    <row r="1452" spans="23:53" ht="16.2" customHeight="1" x14ac:dyDescent="0.4">
      <c r="W1452" s="49">
        <v>45753</v>
      </c>
      <c r="X1452" s="49">
        <v>45753</v>
      </c>
      <c r="Y1452" s="49">
        <v>45753</v>
      </c>
      <c r="AY1452" s="49">
        <v>45753</v>
      </c>
      <c r="AZ1452" s="49">
        <v>45753</v>
      </c>
      <c r="BA1452" s="49">
        <v>45753</v>
      </c>
    </row>
    <row r="1453" spans="23:53" ht="16.2" customHeight="1" x14ac:dyDescent="0.4">
      <c r="W1453" s="49">
        <v>45759</v>
      </c>
      <c r="X1453" s="49">
        <v>45759</v>
      </c>
      <c r="Y1453" s="49">
        <v>45759</v>
      </c>
      <c r="AY1453" s="49">
        <v>45759</v>
      </c>
      <c r="AZ1453" s="49">
        <v>45759</v>
      </c>
      <c r="BA1453" s="49">
        <v>45759</v>
      </c>
    </row>
    <row r="1454" spans="23:53" ht="16.2" customHeight="1" x14ac:dyDescent="0.4">
      <c r="W1454" s="49">
        <v>45760</v>
      </c>
      <c r="X1454" s="49">
        <v>45760</v>
      </c>
      <c r="Y1454" s="49">
        <v>45760</v>
      </c>
      <c r="AY1454" s="49">
        <v>45760</v>
      </c>
      <c r="AZ1454" s="49">
        <v>45760</v>
      </c>
      <c r="BA1454" s="49">
        <v>45760</v>
      </c>
    </row>
    <row r="1455" spans="23:53" ht="16.2" customHeight="1" x14ac:dyDescent="0.4">
      <c r="W1455" s="49">
        <v>45766</v>
      </c>
      <c r="X1455" s="49">
        <v>45766</v>
      </c>
      <c r="Y1455" s="49">
        <v>45766</v>
      </c>
      <c r="AY1455" s="49">
        <v>45766</v>
      </c>
      <c r="AZ1455" s="49">
        <v>45766</v>
      </c>
      <c r="BA1455" s="49">
        <v>45766</v>
      </c>
    </row>
    <row r="1456" spans="23:53" ht="16.2" customHeight="1" x14ac:dyDescent="0.4">
      <c r="W1456" s="49">
        <v>45767</v>
      </c>
      <c r="X1456" s="49">
        <v>45767</v>
      </c>
      <c r="Y1456" s="49">
        <v>45767</v>
      </c>
      <c r="AY1456" s="49">
        <v>45767</v>
      </c>
      <c r="AZ1456" s="49">
        <v>45767</v>
      </c>
      <c r="BA1456" s="49">
        <v>45767</v>
      </c>
    </row>
    <row r="1457" spans="23:53" ht="16.2" customHeight="1" x14ac:dyDescent="0.4">
      <c r="W1457" s="49">
        <v>45773</v>
      </c>
      <c r="X1457" s="49">
        <v>45773</v>
      </c>
      <c r="Y1457" s="49">
        <v>45773</v>
      </c>
      <c r="AY1457" s="49">
        <v>45773</v>
      </c>
      <c r="AZ1457" s="49">
        <v>45773</v>
      </c>
      <c r="BA1457" s="49">
        <v>45773</v>
      </c>
    </row>
    <row r="1458" spans="23:53" ht="16.2" customHeight="1" x14ac:dyDescent="0.4">
      <c r="W1458" s="49">
        <v>45774</v>
      </c>
      <c r="X1458" s="49">
        <v>45774</v>
      </c>
      <c r="Y1458" s="49">
        <v>45774</v>
      </c>
      <c r="AY1458" s="49">
        <v>45774</v>
      </c>
      <c r="AZ1458" s="49">
        <v>45774</v>
      </c>
      <c r="BA1458" s="49">
        <v>45774</v>
      </c>
    </row>
    <row r="1459" spans="23:53" ht="16.2" customHeight="1" x14ac:dyDescent="0.4">
      <c r="W1459" s="49">
        <v>45778</v>
      </c>
      <c r="X1459" s="49">
        <v>45778</v>
      </c>
      <c r="Y1459" s="49">
        <v>45778</v>
      </c>
      <c r="AY1459" s="49">
        <v>45778</v>
      </c>
      <c r="AZ1459" s="49">
        <v>45778</v>
      </c>
      <c r="BA1459" s="49">
        <v>45778</v>
      </c>
    </row>
    <row r="1460" spans="23:53" ht="16.2" customHeight="1" x14ac:dyDescent="0.4">
      <c r="W1460" s="49">
        <v>45780</v>
      </c>
      <c r="X1460" s="49">
        <v>45780</v>
      </c>
      <c r="Y1460" s="49">
        <v>45780</v>
      </c>
      <c r="AY1460" s="49">
        <v>45780</v>
      </c>
      <c r="AZ1460" s="49">
        <v>45780</v>
      </c>
      <c r="BA1460" s="49">
        <v>45780</v>
      </c>
    </row>
    <row r="1461" spans="23:53" ht="16.2" customHeight="1" x14ac:dyDescent="0.4">
      <c r="W1461" s="49">
        <v>45781</v>
      </c>
      <c r="X1461" s="49">
        <v>45781</v>
      </c>
      <c r="Y1461" s="49">
        <v>45781</v>
      </c>
      <c r="AY1461" s="49">
        <v>45781</v>
      </c>
      <c r="AZ1461" s="49">
        <v>45781</v>
      </c>
      <c r="BA1461" s="49">
        <v>45781</v>
      </c>
    </row>
    <row r="1462" spans="23:53" ht="16.2" customHeight="1" x14ac:dyDescent="0.4">
      <c r="W1462" s="49">
        <v>45782</v>
      </c>
      <c r="X1462" s="49">
        <v>45782</v>
      </c>
      <c r="Y1462" s="49">
        <v>45782</v>
      </c>
      <c r="AY1462" s="49">
        <v>45782</v>
      </c>
      <c r="AZ1462" s="49">
        <v>45782</v>
      </c>
      <c r="BA1462" s="49">
        <v>45782</v>
      </c>
    </row>
    <row r="1463" spans="23:53" ht="16.2" customHeight="1" x14ac:dyDescent="0.4">
      <c r="W1463" s="49">
        <v>45787</v>
      </c>
      <c r="X1463" s="49">
        <v>45787</v>
      </c>
      <c r="Y1463" s="49">
        <v>45787</v>
      </c>
      <c r="AY1463" s="49">
        <v>45787</v>
      </c>
      <c r="AZ1463" s="49">
        <v>45787</v>
      </c>
      <c r="BA1463" s="49">
        <v>45787</v>
      </c>
    </row>
    <row r="1464" spans="23:53" ht="16.2" customHeight="1" x14ac:dyDescent="0.4">
      <c r="W1464" s="49">
        <v>45788</v>
      </c>
      <c r="X1464" s="49">
        <v>45788</v>
      </c>
      <c r="Y1464" s="49">
        <v>45788</v>
      </c>
      <c r="AY1464" s="49">
        <v>45788</v>
      </c>
      <c r="AZ1464" s="49">
        <v>45788</v>
      </c>
      <c r="BA1464" s="49">
        <v>45788</v>
      </c>
    </row>
    <row r="1465" spans="23:53" ht="16.2" customHeight="1" x14ac:dyDescent="0.4">
      <c r="W1465" s="49">
        <v>45794</v>
      </c>
      <c r="X1465" s="49">
        <v>45794</v>
      </c>
      <c r="Y1465" s="49">
        <v>45794</v>
      </c>
      <c r="AY1465" s="49">
        <v>45794</v>
      </c>
      <c r="AZ1465" s="49">
        <v>45794</v>
      </c>
      <c r="BA1465" s="49">
        <v>45794</v>
      </c>
    </row>
    <row r="1466" spans="23:53" ht="16.2" customHeight="1" x14ac:dyDescent="0.4">
      <c r="W1466" s="49">
        <v>45795</v>
      </c>
      <c r="X1466" s="49">
        <v>45795</v>
      </c>
      <c r="Y1466" s="49">
        <v>45795</v>
      </c>
      <c r="AY1466" s="49">
        <v>45795</v>
      </c>
      <c r="AZ1466" s="49">
        <v>45795</v>
      </c>
      <c r="BA1466" s="49">
        <v>45795</v>
      </c>
    </row>
    <row r="1467" spans="23:53" ht="16.2" customHeight="1" x14ac:dyDescent="0.4">
      <c r="W1467" s="49">
        <v>45801</v>
      </c>
      <c r="X1467" s="49">
        <v>45801</v>
      </c>
      <c r="Y1467" s="49">
        <v>45801</v>
      </c>
      <c r="AY1467" s="49">
        <v>45801</v>
      </c>
      <c r="AZ1467" s="49">
        <v>45801</v>
      </c>
      <c r="BA1467" s="49">
        <v>45801</v>
      </c>
    </row>
    <row r="1468" spans="23:53" ht="16.2" customHeight="1" x14ac:dyDescent="0.4">
      <c r="W1468" s="49">
        <v>45802</v>
      </c>
      <c r="X1468" s="49">
        <v>45802</v>
      </c>
      <c r="Y1468" s="49">
        <v>45802</v>
      </c>
      <c r="AY1468" s="49">
        <v>45802</v>
      </c>
      <c r="AZ1468" s="49">
        <v>45802</v>
      </c>
      <c r="BA1468" s="49">
        <v>45802</v>
      </c>
    </row>
    <row r="1469" spans="23:53" ht="16.2" customHeight="1" x14ac:dyDescent="0.4">
      <c r="W1469" s="49">
        <v>45808</v>
      </c>
      <c r="X1469" s="49">
        <v>45808</v>
      </c>
      <c r="Y1469" s="49">
        <v>45808</v>
      </c>
      <c r="AY1469" s="49">
        <v>45808</v>
      </c>
      <c r="AZ1469" s="49">
        <v>45808</v>
      </c>
      <c r="BA1469" s="49">
        <v>45808</v>
      </c>
    </row>
    <row r="1470" spans="23:53" ht="16.2" customHeight="1" x14ac:dyDescent="0.4">
      <c r="W1470" s="49">
        <v>45809</v>
      </c>
      <c r="X1470" s="49">
        <v>45809</v>
      </c>
      <c r="Y1470" s="49">
        <v>45809</v>
      </c>
      <c r="AY1470" s="49">
        <v>45809</v>
      </c>
      <c r="AZ1470" s="49">
        <v>45809</v>
      </c>
      <c r="BA1470" s="49">
        <v>45809</v>
      </c>
    </row>
    <row r="1471" spans="23:53" ht="16.2" customHeight="1" x14ac:dyDescent="0.4">
      <c r="W1471" s="49">
        <v>45814</v>
      </c>
      <c r="X1471" s="49">
        <v>45814</v>
      </c>
      <c r="Y1471" s="49">
        <v>45814</v>
      </c>
      <c r="AY1471" s="49">
        <v>45814</v>
      </c>
      <c r="AZ1471" s="49">
        <v>45814</v>
      </c>
      <c r="BA1471" s="49">
        <v>45814</v>
      </c>
    </row>
    <row r="1472" spans="23:53" ht="16.2" customHeight="1" x14ac:dyDescent="0.4">
      <c r="W1472" s="49">
        <v>45815</v>
      </c>
      <c r="X1472" s="49">
        <v>45815</v>
      </c>
      <c r="Y1472" s="49">
        <v>45815</v>
      </c>
      <c r="AY1472" s="49">
        <v>45815</v>
      </c>
      <c r="AZ1472" s="49">
        <v>45815</v>
      </c>
      <c r="BA1472" s="49">
        <v>45815</v>
      </c>
    </row>
    <row r="1473" spans="23:53" ht="16.2" customHeight="1" x14ac:dyDescent="0.4">
      <c r="W1473" s="49">
        <v>45816</v>
      </c>
      <c r="X1473" s="49">
        <v>45816</v>
      </c>
      <c r="Y1473" s="49">
        <v>45816</v>
      </c>
      <c r="AY1473" s="49">
        <v>45816</v>
      </c>
      <c r="AZ1473" s="49">
        <v>45816</v>
      </c>
      <c r="BA1473" s="49">
        <v>45816</v>
      </c>
    </row>
    <row r="1474" spans="23:53" ht="16.2" customHeight="1" x14ac:dyDescent="0.4">
      <c r="W1474" s="49">
        <v>45822</v>
      </c>
      <c r="X1474" s="49">
        <v>45822</v>
      </c>
      <c r="Y1474" s="49">
        <v>45822</v>
      </c>
      <c r="AY1474" s="49">
        <v>45822</v>
      </c>
      <c r="AZ1474" s="49">
        <v>45822</v>
      </c>
      <c r="BA1474" s="49">
        <v>45822</v>
      </c>
    </row>
    <row r="1475" spans="23:53" ht="16.2" customHeight="1" x14ac:dyDescent="0.4">
      <c r="W1475" s="49">
        <v>45823</v>
      </c>
      <c r="X1475" s="49">
        <v>45823</v>
      </c>
      <c r="Y1475" s="49">
        <v>45823</v>
      </c>
      <c r="AY1475" s="49">
        <v>45823</v>
      </c>
      <c r="AZ1475" s="49">
        <v>45823</v>
      </c>
      <c r="BA1475" s="49">
        <v>45823</v>
      </c>
    </row>
    <row r="1476" spans="23:53" ht="16.2" customHeight="1" x14ac:dyDescent="0.4">
      <c r="W1476" s="49">
        <v>45829</v>
      </c>
      <c r="X1476" s="49">
        <v>45829</v>
      </c>
      <c r="Y1476" s="49">
        <v>45829</v>
      </c>
      <c r="AY1476" s="49">
        <v>45829</v>
      </c>
      <c r="AZ1476" s="49">
        <v>45829</v>
      </c>
      <c r="BA1476" s="49">
        <v>45829</v>
      </c>
    </row>
    <row r="1477" spans="23:53" ht="16.2" customHeight="1" x14ac:dyDescent="0.4">
      <c r="W1477" s="49">
        <v>45830</v>
      </c>
      <c r="X1477" s="49">
        <v>45830</v>
      </c>
      <c r="Y1477" s="49">
        <v>45830</v>
      </c>
      <c r="AY1477" s="49">
        <v>45830</v>
      </c>
      <c r="AZ1477" s="49">
        <v>45830</v>
      </c>
      <c r="BA1477" s="49">
        <v>45830</v>
      </c>
    </row>
    <row r="1478" spans="23:53" ht="16.2" customHeight="1" x14ac:dyDescent="0.4">
      <c r="W1478" s="49">
        <v>45836</v>
      </c>
      <c r="X1478" s="49">
        <v>45836</v>
      </c>
      <c r="Y1478" s="49">
        <v>45836</v>
      </c>
      <c r="AY1478" s="49">
        <v>45836</v>
      </c>
      <c r="AZ1478" s="49">
        <v>45836</v>
      </c>
      <c r="BA1478" s="49">
        <v>45836</v>
      </c>
    </row>
    <row r="1479" spans="23:53" ht="16.2" customHeight="1" x14ac:dyDescent="0.4">
      <c r="W1479" s="49">
        <v>45837</v>
      </c>
      <c r="X1479" s="49">
        <v>45837</v>
      </c>
      <c r="Y1479" s="49">
        <v>45837</v>
      </c>
      <c r="AY1479" s="49">
        <v>45837</v>
      </c>
      <c r="AZ1479" s="49">
        <v>45837</v>
      </c>
      <c r="BA1479" s="49">
        <v>45837</v>
      </c>
    </row>
    <row r="1480" spans="23:53" ht="16.2" customHeight="1" x14ac:dyDescent="0.4">
      <c r="W1480" s="49">
        <v>45843</v>
      </c>
      <c r="X1480" s="49">
        <v>45843</v>
      </c>
      <c r="Y1480" s="49">
        <v>45843</v>
      </c>
      <c r="AY1480" s="49">
        <v>45843</v>
      </c>
      <c r="AZ1480" s="49">
        <v>45843</v>
      </c>
      <c r="BA1480" s="49">
        <v>45843</v>
      </c>
    </row>
    <row r="1481" spans="23:53" ht="16.2" customHeight="1" x14ac:dyDescent="0.4">
      <c r="W1481" s="49">
        <v>45844</v>
      </c>
      <c r="X1481" s="49">
        <v>45844</v>
      </c>
      <c r="Y1481" s="49">
        <v>45844</v>
      </c>
      <c r="AY1481" s="49">
        <v>45844</v>
      </c>
      <c r="AZ1481" s="49">
        <v>45844</v>
      </c>
      <c r="BA1481" s="49">
        <v>45844</v>
      </c>
    </row>
    <row r="1482" spans="23:53" ht="16.2" customHeight="1" x14ac:dyDescent="0.4">
      <c r="W1482" s="49">
        <v>45850</v>
      </c>
      <c r="X1482" s="49">
        <v>45850</v>
      </c>
      <c r="Y1482" s="49">
        <v>45850</v>
      </c>
      <c r="AY1482" s="49">
        <v>45850</v>
      </c>
      <c r="AZ1482" s="49">
        <v>45850</v>
      </c>
      <c r="BA1482" s="49">
        <v>45850</v>
      </c>
    </row>
    <row r="1483" spans="23:53" ht="16.2" customHeight="1" x14ac:dyDescent="0.4">
      <c r="W1483" s="49">
        <v>45851</v>
      </c>
      <c r="X1483" s="49">
        <v>45851</v>
      </c>
      <c r="Y1483" s="49">
        <v>45851</v>
      </c>
      <c r="AY1483" s="49">
        <v>45851</v>
      </c>
      <c r="AZ1483" s="49">
        <v>45851</v>
      </c>
      <c r="BA1483" s="49">
        <v>45851</v>
      </c>
    </row>
    <row r="1484" spans="23:53" ht="16.2" customHeight="1" x14ac:dyDescent="0.4">
      <c r="W1484" s="49">
        <v>45857</v>
      </c>
      <c r="X1484" s="49">
        <v>45857</v>
      </c>
      <c r="Y1484" s="49">
        <v>45857</v>
      </c>
      <c r="AY1484" s="49">
        <v>45857</v>
      </c>
      <c r="AZ1484" s="49">
        <v>45857</v>
      </c>
      <c r="BA1484" s="49">
        <v>45857</v>
      </c>
    </row>
    <row r="1485" spans="23:53" ht="16.2" customHeight="1" x14ac:dyDescent="0.4">
      <c r="W1485" s="49">
        <v>45858</v>
      </c>
      <c r="X1485" s="49">
        <v>45858</v>
      </c>
      <c r="Y1485" s="49">
        <v>45858</v>
      </c>
      <c r="AY1485" s="49">
        <v>45858</v>
      </c>
      <c r="AZ1485" s="49">
        <v>45858</v>
      </c>
      <c r="BA1485" s="49">
        <v>45858</v>
      </c>
    </row>
    <row r="1486" spans="23:53" ht="16.2" customHeight="1" x14ac:dyDescent="0.4">
      <c r="W1486" s="49">
        <v>45864</v>
      </c>
      <c r="X1486" s="49">
        <v>45864</v>
      </c>
      <c r="Y1486" s="49">
        <v>45864</v>
      </c>
      <c r="AY1486" s="49">
        <v>45864</v>
      </c>
      <c r="AZ1486" s="49">
        <v>45864</v>
      </c>
      <c r="BA1486" s="49">
        <v>45864</v>
      </c>
    </row>
    <row r="1487" spans="23:53" ht="16.2" customHeight="1" x14ac:dyDescent="0.4">
      <c r="W1487" s="49">
        <v>45865</v>
      </c>
      <c r="X1487" s="49">
        <v>45865</v>
      </c>
      <c r="Y1487" s="49">
        <v>45865</v>
      </c>
      <c r="AY1487" s="49">
        <v>45865</v>
      </c>
      <c r="AZ1487" s="49">
        <v>45865</v>
      </c>
      <c r="BA1487" s="49">
        <v>45865</v>
      </c>
    </row>
    <row r="1488" spans="23:53" ht="16.2" customHeight="1" x14ac:dyDescent="0.4">
      <c r="W1488" s="49">
        <v>45871</v>
      </c>
      <c r="X1488" s="49">
        <v>45871</v>
      </c>
      <c r="Y1488" s="49">
        <v>45871</v>
      </c>
      <c r="AY1488" s="49">
        <v>45871</v>
      </c>
      <c r="AZ1488" s="49">
        <v>45871</v>
      </c>
      <c r="BA1488" s="49">
        <v>45871</v>
      </c>
    </row>
    <row r="1489" spans="23:53" ht="16.2" customHeight="1" x14ac:dyDescent="0.4">
      <c r="W1489" s="49">
        <v>45872</v>
      </c>
      <c r="X1489" s="49">
        <v>45872</v>
      </c>
      <c r="Y1489" s="49">
        <v>45872</v>
      </c>
      <c r="AY1489" s="49">
        <v>45872</v>
      </c>
      <c r="AZ1489" s="49">
        <v>45872</v>
      </c>
      <c r="BA1489" s="49">
        <v>45872</v>
      </c>
    </row>
    <row r="1490" spans="23:53" ht="16.2" customHeight="1" x14ac:dyDescent="0.4">
      <c r="W1490" s="49">
        <v>45878</v>
      </c>
      <c r="X1490" s="49">
        <v>45878</v>
      </c>
      <c r="Y1490" s="49">
        <v>45878</v>
      </c>
      <c r="AY1490" s="49">
        <v>45878</v>
      </c>
      <c r="AZ1490" s="49">
        <v>45878</v>
      </c>
      <c r="BA1490" s="49">
        <v>45878</v>
      </c>
    </row>
    <row r="1491" spans="23:53" ht="16.2" customHeight="1" x14ac:dyDescent="0.4">
      <c r="W1491" s="49">
        <v>45879</v>
      </c>
      <c r="X1491" s="49">
        <v>45879</v>
      </c>
      <c r="Y1491" s="49">
        <v>45879</v>
      </c>
      <c r="AY1491" s="49">
        <v>45879</v>
      </c>
      <c r="AZ1491" s="49">
        <v>45879</v>
      </c>
      <c r="BA1491" s="49">
        <v>45879</v>
      </c>
    </row>
    <row r="1492" spans="23:53" ht="16.2" customHeight="1" x14ac:dyDescent="0.4">
      <c r="W1492" s="49">
        <v>45884</v>
      </c>
      <c r="X1492" s="49">
        <v>45884</v>
      </c>
      <c r="Y1492" s="49">
        <v>45884</v>
      </c>
      <c r="AY1492" s="49">
        <v>45884</v>
      </c>
      <c r="AZ1492" s="49">
        <v>45884</v>
      </c>
      <c r="BA1492" s="49">
        <v>45884</v>
      </c>
    </row>
    <row r="1493" spans="23:53" ht="16.2" customHeight="1" x14ac:dyDescent="0.4">
      <c r="W1493" s="49">
        <v>45885</v>
      </c>
      <c r="X1493" s="49">
        <v>45885</v>
      </c>
      <c r="Y1493" s="49">
        <v>45885</v>
      </c>
      <c r="AY1493" s="49">
        <v>45885</v>
      </c>
      <c r="AZ1493" s="49">
        <v>45885</v>
      </c>
      <c r="BA1493" s="49">
        <v>45885</v>
      </c>
    </row>
    <row r="1494" spans="23:53" ht="16.2" customHeight="1" x14ac:dyDescent="0.4">
      <c r="W1494" s="49">
        <v>45886</v>
      </c>
      <c r="X1494" s="49">
        <v>45886</v>
      </c>
      <c r="Y1494" s="49">
        <v>45886</v>
      </c>
      <c r="AY1494" s="49">
        <v>45886</v>
      </c>
      <c r="AZ1494" s="49">
        <v>45886</v>
      </c>
      <c r="BA1494" s="49">
        <v>45886</v>
      </c>
    </row>
    <row r="1495" spans="23:53" ht="16.2" customHeight="1" x14ac:dyDescent="0.4">
      <c r="W1495" s="49">
        <v>45892</v>
      </c>
      <c r="X1495" s="49">
        <v>45892</v>
      </c>
      <c r="Y1495" s="49">
        <v>45892</v>
      </c>
      <c r="AY1495" s="49">
        <v>45892</v>
      </c>
      <c r="AZ1495" s="49">
        <v>45892</v>
      </c>
      <c r="BA1495" s="49">
        <v>45892</v>
      </c>
    </row>
    <row r="1496" spans="23:53" ht="16.2" customHeight="1" x14ac:dyDescent="0.4">
      <c r="W1496" s="49">
        <v>45893</v>
      </c>
      <c r="X1496" s="49">
        <v>45893</v>
      </c>
      <c r="Y1496" s="49">
        <v>45893</v>
      </c>
      <c r="AY1496" s="49">
        <v>45893</v>
      </c>
      <c r="AZ1496" s="49">
        <v>45893</v>
      </c>
      <c r="BA1496" s="49">
        <v>45893</v>
      </c>
    </row>
    <row r="1497" spans="23:53" ht="16.2" customHeight="1" x14ac:dyDescent="0.4">
      <c r="W1497" s="49">
        <v>45899</v>
      </c>
      <c r="X1497" s="49">
        <v>45899</v>
      </c>
      <c r="Y1497" s="49">
        <v>45899</v>
      </c>
      <c r="AY1497" s="49">
        <v>45899</v>
      </c>
      <c r="AZ1497" s="49">
        <v>45899</v>
      </c>
      <c r="BA1497" s="49">
        <v>45899</v>
      </c>
    </row>
    <row r="1498" spans="23:53" ht="16.2" customHeight="1" x14ac:dyDescent="0.4">
      <c r="W1498" s="49">
        <v>45900</v>
      </c>
      <c r="X1498" s="49">
        <v>45900</v>
      </c>
      <c r="Y1498" s="49">
        <v>45900</v>
      </c>
      <c r="AY1498" s="49">
        <v>45900</v>
      </c>
      <c r="AZ1498" s="49">
        <v>45900</v>
      </c>
      <c r="BA1498" s="49">
        <v>45900</v>
      </c>
    </row>
    <row r="1499" spans="23:53" ht="16.2" customHeight="1" x14ac:dyDescent="0.4">
      <c r="W1499" s="49">
        <v>45906</v>
      </c>
      <c r="X1499" s="49">
        <v>45906</v>
      </c>
      <c r="Y1499" s="49">
        <v>45906</v>
      </c>
      <c r="AY1499" s="49">
        <v>45906</v>
      </c>
      <c r="AZ1499" s="49">
        <v>45906</v>
      </c>
      <c r="BA1499" s="49">
        <v>45906</v>
      </c>
    </row>
    <row r="1500" spans="23:53" ht="16.2" customHeight="1" x14ac:dyDescent="0.4">
      <c r="W1500" s="49">
        <v>45907</v>
      </c>
      <c r="X1500" s="49">
        <v>45907</v>
      </c>
      <c r="Y1500" s="49">
        <v>45907</v>
      </c>
      <c r="AY1500" s="49">
        <v>45907</v>
      </c>
      <c r="AZ1500" s="49">
        <v>45907</v>
      </c>
      <c r="BA1500" s="49">
        <v>45907</v>
      </c>
    </row>
    <row r="1501" spans="23:53" ht="16.2" customHeight="1" x14ac:dyDescent="0.4">
      <c r="W1501" s="49">
        <v>45913</v>
      </c>
      <c r="X1501" s="49">
        <v>45913</v>
      </c>
      <c r="Y1501" s="49">
        <v>45913</v>
      </c>
      <c r="AY1501" s="49">
        <v>45913</v>
      </c>
      <c r="AZ1501" s="49">
        <v>45913</v>
      </c>
      <c r="BA1501" s="49">
        <v>45913</v>
      </c>
    </row>
    <row r="1502" spans="23:53" ht="16.2" customHeight="1" x14ac:dyDescent="0.4">
      <c r="W1502" s="49">
        <v>45914</v>
      </c>
      <c r="X1502" s="49">
        <v>45914</v>
      </c>
      <c r="Y1502" s="49">
        <v>45914</v>
      </c>
      <c r="AY1502" s="49">
        <v>45914</v>
      </c>
      <c r="AZ1502" s="49">
        <v>45914</v>
      </c>
      <c r="BA1502" s="49">
        <v>45914</v>
      </c>
    </row>
    <row r="1503" spans="23:53" ht="16.2" customHeight="1" x14ac:dyDescent="0.4">
      <c r="W1503" s="49">
        <v>45920</v>
      </c>
      <c r="X1503" s="49">
        <v>45920</v>
      </c>
      <c r="Y1503" s="49">
        <v>45920</v>
      </c>
      <c r="AY1503" s="49">
        <v>45920</v>
      </c>
      <c r="AZ1503" s="49">
        <v>45920</v>
      </c>
      <c r="BA1503" s="49">
        <v>45920</v>
      </c>
    </row>
    <row r="1504" spans="23:53" ht="16.2" customHeight="1" x14ac:dyDescent="0.4">
      <c r="W1504" s="49">
        <v>45921</v>
      </c>
      <c r="X1504" s="49">
        <v>45921</v>
      </c>
      <c r="Y1504" s="49">
        <v>45921</v>
      </c>
      <c r="AY1504" s="49">
        <v>45921</v>
      </c>
      <c r="AZ1504" s="49">
        <v>45921</v>
      </c>
      <c r="BA1504" s="49">
        <v>45921</v>
      </c>
    </row>
    <row r="1505" spans="23:53" ht="16.2" customHeight="1" x14ac:dyDescent="0.4">
      <c r="W1505" s="49">
        <v>45927</v>
      </c>
      <c r="X1505" s="49">
        <v>45927</v>
      </c>
      <c r="Y1505" s="49">
        <v>45927</v>
      </c>
      <c r="AY1505" s="49">
        <v>45927</v>
      </c>
      <c r="AZ1505" s="49">
        <v>45927</v>
      </c>
      <c r="BA1505" s="49">
        <v>45927</v>
      </c>
    </row>
    <row r="1506" spans="23:53" ht="16.2" customHeight="1" x14ac:dyDescent="0.4">
      <c r="W1506" s="49">
        <v>45928</v>
      </c>
      <c r="X1506" s="49">
        <v>45928</v>
      </c>
      <c r="Y1506" s="49">
        <v>45928</v>
      </c>
      <c r="AY1506" s="49">
        <v>45928</v>
      </c>
      <c r="AZ1506" s="49">
        <v>45928</v>
      </c>
      <c r="BA1506" s="49">
        <v>45928</v>
      </c>
    </row>
    <row r="1507" spans="23:53" ht="16.2" customHeight="1" x14ac:dyDescent="0.4">
      <c r="W1507" s="49">
        <v>45933</v>
      </c>
      <c r="X1507" s="49">
        <v>45933</v>
      </c>
      <c r="Y1507" s="49">
        <v>45933</v>
      </c>
      <c r="AY1507" s="49">
        <v>45933</v>
      </c>
      <c r="AZ1507" s="49">
        <v>45933</v>
      </c>
      <c r="BA1507" s="49">
        <v>45933</v>
      </c>
    </row>
    <row r="1508" spans="23:53" ht="16.2" customHeight="1" x14ac:dyDescent="0.4">
      <c r="W1508" s="49">
        <v>45934</v>
      </c>
      <c r="X1508" s="49">
        <v>45934</v>
      </c>
      <c r="Y1508" s="49">
        <v>45934</v>
      </c>
      <c r="AY1508" s="49">
        <v>45934</v>
      </c>
      <c r="AZ1508" s="49">
        <v>45934</v>
      </c>
      <c r="BA1508" s="49">
        <v>45934</v>
      </c>
    </row>
    <row r="1509" spans="23:53" ht="16.2" customHeight="1" x14ac:dyDescent="0.4">
      <c r="W1509" s="49">
        <v>45935</v>
      </c>
      <c r="X1509" s="49">
        <v>45935</v>
      </c>
      <c r="Y1509" s="49">
        <v>45935</v>
      </c>
      <c r="AY1509" s="49">
        <v>45935</v>
      </c>
      <c r="AZ1509" s="49">
        <v>45935</v>
      </c>
      <c r="BA1509" s="49">
        <v>45935</v>
      </c>
    </row>
    <row r="1510" spans="23:53" ht="16.2" customHeight="1" x14ac:dyDescent="0.4">
      <c r="W1510" s="49">
        <v>45936</v>
      </c>
      <c r="X1510" s="49">
        <v>45936</v>
      </c>
      <c r="Y1510" s="49">
        <v>45936</v>
      </c>
      <c r="AY1510" s="49">
        <v>45936</v>
      </c>
      <c r="AZ1510" s="49">
        <v>45936</v>
      </c>
      <c r="BA1510" s="49">
        <v>45936</v>
      </c>
    </row>
    <row r="1511" spans="23:53" ht="16.2" customHeight="1" x14ac:dyDescent="0.4">
      <c r="W1511" s="49">
        <v>45937</v>
      </c>
      <c r="X1511" s="49">
        <v>45937</v>
      </c>
      <c r="Y1511" s="49">
        <v>45937</v>
      </c>
      <c r="AY1511" s="49">
        <v>45937</v>
      </c>
      <c r="AZ1511" s="49">
        <v>45937</v>
      </c>
      <c r="BA1511" s="49">
        <v>45937</v>
      </c>
    </row>
    <row r="1512" spans="23:53" ht="16.2" customHeight="1" x14ac:dyDescent="0.4">
      <c r="W1512" s="49">
        <v>45939</v>
      </c>
      <c r="X1512" s="49">
        <v>45939</v>
      </c>
      <c r="Y1512" s="49">
        <v>45939</v>
      </c>
      <c r="AY1512" s="49">
        <v>45939</v>
      </c>
      <c r="AZ1512" s="49">
        <v>45939</v>
      </c>
      <c r="BA1512" s="49">
        <v>45939</v>
      </c>
    </row>
    <row r="1513" spans="23:53" ht="16.2" customHeight="1" x14ac:dyDescent="0.4">
      <c r="W1513" s="49">
        <v>45941</v>
      </c>
      <c r="X1513" s="49">
        <v>45941</v>
      </c>
      <c r="Y1513" s="49">
        <v>45941</v>
      </c>
      <c r="AY1513" s="49">
        <v>45941</v>
      </c>
      <c r="AZ1513" s="49">
        <v>45941</v>
      </c>
      <c r="BA1513" s="49">
        <v>45941</v>
      </c>
    </row>
    <row r="1514" spans="23:53" ht="16.2" customHeight="1" x14ac:dyDescent="0.4">
      <c r="W1514" s="49">
        <v>45942</v>
      </c>
      <c r="X1514" s="49">
        <v>45942</v>
      </c>
      <c r="Y1514" s="49">
        <v>45942</v>
      </c>
      <c r="AY1514" s="49">
        <v>45942</v>
      </c>
      <c r="AZ1514" s="49">
        <v>45942</v>
      </c>
      <c r="BA1514" s="49">
        <v>45942</v>
      </c>
    </row>
    <row r="1515" spans="23:53" ht="16.2" customHeight="1" x14ac:dyDescent="0.4">
      <c r="W1515" s="49">
        <v>45948</v>
      </c>
      <c r="X1515" s="49">
        <v>45948</v>
      </c>
      <c r="Y1515" s="49">
        <v>45948</v>
      </c>
      <c r="AY1515" s="49">
        <v>45948</v>
      </c>
      <c r="AZ1515" s="49">
        <v>45948</v>
      </c>
      <c r="BA1515" s="49">
        <v>45948</v>
      </c>
    </row>
    <row r="1516" spans="23:53" ht="16.2" customHeight="1" x14ac:dyDescent="0.4">
      <c r="W1516" s="49">
        <v>45949</v>
      </c>
      <c r="X1516" s="49">
        <v>45949</v>
      </c>
      <c r="Y1516" s="49">
        <v>45949</v>
      </c>
      <c r="AY1516" s="49">
        <v>45949</v>
      </c>
      <c r="AZ1516" s="49">
        <v>45949</v>
      </c>
      <c r="BA1516" s="49">
        <v>45949</v>
      </c>
    </row>
    <row r="1517" spans="23:53" ht="16.2" customHeight="1" x14ac:dyDescent="0.4">
      <c r="W1517" s="49">
        <v>45955</v>
      </c>
      <c r="X1517" s="49">
        <v>45955</v>
      </c>
      <c r="Y1517" s="49">
        <v>45955</v>
      </c>
      <c r="AY1517" s="49">
        <v>45955</v>
      </c>
      <c r="AZ1517" s="49">
        <v>45955</v>
      </c>
      <c r="BA1517" s="49">
        <v>45955</v>
      </c>
    </row>
    <row r="1518" spans="23:53" ht="16.2" customHeight="1" x14ac:dyDescent="0.4">
      <c r="W1518" s="49">
        <v>45956</v>
      </c>
      <c r="X1518" s="49">
        <v>45956</v>
      </c>
      <c r="Y1518" s="49">
        <v>45956</v>
      </c>
      <c r="AY1518" s="49">
        <v>45956</v>
      </c>
      <c r="AZ1518" s="49">
        <v>45956</v>
      </c>
      <c r="BA1518" s="49">
        <v>45956</v>
      </c>
    </row>
    <row r="1519" spans="23:53" ht="16.2" customHeight="1" x14ac:dyDescent="0.4">
      <c r="W1519" s="49">
        <v>45962</v>
      </c>
      <c r="X1519" s="49">
        <v>45962</v>
      </c>
      <c r="Y1519" s="49">
        <v>45962</v>
      </c>
      <c r="AY1519" s="49">
        <v>45962</v>
      </c>
      <c r="AZ1519" s="49">
        <v>45962</v>
      </c>
      <c r="BA1519" s="49">
        <v>45962</v>
      </c>
    </row>
    <row r="1520" spans="23:53" ht="16.2" customHeight="1" x14ac:dyDescent="0.4">
      <c r="W1520" s="49">
        <v>45963</v>
      </c>
      <c r="X1520" s="49">
        <v>45963</v>
      </c>
      <c r="Y1520" s="49">
        <v>45963</v>
      </c>
      <c r="AY1520" s="49">
        <v>45963</v>
      </c>
      <c r="AZ1520" s="49">
        <v>45963</v>
      </c>
      <c r="BA1520" s="49">
        <v>45963</v>
      </c>
    </row>
    <row r="1521" spans="23:53" ht="16.2" customHeight="1" x14ac:dyDescent="0.4">
      <c r="W1521" s="49">
        <v>45969</v>
      </c>
      <c r="X1521" s="49">
        <v>45969</v>
      </c>
      <c r="Y1521" s="49">
        <v>45969</v>
      </c>
      <c r="AY1521" s="49">
        <v>45969</v>
      </c>
      <c r="AZ1521" s="49">
        <v>45969</v>
      </c>
      <c r="BA1521" s="49">
        <v>45969</v>
      </c>
    </row>
    <row r="1522" spans="23:53" ht="16.2" customHeight="1" x14ac:dyDescent="0.4">
      <c r="W1522" s="49">
        <v>45970</v>
      </c>
      <c r="X1522" s="49">
        <v>45970</v>
      </c>
      <c r="Y1522" s="49">
        <v>45970</v>
      </c>
      <c r="AY1522" s="49">
        <v>45970</v>
      </c>
      <c r="AZ1522" s="49">
        <v>45970</v>
      </c>
      <c r="BA1522" s="49">
        <v>45970</v>
      </c>
    </row>
    <row r="1523" spans="23:53" ht="16.2" customHeight="1" x14ac:dyDescent="0.4">
      <c r="W1523" s="49">
        <v>45976</v>
      </c>
      <c r="X1523" s="49">
        <v>45976</v>
      </c>
      <c r="Y1523" s="49">
        <v>45976</v>
      </c>
      <c r="AY1523" s="49">
        <v>45976</v>
      </c>
      <c r="AZ1523" s="49">
        <v>45976</v>
      </c>
      <c r="BA1523" s="49">
        <v>45976</v>
      </c>
    </row>
    <row r="1524" spans="23:53" ht="16.2" customHeight="1" x14ac:dyDescent="0.4">
      <c r="W1524" s="49">
        <v>45977</v>
      </c>
      <c r="X1524" s="49">
        <v>45977</v>
      </c>
      <c r="Y1524" s="49">
        <v>45977</v>
      </c>
      <c r="AY1524" s="49">
        <v>45977</v>
      </c>
      <c r="AZ1524" s="49">
        <v>45977</v>
      </c>
      <c r="BA1524" s="49">
        <v>45977</v>
      </c>
    </row>
    <row r="1525" spans="23:53" ht="16.2" customHeight="1" x14ac:dyDescent="0.4">
      <c r="W1525" s="49">
        <v>45983</v>
      </c>
      <c r="X1525" s="49">
        <v>45983</v>
      </c>
      <c r="Y1525" s="49">
        <v>45983</v>
      </c>
      <c r="AY1525" s="49">
        <v>45983</v>
      </c>
      <c r="AZ1525" s="49">
        <v>45983</v>
      </c>
      <c r="BA1525" s="49">
        <v>45983</v>
      </c>
    </row>
    <row r="1526" spans="23:53" ht="16.2" customHeight="1" x14ac:dyDescent="0.4">
      <c r="W1526" s="49">
        <v>45984</v>
      </c>
      <c r="X1526" s="49">
        <v>45984</v>
      </c>
      <c r="Y1526" s="49">
        <v>45984</v>
      </c>
      <c r="AY1526" s="49">
        <v>45984</v>
      </c>
      <c r="AZ1526" s="49">
        <v>45984</v>
      </c>
      <c r="BA1526" s="49">
        <v>45984</v>
      </c>
    </row>
    <row r="1527" spans="23:53" ht="16.2" customHeight="1" x14ac:dyDescent="0.4">
      <c r="W1527" s="49">
        <v>45990</v>
      </c>
      <c r="X1527" s="49">
        <v>45990</v>
      </c>
      <c r="Y1527" s="49">
        <v>45990</v>
      </c>
      <c r="AY1527" s="49">
        <v>45990</v>
      </c>
      <c r="AZ1527" s="49">
        <v>45990</v>
      </c>
      <c r="BA1527" s="49">
        <v>45990</v>
      </c>
    </row>
    <row r="1528" spans="23:53" ht="16.2" customHeight="1" x14ac:dyDescent="0.4">
      <c r="W1528" s="49">
        <v>45991</v>
      </c>
      <c r="X1528" s="49">
        <v>45991</v>
      </c>
      <c r="Y1528" s="49">
        <v>45991</v>
      </c>
      <c r="AY1528" s="49">
        <v>45991</v>
      </c>
      <c r="AZ1528" s="49">
        <v>45991</v>
      </c>
      <c r="BA1528" s="49">
        <v>45991</v>
      </c>
    </row>
    <row r="1529" spans="23:53" ht="16.2" customHeight="1" x14ac:dyDescent="0.4">
      <c r="W1529" s="49">
        <v>45997</v>
      </c>
      <c r="X1529" s="49">
        <v>45997</v>
      </c>
      <c r="Y1529" s="49">
        <v>45997</v>
      </c>
      <c r="AY1529" s="49">
        <v>45997</v>
      </c>
      <c r="AZ1529" s="49">
        <v>45997</v>
      </c>
      <c r="BA1529" s="49">
        <v>45997</v>
      </c>
    </row>
    <row r="1530" spans="23:53" ht="16.2" customHeight="1" x14ac:dyDescent="0.4">
      <c r="W1530" s="49">
        <v>45998</v>
      </c>
      <c r="X1530" s="49">
        <v>45998</v>
      </c>
      <c r="Y1530" s="49">
        <v>45998</v>
      </c>
      <c r="AY1530" s="49">
        <v>45998</v>
      </c>
      <c r="AZ1530" s="49">
        <v>45998</v>
      </c>
      <c r="BA1530" s="49">
        <v>45998</v>
      </c>
    </row>
    <row r="1531" spans="23:53" ht="16.2" customHeight="1" x14ac:dyDescent="0.4">
      <c r="W1531" s="49">
        <v>46004</v>
      </c>
      <c r="X1531" s="49">
        <v>46004</v>
      </c>
      <c r="Y1531" s="49">
        <v>46004</v>
      </c>
      <c r="AY1531" s="49">
        <v>46004</v>
      </c>
      <c r="AZ1531" s="49">
        <v>46004</v>
      </c>
      <c r="BA1531" s="49">
        <v>46004</v>
      </c>
    </row>
    <row r="1532" spans="23:53" ht="16.2" customHeight="1" x14ac:dyDescent="0.4">
      <c r="W1532" s="49">
        <v>46005</v>
      </c>
      <c r="X1532" s="49">
        <v>46005</v>
      </c>
      <c r="Y1532" s="49">
        <v>46005</v>
      </c>
      <c r="AY1532" s="49">
        <v>46005</v>
      </c>
      <c r="AZ1532" s="49">
        <v>46005</v>
      </c>
      <c r="BA1532" s="49">
        <v>46005</v>
      </c>
    </row>
    <row r="1533" spans="23:53" ht="16.2" customHeight="1" x14ac:dyDescent="0.4">
      <c r="W1533" s="49">
        <v>46011</v>
      </c>
      <c r="X1533" s="49">
        <v>46011</v>
      </c>
      <c r="Y1533" s="49">
        <v>46011</v>
      </c>
      <c r="AY1533" s="49">
        <v>46011</v>
      </c>
      <c r="AZ1533" s="49">
        <v>46011</v>
      </c>
      <c r="BA1533" s="49">
        <v>46011</v>
      </c>
    </row>
    <row r="1534" spans="23:53" ht="16.2" customHeight="1" x14ac:dyDescent="0.4">
      <c r="W1534" s="49">
        <v>46012</v>
      </c>
      <c r="X1534" s="49">
        <v>46012</v>
      </c>
      <c r="Y1534" s="49">
        <v>46012</v>
      </c>
      <c r="AY1534" s="49">
        <v>46012</v>
      </c>
      <c r="AZ1534" s="49">
        <v>46012</v>
      </c>
      <c r="BA1534" s="49">
        <v>46012</v>
      </c>
    </row>
    <row r="1535" spans="23:53" ht="16.2" customHeight="1" x14ac:dyDescent="0.4">
      <c r="W1535" s="49">
        <v>46016</v>
      </c>
      <c r="X1535" s="49">
        <v>46016</v>
      </c>
      <c r="Y1535" s="49">
        <v>46016</v>
      </c>
      <c r="AY1535" s="49">
        <v>46016</v>
      </c>
      <c r="AZ1535" s="49">
        <v>46016</v>
      </c>
      <c r="BA1535" s="49">
        <v>46016</v>
      </c>
    </row>
    <row r="1536" spans="23:53" ht="16.2" customHeight="1" x14ac:dyDescent="0.4">
      <c r="W1536" s="49">
        <v>46018</v>
      </c>
      <c r="X1536" s="49">
        <v>46018</v>
      </c>
      <c r="Y1536" s="49">
        <v>46018</v>
      </c>
      <c r="AY1536" s="49">
        <v>46018</v>
      </c>
      <c r="AZ1536" s="49">
        <v>46018</v>
      </c>
      <c r="BA1536" s="49">
        <v>46018</v>
      </c>
    </row>
    <row r="1537" spans="23:53" ht="16.2" customHeight="1" x14ac:dyDescent="0.4">
      <c r="W1537" s="49">
        <v>46019</v>
      </c>
      <c r="X1537" s="49">
        <v>46019</v>
      </c>
      <c r="Y1537" s="49">
        <v>46019</v>
      </c>
      <c r="AY1537" s="49">
        <v>46019</v>
      </c>
      <c r="AZ1537" s="49">
        <v>46019</v>
      </c>
      <c r="BA1537" s="49">
        <v>46019</v>
      </c>
    </row>
    <row r="1538" spans="23:53" ht="16.2" customHeight="1" x14ac:dyDescent="0.4">
      <c r="W1538" s="49">
        <v>46023</v>
      </c>
      <c r="X1538" s="49">
        <v>46023</v>
      </c>
      <c r="Y1538" s="49">
        <v>46023</v>
      </c>
      <c r="AY1538" s="49">
        <v>46023</v>
      </c>
      <c r="AZ1538" s="49">
        <v>46023</v>
      </c>
      <c r="BA1538" s="49">
        <v>46023</v>
      </c>
    </row>
    <row r="1539" spans="23:53" ht="16.2" customHeight="1" x14ac:dyDescent="0.4">
      <c r="W1539" s="49">
        <v>46025</v>
      </c>
      <c r="X1539" s="49">
        <v>46025</v>
      </c>
      <c r="Y1539" s="49">
        <v>46025</v>
      </c>
      <c r="AY1539" s="49">
        <v>46025</v>
      </c>
      <c r="AZ1539" s="49">
        <v>46025</v>
      </c>
      <c r="BA1539" s="49">
        <v>46025</v>
      </c>
    </row>
    <row r="1540" spans="23:53" ht="16.2" customHeight="1" x14ac:dyDescent="0.4">
      <c r="W1540" s="49">
        <v>46026</v>
      </c>
      <c r="X1540" s="49">
        <v>46026</v>
      </c>
      <c r="Y1540" s="49">
        <v>46026</v>
      </c>
      <c r="AY1540" s="49">
        <v>46026</v>
      </c>
      <c r="AZ1540" s="49">
        <v>46026</v>
      </c>
      <c r="BA1540" s="49">
        <v>46026</v>
      </c>
    </row>
    <row r="1541" spans="23:53" ht="16.2" customHeight="1" x14ac:dyDescent="0.4">
      <c r="W1541" s="49">
        <v>46032</v>
      </c>
      <c r="X1541" s="49">
        <v>46032</v>
      </c>
      <c r="Y1541" s="49">
        <v>46032</v>
      </c>
      <c r="AY1541" s="49">
        <v>46032</v>
      </c>
      <c r="AZ1541" s="49">
        <v>46032</v>
      </c>
      <c r="BA1541" s="49">
        <v>46032</v>
      </c>
    </row>
    <row r="1542" spans="23:53" ht="16.2" customHeight="1" x14ac:dyDescent="0.4">
      <c r="W1542" s="49">
        <v>46033</v>
      </c>
      <c r="X1542" s="49">
        <v>46033</v>
      </c>
      <c r="Y1542" s="49">
        <v>46033</v>
      </c>
      <c r="AY1542" s="49">
        <v>46033</v>
      </c>
      <c r="AZ1542" s="49">
        <v>46033</v>
      </c>
      <c r="BA1542" s="49">
        <v>46033</v>
      </c>
    </row>
    <row r="1543" spans="23:53" ht="16.2" customHeight="1" x14ac:dyDescent="0.4">
      <c r="W1543" s="49">
        <v>46039</v>
      </c>
      <c r="X1543" s="49">
        <v>46039</v>
      </c>
      <c r="Y1543" s="49">
        <v>46039</v>
      </c>
      <c r="AY1543" s="49">
        <v>46039</v>
      </c>
      <c r="AZ1543" s="49">
        <v>46039</v>
      </c>
      <c r="BA1543" s="49">
        <v>46039</v>
      </c>
    </row>
    <row r="1544" spans="23:53" ht="16.2" customHeight="1" x14ac:dyDescent="0.4">
      <c r="W1544" s="49">
        <v>46040</v>
      </c>
      <c r="X1544" s="49">
        <v>46040</v>
      </c>
      <c r="Y1544" s="49">
        <v>46040</v>
      </c>
      <c r="AY1544" s="49">
        <v>46040</v>
      </c>
      <c r="AZ1544" s="49">
        <v>46040</v>
      </c>
      <c r="BA1544" s="49">
        <v>46040</v>
      </c>
    </row>
    <row r="1545" spans="23:53" ht="16.2" customHeight="1" x14ac:dyDescent="0.4">
      <c r="W1545" s="49">
        <v>46046</v>
      </c>
      <c r="X1545" s="49">
        <v>46046</v>
      </c>
      <c r="Y1545" s="49">
        <v>46046</v>
      </c>
      <c r="AY1545" s="49">
        <v>46046</v>
      </c>
      <c r="AZ1545" s="49">
        <v>46046</v>
      </c>
      <c r="BA1545" s="49">
        <v>46046</v>
      </c>
    </row>
    <row r="1546" spans="23:53" ht="16.2" customHeight="1" x14ac:dyDescent="0.4">
      <c r="W1546" s="49">
        <v>46047</v>
      </c>
      <c r="X1546" s="49">
        <v>46047</v>
      </c>
      <c r="Y1546" s="49">
        <v>46047</v>
      </c>
      <c r="AY1546" s="49">
        <v>46047</v>
      </c>
      <c r="AZ1546" s="49">
        <v>46047</v>
      </c>
      <c r="BA1546" s="49">
        <v>46047</v>
      </c>
    </row>
    <row r="1547" spans="23:53" ht="16.2" customHeight="1" x14ac:dyDescent="0.4">
      <c r="W1547" s="49">
        <v>46053</v>
      </c>
      <c r="X1547" s="49">
        <v>46053</v>
      </c>
      <c r="Y1547" s="49">
        <v>46053</v>
      </c>
      <c r="AY1547" s="49">
        <v>46053</v>
      </c>
      <c r="AZ1547" s="49">
        <v>46053</v>
      </c>
      <c r="BA1547" s="49">
        <v>46053</v>
      </c>
    </row>
    <row r="1548" spans="23:53" ht="16.2" customHeight="1" x14ac:dyDescent="0.4">
      <c r="W1548" s="49">
        <v>46054</v>
      </c>
      <c r="X1548" s="49">
        <v>46054</v>
      </c>
      <c r="Y1548" s="49">
        <v>46054</v>
      </c>
      <c r="AY1548" s="49">
        <v>46054</v>
      </c>
      <c r="AZ1548" s="49">
        <v>46054</v>
      </c>
      <c r="BA1548" s="49">
        <v>46054</v>
      </c>
    </row>
    <row r="1549" spans="23:53" ht="16.2" customHeight="1" x14ac:dyDescent="0.4">
      <c r="W1549" s="49">
        <v>46060</v>
      </c>
      <c r="X1549" s="49">
        <v>46060</v>
      </c>
      <c r="Y1549" s="49">
        <v>46060</v>
      </c>
      <c r="AY1549" s="49">
        <v>46060</v>
      </c>
      <c r="AZ1549" s="49">
        <v>46060</v>
      </c>
      <c r="BA1549" s="49">
        <v>46060</v>
      </c>
    </row>
    <row r="1550" spans="23:53" ht="16.2" customHeight="1" x14ac:dyDescent="0.4">
      <c r="W1550" s="49">
        <v>46061</v>
      </c>
      <c r="X1550" s="49">
        <v>46061</v>
      </c>
      <c r="Y1550" s="49">
        <v>46061</v>
      </c>
      <c r="AY1550" s="49">
        <v>46061</v>
      </c>
      <c r="AZ1550" s="49">
        <v>46061</v>
      </c>
      <c r="BA1550" s="49">
        <v>46061</v>
      </c>
    </row>
    <row r="1551" spans="23:53" ht="16.2" customHeight="1" x14ac:dyDescent="0.4">
      <c r="W1551" s="49">
        <v>46067</v>
      </c>
      <c r="X1551" s="49">
        <v>46067</v>
      </c>
      <c r="Y1551" s="49">
        <v>46067</v>
      </c>
      <c r="AY1551" s="49">
        <v>46067</v>
      </c>
      <c r="AZ1551" s="49">
        <v>46067</v>
      </c>
      <c r="BA1551" s="49">
        <v>46067</v>
      </c>
    </row>
    <row r="1552" spans="23:53" ht="16.2" customHeight="1" x14ac:dyDescent="0.4">
      <c r="W1552" s="49">
        <v>46068</v>
      </c>
      <c r="X1552" s="49">
        <v>46068</v>
      </c>
      <c r="Y1552" s="49">
        <v>46068</v>
      </c>
      <c r="AY1552" s="49">
        <v>46068</v>
      </c>
      <c r="AZ1552" s="49">
        <v>46068</v>
      </c>
      <c r="BA1552" s="49">
        <v>46068</v>
      </c>
    </row>
    <row r="1553" spans="23:53" ht="16.2" customHeight="1" x14ac:dyDescent="0.4">
      <c r="W1553" s="49">
        <v>46069</v>
      </c>
      <c r="X1553" s="49">
        <v>46069</v>
      </c>
      <c r="Y1553" s="49">
        <v>46069</v>
      </c>
      <c r="AY1553" s="49">
        <v>46069</v>
      </c>
      <c r="AZ1553" s="49">
        <v>46069</v>
      </c>
      <c r="BA1553" s="49">
        <v>46069</v>
      </c>
    </row>
    <row r="1554" spans="23:53" ht="16.2" customHeight="1" x14ac:dyDescent="0.4">
      <c r="W1554" s="49">
        <v>46070</v>
      </c>
      <c r="X1554" s="49">
        <v>46070</v>
      </c>
      <c r="Y1554" s="49">
        <v>46070</v>
      </c>
      <c r="AY1554" s="49">
        <v>46070</v>
      </c>
      <c r="AZ1554" s="49">
        <v>46070</v>
      </c>
      <c r="BA1554" s="49">
        <v>46070</v>
      </c>
    </row>
    <row r="1555" spans="23:53" ht="16.2" customHeight="1" x14ac:dyDescent="0.4">
      <c r="W1555" s="49">
        <v>46071</v>
      </c>
      <c r="X1555" s="49">
        <v>46071</v>
      </c>
      <c r="Y1555" s="49">
        <v>46071</v>
      </c>
      <c r="AY1555" s="49">
        <v>46071</v>
      </c>
      <c r="AZ1555" s="49">
        <v>46071</v>
      </c>
      <c r="BA1555" s="49">
        <v>46071</v>
      </c>
    </row>
    <row r="1556" spans="23:53" ht="16.2" customHeight="1" x14ac:dyDescent="0.4">
      <c r="W1556" s="49">
        <v>46074</v>
      </c>
      <c r="X1556" s="49">
        <v>46074</v>
      </c>
      <c r="Y1556" s="49">
        <v>46074</v>
      </c>
      <c r="AY1556" s="49">
        <v>46074</v>
      </c>
      <c r="AZ1556" s="49">
        <v>46074</v>
      </c>
      <c r="BA1556" s="49">
        <v>46074</v>
      </c>
    </row>
    <row r="1557" spans="23:53" ht="16.2" customHeight="1" x14ac:dyDescent="0.4">
      <c r="W1557" s="49">
        <v>46075</v>
      </c>
      <c r="X1557" s="49">
        <v>46075</v>
      </c>
      <c r="Y1557" s="49">
        <v>46075</v>
      </c>
      <c r="AY1557" s="49">
        <v>46075</v>
      </c>
      <c r="AZ1557" s="49">
        <v>46075</v>
      </c>
      <c r="BA1557" s="49">
        <v>46075</v>
      </c>
    </row>
    <row r="1558" spans="23:53" ht="16.2" customHeight="1" x14ac:dyDescent="0.4">
      <c r="W1558" s="49">
        <v>46081</v>
      </c>
      <c r="X1558" s="49">
        <v>46081</v>
      </c>
      <c r="Y1558" s="49">
        <v>46081</v>
      </c>
      <c r="AY1558" s="49">
        <v>46081</v>
      </c>
      <c r="AZ1558" s="49">
        <v>46081</v>
      </c>
      <c r="BA1558" s="49">
        <v>46081</v>
      </c>
    </row>
    <row r="1559" spans="23:53" ht="16.2" customHeight="1" x14ac:dyDescent="0.4">
      <c r="W1559" s="49">
        <v>46082</v>
      </c>
      <c r="X1559" s="49">
        <v>46082</v>
      </c>
      <c r="Y1559" s="49">
        <v>46082</v>
      </c>
      <c r="AY1559" s="49">
        <v>46082</v>
      </c>
      <c r="AZ1559" s="49">
        <v>46082</v>
      </c>
      <c r="BA1559" s="49">
        <v>46082</v>
      </c>
    </row>
    <row r="1560" spans="23:53" ht="16.2" customHeight="1" x14ac:dyDescent="0.4">
      <c r="W1560" s="49">
        <v>46088</v>
      </c>
      <c r="X1560" s="49">
        <v>46088</v>
      </c>
      <c r="Y1560" s="49">
        <v>46088</v>
      </c>
      <c r="AY1560" s="49">
        <v>46088</v>
      </c>
      <c r="AZ1560" s="49">
        <v>46088</v>
      </c>
      <c r="BA1560" s="49">
        <v>46088</v>
      </c>
    </row>
    <row r="1561" spans="23:53" ht="16.2" customHeight="1" x14ac:dyDescent="0.4">
      <c r="W1561" s="49">
        <v>46089</v>
      </c>
      <c r="X1561" s="49">
        <v>46089</v>
      </c>
      <c r="Y1561" s="49">
        <v>46089</v>
      </c>
      <c r="AY1561" s="49">
        <v>46089</v>
      </c>
      <c r="AZ1561" s="49">
        <v>46089</v>
      </c>
      <c r="BA1561" s="49">
        <v>46089</v>
      </c>
    </row>
    <row r="1562" spans="23:53" ht="16.2" customHeight="1" x14ac:dyDescent="0.4">
      <c r="W1562" s="49">
        <v>46095</v>
      </c>
      <c r="X1562" s="49">
        <v>46095</v>
      </c>
      <c r="Y1562" s="49">
        <v>46095</v>
      </c>
      <c r="AY1562" s="49">
        <v>46095</v>
      </c>
      <c r="AZ1562" s="49">
        <v>46095</v>
      </c>
      <c r="BA1562" s="49">
        <v>46095</v>
      </c>
    </row>
    <row r="1563" spans="23:53" ht="16.2" customHeight="1" x14ac:dyDescent="0.4">
      <c r="W1563" s="49">
        <v>46096</v>
      </c>
      <c r="X1563" s="49">
        <v>46096</v>
      </c>
      <c r="Y1563" s="49">
        <v>46096</v>
      </c>
      <c r="AY1563" s="49">
        <v>46096</v>
      </c>
      <c r="AZ1563" s="49">
        <v>46096</v>
      </c>
      <c r="BA1563" s="49">
        <v>46096</v>
      </c>
    </row>
    <row r="1564" spans="23:53" ht="16.2" customHeight="1" x14ac:dyDescent="0.4">
      <c r="W1564" s="49">
        <v>46102</v>
      </c>
      <c r="X1564" s="49">
        <v>46102</v>
      </c>
      <c r="Y1564" s="49">
        <v>46102</v>
      </c>
      <c r="AY1564" s="49">
        <v>46102</v>
      </c>
      <c r="AZ1564" s="49">
        <v>46102</v>
      </c>
      <c r="BA1564" s="49">
        <v>46102</v>
      </c>
    </row>
    <row r="1565" spans="23:53" ht="16.2" customHeight="1" x14ac:dyDescent="0.4">
      <c r="W1565" s="49">
        <v>46103</v>
      </c>
      <c r="X1565" s="49">
        <v>46103</v>
      </c>
      <c r="Y1565" s="49">
        <v>46103</v>
      </c>
      <c r="AY1565" s="49">
        <v>46103</v>
      </c>
      <c r="AZ1565" s="49">
        <v>46103</v>
      </c>
      <c r="BA1565" s="49">
        <v>46103</v>
      </c>
    </row>
    <row r="1566" spans="23:53" ht="16.2" customHeight="1" x14ac:dyDescent="0.4">
      <c r="W1566" s="49">
        <v>46109</v>
      </c>
      <c r="X1566" s="49">
        <v>46109</v>
      </c>
      <c r="Y1566" s="49">
        <v>46109</v>
      </c>
      <c r="AY1566" s="49">
        <v>46109</v>
      </c>
      <c r="AZ1566" s="49">
        <v>46109</v>
      </c>
      <c r="BA1566" s="49">
        <v>46109</v>
      </c>
    </row>
    <row r="1567" spans="23:53" ht="16.2" customHeight="1" x14ac:dyDescent="0.4">
      <c r="W1567" s="49">
        <v>46110</v>
      </c>
      <c r="X1567" s="49">
        <v>46110</v>
      </c>
      <c r="Y1567" s="49">
        <v>46110</v>
      </c>
      <c r="AY1567" s="49">
        <v>46110</v>
      </c>
      <c r="AZ1567" s="49">
        <v>46110</v>
      </c>
      <c r="BA1567" s="49">
        <v>46110</v>
      </c>
    </row>
    <row r="1568" spans="23:53" ht="16.2" customHeight="1" x14ac:dyDescent="0.4">
      <c r="W1568" s="49">
        <v>46116</v>
      </c>
      <c r="X1568" s="49">
        <v>46116</v>
      </c>
      <c r="Y1568" s="49">
        <v>46116</v>
      </c>
      <c r="AY1568" s="49">
        <v>46116</v>
      </c>
      <c r="AZ1568" s="49">
        <v>46116</v>
      </c>
      <c r="BA1568" s="49">
        <v>46116</v>
      </c>
    </row>
    <row r="1569" spans="23:53" ht="16.2" customHeight="1" x14ac:dyDescent="0.4">
      <c r="W1569" s="49">
        <v>46117</v>
      </c>
      <c r="X1569" s="49">
        <v>46117</v>
      </c>
      <c r="Y1569" s="49">
        <v>46117</v>
      </c>
      <c r="AY1569" s="49">
        <v>46117</v>
      </c>
      <c r="AZ1569" s="49">
        <v>46117</v>
      </c>
      <c r="BA1569" s="49">
        <v>46117</v>
      </c>
    </row>
    <row r="1570" spans="23:53" ht="16.2" customHeight="1" x14ac:dyDescent="0.4">
      <c r="W1570" s="49">
        <v>46123</v>
      </c>
      <c r="X1570" s="49">
        <v>46123</v>
      </c>
      <c r="Y1570" s="49">
        <v>46123</v>
      </c>
      <c r="AY1570" s="49">
        <v>46123</v>
      </c>
      <c r="AZ1570" s="49">
        <v>46123</v>
      </c>
      <c r="BA1570" s="49">
        <v>46123</v>
      </c>
    </row>
    <row r="1571" spans="23:53" ht="16.2" customHeight="1" x14ac:dyDescent="0.4">
      <c r="W1571" s="49">
        <v>46124</v>
      </c>
      <c r="X1571" s="49">
        <v>46124</v>
      </c>
      <c r="Y1571" s="49">
        <v>46124</v>
      </c>
      <c r="AY1571" s="49">
        <v>46124</v>
      </c>
      <c r="AZ1571" s="49">
        <v>46124</v>
      </c>
      <c r="BA1571" s="49">
        <v>46124</v>
      </c>
    </row>
    <row r="1572" spans="23:53" ht="16.2" customHeight="1" x14ac:dyDescent="0.4">
      <c r="W1572" s="49">
        <v>46130</v>
      </c>
      <c r="X1572" s="49">
        <v>46130</v>
      </c>
      <c r="Y1572" s="49">
        <v>46130</v>
      </c>
      <c r="AY1572" s="49">
        <v>46130</v>
      </c>
      <c r="AZ1572" s="49">
        <v>46130</v>
      </c>
      <c r="BA1572" s="49">
        <v>46130</v>
      </c>
    </row>
    <row r="1573" spans="23:53" ht="16.2" customHeight="1" x14ac:dyDescent="0.4">
      <c r="W1573" s="49">
        <v>46131</v>
      </c>
      <c r="X1573" s="49">
        <v>46131</v>
      </c>
      <c r="Y1573" s="49">
        <v>46131</v>
      </c>
      <c r="AY1573" s="49">
        <v>46131</v>
      </c>
      <c r="AZ1573" s="49">
        <v>46131</v>
      </c>
      <c r="BA1573" s="49">
        <v>46131</v>
      </c>
    </row>
    <row r="1574" spans="23:53" ht="16.2" customHeight="1" x14ac:dyDescent="0.4">
      <c r="W1574" s="49">
        <v>46137</v>
      </c>
      <c r="X1574" s="49">
        <v>46137</v>
      </c>
      <c r="Y1574" s="49">
        <v>46137</v>
      </c>
      <c r="AY1574" s="49">
        <v>46137</v>
      </c>
      <c r="AZ1574" s="49">
        <v>46137</v>
      </c>
      <c r="BA1574" s="49">
        <v>46137</v>
      </c>
    </row>
    <row r="1575" spans="23:53" ht="16.2" customHeight="1" x14ac:dyDescent="0.4">
      <c r="W1575" s="49">
        <v>46138</v>
      </c>
      <c r="X1575" s="49">
        <v>46138</v>
      </c>
      <c r="Y1575" s="49">
        <v>46138</v>
      </c>
      <c r="AY1575" s="49">
        <v>46138</v>
      </c>
      <c r="AZ1575" s="49">
        <v>46138</v>
      </c>
      <c r="BA1575" s="49">
        <v>46138</v>
      </c>
    </row>
    <row r="1576" spans="23:53" ht="16.2" customHeight="1" x14ac:dyDescent="0.4">
      <c r="W1576" s="49">
        <v>46143</v>
      </c>
      <c r="X1576" s="49">
        <v>46143</v>
      </c>
      <c r="Y1576" s="49">
        <v>46143</v>
      </c>
      <c r="AY1576" s="49">
        <v>46143</v>
      </c>
      <c r="AZ1576" s="49">
        <v>46143</v>
      </c>
      <c r="BA1576" s="49">
        <v>46143</v>
      </c>
    </row>
    <row r="1577" spans="23:53" ht="16.2" customHeight="1" x14ac:dyDescent="0.4">
      <c r="W1577" s="49">
        <v>46144</v>
      </c>
      <c r="X1577" s="49">
        <v>46144</v>
      </c>
      <c r="Y1577" s="49">
        <v>46144</v>
      </c>
      <c r="AY1577" s="49">
        <v>46144</v>
      </c>
      <c r="AZ1577" s="49">
        <v>46144</v>
      </c>
      <c r="BA1577" s="49">
        <v>46144</v>
      </c>
    </row>
    <row r="1578" spans="23:53" ht="16.2" customHeight="1" x14ac:dyDescent="0.4">
      <c r="W1578" s="49">
        <v>46145</v>
      </c>
      <c r="X1578" s="49">
        <v>46145</v>
      </c>
      <c r="Y1578" s="49">
        <v>46145</v>
      </c>
      <c r="AY1578" s="49">
        <v>46145</v>
      </c>
      <c r="AZ1578" s="49">
        <v>46145</v>
      </c>
      <c r="BA1578" s="49">
        <v>46145</v>
      </c>
    </row>
    <row r="1579" spans="23:53" ht="16.2" customHeight="1" x14ac:dyDescent="0.4">
      <c r="W1579" s="49">
        <v>46147</v>
      </c>
      <c r="X1579" s="49">
        <v>46147</v>
      </c>
      <c r="Y1579" s="49">
        <v>46147</v>
      </c>
      <c r="AY1579" s="49">
        <v>46147</v>
      </c>
      <c r="AZ1579" s="49">
        <v>46147</v>
      </c>
      <c r="BA1579" s="49">
        <v>46147</v>
      </c>
    </row>
    <row r="1580" spans="23:53" ht="16.2" customHeight="1" x14ac:dyDescent="0.4">
      <c r="W1580" s="49">
        <v>46151</v>
      </c>
      <c r="X1580" s="49">
        <v>46151</v>
      </c>
      <c r="Y1580" s="49">
        <v>46151</v>
      </c>
      <c r="AY1580" s="49">
        <v>46151</v>
      </c>
      <c r="AZ1580" s="49">
        <v>46151</v>
      </c>
      <c r="BA1580" s="49">
        <v>46151</v>
      </c>
    </row>
    <row r="1581" spans="23:53" ht="16.2" customHeight="1" x14ac:dyDescent="0.4">
      <c r="W1581" s="49">
        <v>46152</v>
      </c>
      <c r="X1581" s="49">
        <v>46152</v>
      </c>
      <c r="Y1581" s="49">
        <v>46152</v>
      </c>
      <c r="AY1581" s="49">
        <v>46152</v>
      </c>
      <c r="AZ1581" s="49">
        <v>46152</v>
      </c>
      <c r="BA1581" s="49">
        <v>46152</v>
      </c>
    </row>
    <row r="1582" spans="23:53" ht="16.2" customHeight="1" x14ac:dyDescent="0.4">
      <c r="W1582" s="49">
        <v>46158</v>
      </c>
      <c r="X1582" s="49">
        <v>46158</v>
      </c>
      <c r="Y1582" s="49">
        <v>46158</v>
      </c>
      <c r="AY1582" s="49">
        <v>46158</v>
      </c>
      <c r="AZ1582" s="49">
        <v>46158</v>
      </c>
      <c r="BA1582" s="49">
        <v>46158</v>
      </c>
    </row>
    <row r="1583" spans="23:53" ht="16.2" customHeight="1" x14ac:dyDescent="0.4">
      <c r="W1583" s="49">
        <v>46159</v>
      </c>
      <c r="X1583" s="49">
        <v>46159</v>
      </c>
      <c r="Y1583" s="49">
        <v>46159</v>
      </c>
      <c r="AY1583" s="49">
        <v>46159</v>
      </c>
      <c r="AZ1583" s="49">
        <v>46159</v>
      </c>
      <c r="BA1583" s="49">
        <v>46159</v>
      </c>
    </row>
    <row r="1584" spans="23:53" ht="16.2" customHeight="1" x14ac:dyDescent="0.4">
      <c r="W1584" s="49">
        <v>46165</v>
      </c>
      <c r="X1584" s="49">
        <v>46165</v>
      </c>
      <c r="Y1584" s="49">
        <v>46165</v>
      </c>
      <c r="AY1584" s="49">
        <v>46165</v>
      </c>
      <c r="AZ1584" s="49">
        <v>46165</v>
      </c>
      <c r="BA1584" s="49">
        <v>46165</v>
      </c>
    </row>
    <row r="1585" spans="23:53" ht="16.2" customHeight="1" x14ac:dyDescent="0.4">
      <c r="W1585" s="49">
        <v>46166</v>
      </c>
      <c r="X1585" s="49">
        <v>46166</v>
      </c>
      <c r="Y1585" s="49">
        <v>46166</v>
      </c>
      <c r="AY1585" s="49">
        <v>46166</v>
      </c>
      <c r="AZ1585" s="49">
        <v>46166</v>
      </c>
      <c r="BA1585" s="49">
        <v>46166</v>
      </c>
    </row>
    <row r="1586" spans="23:53" ht="16.2" customHeight="1" x14ac:dyDescent="0.4">
      <c r="W1586" s="49">
        <v>46172</v>
      </c>
      <c r="X1586" s="49">
        <v>46172</v>
      </c>
      <c r="Y1586" s="49">
        <v>46172</v>
      </c>
      <c r="AY1586" s="49">
        <v>46172</v>
      </c>
      <c r="AZ1586" s="49">
        <v>46172</v>
      </c>
      <c r="BA1586" s="49">
        <v>46172</v>
      </c>
    </row>
    <row r="1587" spans="23:53" ht="16.2" customHeight="1" x14ac:dyDescent="0.4">
      <c r="W1587" s="49">
        <v>46173</v>
      </c>
      <c r="X1587" s="49">
        <v>46173</v>
      </c>
      <c r="Y1587" s="49">
        <v>46173</v>
      </c>
      <c r="AY1587" s="49">
        <v>46173</v>
      </c>
      <c r="AZ1587" s="49">
        <v>46173</v>
      </c>
      <c r="BA1587" s="49">
        <v>46173</v>
      </c>
    </row>
    <row r="1588" spans="23:53" ht="16.2" customHeight="1" x14ac:dyDescent="0.4">
      <c r="W1588" s="49">
        <v>46180</v>
      </c>
      <c r="X1588" s="49">
        <v>46180</v>
      </c>
      <c r="Y1588" s="49">
        <v>46180</v>
      </c>
      <c r="AY1588" s="49">
        <v>46180</v>
      </c>
      <c r="AZ1588" s="49">
        <v>46180</v>
      </c>
      <c r="BA1588" s="49">
        <v>46180</v>
      </c>
    </row>
    <row r="1589" spans="23:53" ht="16.2" customHeight="1" x14ac:dyDescent="0.4">
      <c r="W1589" s="49">
        <v>46186</v>
      </c>
      <c r="X1589" s="49">
        <v>46186</v>
      </c>
      <c r="Y1589" s="49">
        <v>46186</v>
      </c>
      <c r="AY1589" s="49">
        <v>46186</v>
      </c>
      <c r="AZ1589" s="49">
        <v>46186</v>
      </c>
      <c r="BA1589" s="49">
        <v>46186</v>
      </c>
    </row>
    <row r="1590" spans="23:53" ht="16.2" customHeight="1" x14ac:dyDescent="0.4">
      <c r="W1590" s="49">
        <v>46187</v>
      </c>
      <c r="X1590" s="49">
        <v>46187</v>
      </c>
      <c r="Y1590" s="49">
        <v>46187</v>
      </c>
      <c r="AY1590" s="49">
        <v>46187</v>
      </c>
      <c r="AZ1590" s="49">
        <v>46187</v>
      </c>
      <c r="BA1590" s="49">
        <v>46187</v>
      </c>
    </row>
    <row r="1591" spans="23:53" ht="16.2" customHeight="1" x14ac:dyDescent="0.4">
      <c r="W1591" s="49">
        <v>46193</v>
      </c>
      <c r="X1591" s="49">
        <v>46193</v>
      </c>
      <c r="Y1591" s="49">
        <v>46193</v>
      </c>
      <c r="AY1591" s="49">
        <v>46193</v>
      </c>
      <c r="AZ1591" s="49">
        <v>46193</v>
      </c>
      <c r="BA1591" s="49">
        <v>46193</v>
      </c>
    </row>
    <row r="1592" spans="23:53" ht="16.2" customHeight="1" x14ac:dyDescent="0.4">
      <c r="W1592" s="49">
        <v>46194</v>
      </c>
      <c r="X1592" s="49">
        <v>46194</v>
      </c>
      <c r="Y1592" s="49">
        <v>46194</v>
      </c>
      <c r="AY1592" s="49">
        <v>46194</v>
      </c>
      <c r="AZ1592" s="49">
        <v>46194</v>
      </c>
      <c r="BA1592" s="49">
        <v>46194</v>
      </c>
    </row>
    <row r="1593" spans="23:53" ht="16.2" customHeight="1" x14ac:dyDescent="0.4">
      <c r="W1593" s="49">
        <v>46200</v>
      </c>
      <c r="X1593" s="49">
        <v>46200</v>
      </c>
      <c r="Y1593" s="49">
        <v>46200</v>
      </c>
      <c r="AY1593" s="49">
        <v>46200</v>
      </c>
      <c r="AZ1593" s="49">
        <v>46200</v>
      </c>
      <c r="BA1593" s="49">
        <v>46200</v>
      </c>
    </row>
    <row r="1594" spans="23:53" ht="16.2" customHeight="1" x14ac:dyDescent="0.4">
      <c r="W1594" s="49">
        <v>46201</v>
      </c>
      <c r="X1594" s="49">
        <v>46201</v>
      </c>
      <c r="Y1594" s="49">
        <v>46201</v>
      </c>
      <c r="AY1594" s="49">
        <v>46201</v>
      </c>
      <c r="AZ1594" s="49">
        <v>46201</v>
      </c>
      <c r="BA1594" s="49">
        <v>46201</v>
      </c>
    </row>
    <row r="1595" spans="23:53" ht="16.2" customHeight="1" x14ac:dyDescent="0.4">
      <c r="W1595" s="49">
        <v>46207</v>
      </c>
      <c r="X1595" s="49">
        <v>46207</v>
      </c>
      <c r="Y1595" s="49">
        <v>46207</v>
      </c>
      <c r="AY1595" s="49">
        <v>46207</v>
      </c>
      <c r="AZ1595" s="49">
        <v>46207</v>
      </c>
      <c r="BA1595" s="49">
        <v>46207</v>
      </c>
    </row>
    <row r="1596" spans="23:53" ht="16.2" customHeight="1" x14ac:dyDescent="0.4">
      <c r="W1596" s="49">
        <v>46208</v>
      </c>
      <c r="X1596" s="49">
        <v>46208</v>
      </c>
      <c r="Y1596" s="49">
        <v>46208</v>
      </c>
      <c r="AY1596" s="49">
        <v>46208</v>
      </c>
      <c r="AZ1596" s="49">
        <v>46208</v>
      </c>
      <c r="BA1596" s="49">
        <v>46208</v>
      </c>
    </row>
    <row r="1597" spans="23:53" ht="16.2" customHeight="1" x14ac:dyDescent="0.4">
      <c r="W1597" s="49">
        <v>46214</v>
      </c>
      <c r="X1597" s="49">
        <v>46214</v>
      </c>
      <c r="Y1597" s="49">
        <v>46214</v>
      </c>
      <c r="AY1597" s="49">
        <v>46214</v>
      </c>
      <c r="AZ1597" s="49">
        <v>46214</v>
      </c>
      <c r="BA1597" s="49">
        <v>46214</v>
      </c>
    </row>
    <row r="1598" spans="23:53" ht="16.2" customHeight="1" x14ac:dyDescent="0.4">
      <c r="W1598" s="49">
        <v>46215</v>
      </c>
      <c r="X1598" s="49">
        <v>46215</v>
      </c>
      <c r="Y1598" s="49">
        <v>46215</v>
      </c>
      <c r="AY1598" s="49">
        <v>46215</v>
      </c>
      <c r="AZ1598" s="49">
        <v>46215</v>
      </c>
      <c r="BA1598" s="49">
        <v>46215</v>
      </c>
    </row>
    <row r="1599" spans="23:53" ht="16.2" customHeight="1" x14ac:dyDescent="0.4">
      <c r="W1599" s="49">
        <v>46221</v>
      </c>
      <c r="X1599" s="49">
        <v>46221</v>
      </c>
      <c r="Y1599" s="49">
        <v>46221</v>
      </c>
      <c r="AY1599" s="49">
        <v>46221</v>
      </c>
      <c r="AZ1599" s="49">
        <v>46221</v>
      </c>
      <c r="BA1599" s="49">
        <v>46221</v>
      </c>
    </row>
    <row r="1600" spans="23:53" ht="16.2" customHeight="1" x14ac:dyDescent="0.4">
      <c r="W1600" s="49">
        <v>46222</v>
      </c>
      <c r="X1600" s="49">
        <v>46222</v>
      </c>
      <c r="Y1600" s="49">
        <v>46222</v>
      </c>
      <c r="AY1600" s="49">
        <v>46222</v>
      </c>
      <c r="AZ1600" s="49">
        <v>46222</v>
      </c>
      <c r="BA1600" s="49">
        <v>46222</v>
      </c>
    </row>
    <row r="1601" spans="23:53" ht="16.2" customHeight="1" x14ac:dyDescent="0.4">
      <c r="W1601" s="49">
        <v>46228</v>
      </c>
      <c r="X1601" s="49">
        <v>46228</v>
      </c>
      <c r="Y1601" s="49">
        <v>46228</v>
      </c>
      <c r="AY1601" s="49">
        <v>46228</v>
      </c>
      <c r="AZ1601" s="49">
        <v>46228</v>
      </c>
      <c r="BA1601" s="49">
        <v>46228</v>
      </c>
    </row>
    <row r="1602" spans="23:53" ht="16.2" customHeight="1" x14ac:dyDescent="0.4">
      <c r="W1602" s="49">
        <v>46229</v>
      </c>
      <c r="X1602" s="49">
        <v>46229</v>
      </c>
      <c r="Y1602" s="49">
        <v>46229</v>
      </c>
      <c r="AY1602" s="49">
        <v>46229</v>
      </c>
      <c r="AZ1602" s="49">
        <v>46229</v>
      </c>
      <c r="BA1602" s="49">
        <v>46229</v>
      </c>
    </row>
    <row r="1603" spans="23:53" ht="16.2" customHeight="1" x14ac:dyDescent="0.4">
      <c r="W1603" s="49">
        <v>46235</v>
      </c>
      <c r="X1603" s="49">
        <v>46235</v>
      </c>
      <c r="Y1603" s="49">
        <v>46235</v>
      </c>
      <c r="AY1603" s="49">
        <v>46235</v>
      </c>
      <c r="AZ1603" s="49">
        <v>46235</v>
      </c>
      <c r="BA1603" s="49">
        <v>46235</v>
      </c>
    </row>
    <row r="1604" spans="23:53" ht="16.2" customHeight="1" x14ac:dyDescent="0.4">
      <c r="W1604" s="49">
        <v>46236</v>
      </c>
      <c r="X1604" s="49">
        <v>46236</v>
      </c>
      <c r="Y1604" s="49">
        <v>46236</v>
      </c>
      <c r="AY1604" s="49">
        <v>46236</v>
      </c>
      <c r="AZ1604" s="49">
        <v>46236</v>
      </c>
      <c r="BA1604" s="49">
        <v>46236</v>
      </c>
    </row>
    <row r="1605" spans="23:53" ht="16.2" customHeight="1" x14ac:dyDescent="0.4">
      <c r="W1605" s="49">
        <v>46242</v>
      </c>
      <c r="X1605" s="49">
        <v>46242</v>
      </c>
      <c r="Y1605" s="49">
        <v>46242</v>
      </c>
      <c r="AY1605" s="49">
        <v>46242</v>
      </c>
      <c r="AZ1605" s="49">
        <v>46242</v>
      </c>
      <c r="BA1605" s="49">
        <v>46242</v>
      </c>
    </row>
    <row r="1606" spans="23:53" ht="16.2" customHeight="1" x14ac:dyDescent="0.4">
      <c r="W1606" s="49">
        <v>46243</v>
      </c>
      <c r="X1606" s="49">
        <v>46243</v>
      </c>
      <c r="Y1606" s="49">
        <v>46243</v>
      </c>
      <c r="AY1606" s="49">
        <v>46243</v>
      </c>
      <c r="AZ1606" s="49">
        <v>46243</v>
      </c>
      <c r="BA1606" s="49">
        <v>46243</v>
      </c>
    </row>
    <row r="1607" spans="23:53" ht="16.2" customHeight="1" x14ac:dyDescent="0.4">
      <c r="W1607" s="49">
        <v>46250</v>
      </c>
      <c r="X1607" s="49">
        <v>46250</v>
      </c>
      <c r="Y1607" s="49">
        <v>46250</v>
      </c>
      <c r="AY1607" s="49">
        <v>46250</v>
      </c>
      <c r="AZ1607" s="49">
        <v>46250</v>
      </c>
      <c r="BA1607" s="49">
        <v>46250</v>
      </c>
    </row>
    <row r="1608" spans="23:53" ht="16.2" customHeight="1" x14ac:dyDescent="0.4">
      <c r="W1608" s="49">
        <v>46256</v>
      </c>
      <c r="X1608" s="49">
        <v>46256</v>
      </c>
      <c r="Y1608" s="49">
        <v>46256</v>
      </c>
      <c r="AY1608" s="49">
        <v>46256</v>
      </c>
      <c r="AZ1608" s="49">
        <v>46256</v>
      </c>
      <c r="BA1608" s="49">
        <v>46256</v>
      </c>
    </row>
    <row r="1609" spans="23:53" ht="16.2" customHeight="1" x14ac:dyDescent="0.4">
      <c r="W1609" s="49">
        <v>46257</v>
      </c>
      <c r="X1609" s="49">
        <v>46257</v>
      </c>
      <c r="Y1609" s="49">
        <v>46257</v>
      </c>
      <c r="AY1609" s="49">
        <v>46257</v>
      </c>
      <c r="AZ1609" s="49">
        <v>46257</v>
      </c>
      <c r="BA1609" s="49">
        <v>46257</v>
      </c>
    </row>
    <row r="1610" spans="23:53" ht="16.2" customHeight="1" x14ac:dyDescent="0.4">
      <c r="W1610" s="49">
        <v>46263</v>
      </c>
      <c r="X1610" s="49">
        <v>46263</v>
      </c>
      <c r="Y1610" s="49">
        <v>46263</v>
      </c>
      <c r="AY1610" s="49">
        <v>46263</v>
      </c>
      <c r="AZ1610" s="49">
        <v>46263</v>
      </c>
      <c r="BA1610" s="49">
        <v>46263</v>
      </c>
    </row>
    <row r="1611" spans="23:53" ht="16.2" customHeight="1" x14ac:dyDescent="0.4">
      <c r="W1611" s="49">
        <v>46264</v>
      </c>
      <c r="X1611" s="49">
        <v>46264</v>
      </c>
      <c r="Y1611" s="49">
        <v>46264</v>
      </c>
      <c r="AY1611" s="49">
        <v>46264</v>
      </c>
      <c r="AZ1611" s="49">
        <v>46264</v>
      </c>
      <c r="BA1611" s="49">
        <v>46264</v>
      </c>
    </row>
    <row r="1612" spans="23:53" ht="16.2" customHeight="1" x14ac:dyDescent="0.4">
      <c r="W1612" s="49">
        <v>46270</v>
      </c>
      <c r="X1612" s="49">
        <v>46270</v>
      </c>
      <c r="Y1612" s="49">
        <v>46270</v>
      </c>
      <c r="AY1612" s="49">
        <v>46270</v>
      </c>
      <c r="AZ1612" s="49">
        <v>46270</v>
      </c>
      <c r="BA1612" s="49">
        <v>46270</v>
      </c>
    </row>
    <row r="1613" spans="23:53" ht="16.2" customHeight="1" x14ac:dyDescent="0.4">
      <c r="W1613" s="49">
        <v>46271</v>
      </c>
      <c r="X1613" s="49">
        <v>46271</v>
      </c>
      <c r="Y1613" s="49">
        <v>46271</v>
      </c>
      <c r="AY1613" s="49">
        <v>46271</v>
      </c>
      <c r="AZ1613" s="49">
        <v>46271</v>
      </c>
      <c r="BA1613" s="49">
        <v>46271</v>
      </c>
    </row>
    <row r="1614" spans="23:53" ht="16.2" customHeight="1" x14ac:dyDescent="0.4">
      <c r="W1614" s="49">
        <v>46277</v>
      </c>
      <c r="X1614" s="49">
        <v>46277</v>
      </c>
      <c r="Y1614" s="49">
        <v>46277</v>
      </c>
      <c r="AY1614" s="49">
        <v>46277</v>
      </c>
      <c r="AZ1614" s="49">
        <v>46277</v>
      </c>
      <c r="BA1614" s="49">
        <v>46277</v>
      </c>
    </row>
    <row r="1615" spans="23:53" ht="16.2" customHeight="1" x14ac:dyDescent="0.4">
      <c r="W1615" s="49">
        <v>46278</v>
      </c>
      <c r="X1615" s="49">
        <v>46278</v>
      </c>
      <c r="Y1615" s="49">
        <v>46278</v>
      </c>
      <c r="AY1615" s="49">
        <v>46278</v>
      </c>
      <c r="AZ1615" s="49">
        <v>46278</v>
      </c>
      <c r="BA1615" s="49">
        <v>46278</v>
      </c>
    </row>
    <row r="1616" spans="23:53" ht="16.2" customHeight="1" x14ac:dyDescent="0.4">
      <c r="W1616" s="49">
        <v>46284</v>
      </c>
      <c r="X1616" s="49">
        <v>46284</v>
      </c>
      <c r="Y1616" s="49">
        <v>46284</v>
      </c>
      <c r="AY1616" s="49">
        <v>46284</v>
      </c>
      <c r="AZ1616" s="49">
        <v>46284</v>
      </c>
      <c r="BA1616" s="49">
        <v>46284</v>
      </c>
    </row>
    <row r="1617" spans="23:53" ht="16.2" customHeight="1" x14ac:dyDescent="0.4">
      <c r="W1617" s="49">
        <v>46285</v>
      </c>
      <c r="X1617" s="49">
        <v>46285</v>
      </c>
      <c r="Y1617" s="49">
        <v>46285</v>
      </c>
      <c r="AY1617" s="49">
        <v>46285</v>
      </c>
      <c r="AZ1617" s="49">
        <v>46285</v>
      </c>
      <c r="BA1617" s="49">
        <v>46285</v>
      </c>
    </row>
    <row r="1618" spans="23:53" ht="16.2" customHeight="1" x14ac:dyDescent="0.4">
      <c r="W1618" s="49">
        <v>46289</v>
      </c>
      <c r="X1618" s="49">
        <v>46289</v>
      </c>
      <c r="Y1618" s="49">
        <v>46289</v>
      </c>
      <c r="AY1618" s="49">
        <v>46289</v>
      </c>
      <c r="AZ1618" s="49">
        <v>46289</v>
      </c>
      <c r="BA1618" s="49">
        <v>46289</v>
      </c>
    </row>
    <row r="1619" spans="23:53" ht="16.2" customHeight="1" x14ac:dyDescent="0.4">
      <c r="W1619" s="49">
        <v>46290</v>
      </c>
      <c r="X1619" s="49">
        <v>46290</v>
      </c>
      <c r="Y1619" s="49">
        <v>46290</v>
      </c>
      <c r="AY1619" s="49">
        <v>46290</v>
      </c>
      <c r="AZ1619" s="49">
        <v>46290</v>
      </c>
      <c r="BA1619" s="49">
        <v>46290</v>
      </c>
    </row>
    <row r="1620" spans="23:53" ht="16.2" customHeight="1" x14ac:dyDescent="0.4">
      <c r="W1620" s="49">
        <v>46292</v>
      </c>
      <c r="X1620" s="49">
        <v>46292</v>
      </c>
      <c r="Y1620" s="49">
        <v>46292</v>
      </c>
      <c r="AY1620" s="49">
        <v>46292</v>
      </c>
      <c r="AZ1620" s="49">
        <v>46292</v>
      </c>
      <c r="BA1620" s="49">
        <v>46292</v>
      </c>
    </row>
    <row r="1621" spans="23:53" ht="16.2" customHeight="1" x14ac:dyDescent="0.4">
      <c r="W1621" s="49">
        <v>46299</v>
      </c>
      <c r="X1621" s="49">
        <v>46299</v>
      </c>
      <c r="Y1621" s="49">
        <v>46299</v>
      </c>
      <c r="AY1621" s="49">
        <v>46299</v>
      </c>
      <c r="AZ1621" s="49">
        <v>46299</v>
      </c>
      <c r="BA1621" s="49">
        <v>46299</v>
      </c>
    </row>
    <row r="1622" spans="23:53" ht="16.2" customHeight="1" x14ac:dyDescent="0.4">
      <c r="W1622" s="49">
        <v>46304</v>
      </c>
      <c r="X1622" s="49">
        <v>46304</v>
      </c>
      <c r="Y1622" s="49">
        <v>46304</v>
      </c>
      <c r="AY1622" s="49">
        <v>46304</v>
      </c>
      <c r="AZ1622" s="49">
        <v>46304</v>
      </c>
      <c r="BA1622" s="49">
        <v>46304</v>
      </c>
    </row>
    <row r="1623" spans="23:53" ht="16.2" customHeight="1" x14ac:dyDescent="0.4">
      <c r="W1623" s="49">
        <v>46305</v>
      </c>
      <c r="X1623" s="49">
        <v>46305</v>
      </c>
      <c r="Y1623" s="49">
        <v>46305</v>
      </c>
      <c r="AY1623" s="49">
        <v>46305</v>
      </c>
      <c r="AZ1623" s="49">
        <v>46305</v>
      </c>
      <c r="BA1623" s="49">
        <v>46305</v>
      </c>
    </row>
    <row r="1624" spans="23:53" ht="16.2" customHeight="1" x14ac:dyDescent="0.4">
      <c r="W1624" s="49">
        <v>46306</v>
      </c>
      <c r="X1624" s="49">
        <v>46306</v>
      </c>
      <c r="Y1624" s="49">
        <v>46306</v>
      </c>
      <c r="AY1624" s="49">
        <v>46306</v>
      </c>
      <c r="AZ1624" s="49">
        <v>46306</v>
      </c>
      <c r="BA1624" s="49">
        <v>46306</v>
      </c>
    </row>
    <row r="1625" spans="23:53" ht="16.2" customHeight="1" x14ac:dyDescent="0.4">
      <c r="W1625" s="49">
        <v>46312</v>
      </c>
      <c r="X1625" s="49">
        <v>46312</v>
      </c>
      <c r="Y1625" s="49">
        <v>46312</v>
      </c>
      <c r="AY1625" s="49">
        <v>46312</v>
      </c>
      <c r="AZ1625" s="49">
        <v>46312</v>
      </c>
      <c r="BA1625" s="49">
        <v>46312</v>
      </c>
    </row>
    <row r="1626" spans="23:53" ht="16.2" customHeight="1" x14ac:dyDescent="0.4">
      <c r="W1626" s="49">
        <v>46313</v>
      </c>
      <c r="X1626" s="49">
        <v>46313</v>
      </c>
      <c r="Y1626" s="49">
        <v>46313</v>
      </c>
      <c r="AY1626" s="49">
        <v>46313</v>
      </c>
      <c r="AZ1626" s="49">
        <v>46313</v>
      </c>
      <c r="BA1626" s="49">
        <v>46313</v>
      </c>
    </row>
    <row r="1627" spans="23:53" ht="16.2" customHeight="1" x14ac:dyDescent="0.4">
      <c r="W1627" s="49">
        <v>46319</v>
      </c>
      <c r="X1627" s="49">
        <v>46319</v>
      </c>
      <c r="Y1627" s="49">
        <v>46319</v>
      </c>
      <c r="AY1627" s="49">
        <v>46319</v>
      </c>
      <c r="AZ1627" s="49">
        <v>46319</v>
      </c>
      <c r="BA1627" s="49">
        <v>46319</v>
      </c>
    </row>
    <row r="1628" spans="23:53" ht="16.2" customHeight="1" x14ac:dyDescent="0.4">
      <c r="W1628" s="49">
        <v>46320</v>
      </c>
      <c r="X1628" s="49">
        <v>46320</v>
      </c>
      <c r="Y1628" s="49">
        <v>46320</v>
      </c>
      <c r="AY1628" s="49">
        <v>46320</v>
      </c>
      <c r="AZ1628" s="49">
        <v>46320</v>
      </c>
      <c r="BA1628" s="49">
        <v>46320</v>
      </c>
    </row>
    <row r="1629" spans="23:53" ht="16.2" customHeight="1" x14ac:dyDescent="0.4">
      <c r="W1629" s="49">
        <v>46326</v>
      </c>
      <c r="X1629" s="49">
        <v>46326</v>
      </c>
      <c r="Y1629" s="49">
        <v>46326</v>
      </c>
      <c r="AY1629" s="49">
        <v>46326</v>
      </c>
      <c r="AZ1629" s="49">
        <v>46326</v>
      </c>
      <c r="BA1629" s="49">
        <v>46326</v>
      </c>
    </row>
    <row r="1630" spans="23:53" ht="16.2" customHeight="1" x14ac:dyDescent="0.4">
      <c r="W1630" s="49">
        <v>46327</v>
      </c>
      <c r="X1630" s="49">
        <v>46327</v>
      </c>
      <c r="Y1630" s="49">
        <v>46327</v>
      </c>
      <c r="AY1630" s="49">
        <v>46327</v>
      </c>
      <c r="AZ1630" s="49">
        <v>46327</v>
      </c>
      <c r="BA1630" s="49">
        <v>46327</v>
      </c>
    </row>
    <row r="1631" spans="23:53" ht="16.2" customHeight="1" x14ac:dyDescent="0.4">
      <c r="W1631" s="49">
        <v>46333</v>
      </c>
      <c r="X1631" s="49">
        <v>46333</v>
      </c>
      <c r="Y1631" s="49">
        <v>46333</v>
      </c>
      <c r="AY1631" s="49">
        <v>46333</v>
      </c>
      <c r="AZ1631" s="49">
        <v>46333</v>
      </c>
      <c r="BA1631" s="49">
        <v>46333</v>
      </c>
    </row>
    <row r="1632" spans="23:53" ht="16.2" customHeight="1" x14ac:dyDescent="0.4">
      <c r="W1632" s="49">
        <v>46334</v>
      </c>
      <c r="X1632" s="49">
        <v>46334</v>
      </c>
      <c r="Y1632" s="49">
        <v>46334</v>
      </c>
      <c r="AY1632" s="49">
        <v>46334</v>
      </c>
      <c r="AZ1632" s="49">
        <v>46334</v>
      </c>
      <c r="BA1632" s="49">
        <v>46334</v>
      </c>
    </row>
    <row r="1633" spans="23:53" ht="16.2" customHeight="1" x14ac:dyDescent="0.4">
      <c r="W1633" s="49">
        <v>46340</v>
      </c>
      <c r="X1633" s="49">
        <v>46340</v>
      </c>
      <c r="Y1633" s="49">
        <v>46340</v>
      </c>
      <c r="AY1633" s="49">
        <v>46340</v>
      </c>
      <c r="AZ1633" s="49">
        <v>46340</v>
      </c>
      <c r="BA1633" s="49">
        <v>46340</v>
      </c>
    </row>
    <row r="1634" spans="23:53" ht="16.2" customHeight="1" x14ac:dyDescent="0.4">
      <c r="W1634" s="49">
        <v>46341</v>
      </c>
      <c r="X1634" s="49">
        <v>46341</v>
      </c>
      <c r="Y1634" s="49">
        <v>46341</v>
      </c>
      <c r="AY1634" s="49">
        <v>46341</v>
      </c>
      <c r="AZ1634" s="49">
        <v>46341</v>
      </c>
      <c r="BA1634" s="49">
        <v>46341</v>
      </c>
    </row>
    <row r="1635" spans="23:53" ht="16.2" customHeight="1" x14ac:dyDescent="0.4">
      <c r="W1635" s="49">
        <v>46347</v>
      </c>
      <c r="X1635" s="49">
        <v>46347</v>
      </c>
      <c r="Y1635" s="49">
        <v>46347</v>
      </c>
      <c r="AY1635" s="49">
        <v>46347</v>
      </c>
      <c r="AZ1635" s="49">
        <v>46347</v>
      </c>
      <c r="BA1635" s="49">
        <v>46347</v>
      </c>
    </row>
    <row r="1636" spans="23:53" ht="16.2" customHeight="1" x14ac:dyDescent="0.4">
      <c r="W1636" s="49">
        <v>46348</v>
      </c>
      <c r="X1636" s="49">
        <v>46348</v>
      </c>
      <c r="Y1636" s="49">
        <v>46348</v>
      </c>
      <c r="AY1636" s="49">
        <v>46348</v>
      </c>
      <c r="AZ1636" s="49">
        <v>46348</v>
      </c>
      <c r="BA1636" s="49">
        <v>46348</v>
      </c>
    </row>
    <row r="1637" spans="23:53" ht="16.2" customHeight="1" x14ac:dyDescent="0.4">
      <c r="W1637" s="49">
        <v>46354</v>
      </c>
      <c r="X1637" s="49">
        <v>46354</v>
      </c>
      <c r="Y1637" s="49">
        <v>46354</v>
      </c>
      <c r="AY1637" s="49">
        <v>46354</v>
      </c>
      <c r="AZ1637" s="49">
        <v>46354</v>
      </c>
      <c r="BA1637" s="49">
        <v>46354</v>
      </c>
    </row>
    <row r="1638" spans="23:53" ht="16.2" customHeight="1" x14ac:dyDescent="0.4">
      <c r="W1638" s="49">
        <v>46355</v>
      </c>
      <c r="X1638" s="49">
        <v>46355</v>
      </c>
      <c r="Y1638" s="49">
        <v>46355</v>
      </c>
      <c r="AY1638" s="49">
        <v>46355</v>
      </c>
      <c r="AZ1638" s="49">
        <v>46355</v>
      </c>
      <c r="BA1638" s="49">
        <v>46355</v>
      </c>
    </row>
    <row r="1639" spans="23:53" ht="16.2" customHeight="1" x14ac:dyDescent="0.4">
      <c r="W1639" s="49">
        <v>46361</v>
      </c>
      <c r="X1639" s="49">
        <v>46361</v>
      </c>
      <c r="Y1639" s="49">
        <v>46361</v>
      </c>
      <c r="AY1639" s="49">
        <v>46361</v>
      </c>
      <c r="AZ1639" s="49">
        <v>46361</v>
      </c>
      <c r="BA1639" s="49">
        <v>46361</v>
      </c>
    </row>
    <row r="1640" spans="23:53" ht="16.2" customHeight="1" x14ac:dyDescent="0.4">
      <c r="W1640" s="49">
        <v>46362</v>
      </c>
      <c r="X1640" s="49">
        <v>46362</v>
      </c>
      <c r="Y1640" s="49">
        <v>46362</v>
      </c>
      <c r="AY1640" s="49">
        <v>46362</v>
      </c>
      <c r="AZ1640" s="49">
        <v>46362</v>
      </c>
      <c r="BA1640" s="49">
        <v>46362</v>
      </c>
    </row>
    <row r="1641" spans="23:53" ht="16.2" customHeight="1" x14ac:dyDescent="0.4">
      <c r="W1641" s="49">
        <v>46368</v>
      </c>
      <c r="X1641" s="49">
        <v>46368</v>
      </c>
      <c r="Y1641" s="49">
        <v>46368</v>
      </c>
      <c r="AY1641" s="49">
        <v>46368</v>
      </c>
      <c r="AZ1641" s="49">
        <v>46368</v>
      </c>
      <c r="BA1641" s="49">
        <v>46368</v>
      </c>
    </row>
    <row r="1642" spans="23:53" ht="16.2" customHeight="1" x14ac:dyDescent="0.4">
      <c r="W1642" s="49">
        <v>46369</v>
      </c>
      <c r="X1642" s="49">
        <v>46369</v>
      </c>
      <c r="Y1642" s="49">
        <v>46369</v>
      </c>
      <c r="AY1642" s="49">
        <v>46369</v>
      </c>
      <c r="AZ1642" s="49">
        <v>46369</v>
      </c>
      <c r="BA1642" s="49">
        <v>46369</v>
      </c>
    </row>
    <row r="1643" spans="23:53" ht="16.2" customHeight="1" x14ac:dyDescent="0.4">
      <c r="W1643" s="49">
        <v>46375</v>
      </c>
      <c r="X1643" s="49">
        <v>46375</v>
      </c>
      <c r="Y1643" s="49">
        <v>46375</v>
      </c>
      <c r="AY1643" s="49">
        <v>46375</v>
      </c>
      <c r="AZ1643" s="49">
        <v>46375</v>
      </c>
      <c r="BA1643" s="49">
        <v>46375</v>
      </c>
    </row>
    <row r="1644" spans="23:53" ht="16.2" customHeight="1" x14ac:dyDescent="0.4">
      <c r="W1644" s="49">
        <v>46376</v>
      </c>
      <c r="X1644" s="49">
        <v>46376</v>
      </c>
      <c r="Y1644" s="49">
        <v>46376</v>
      </c>
      <c r="AY1644" s="49">
        <v>46376</v>
      </c>
      <c r="AZ1644" s="49">
        <v>46376</v>
      </c>
      <c r="BA1644" s="49">
        <v>46376</v>
      </c>
    </row>
    <row r="1645" spans="23:53" ht="16.2" customHeight="1" x14ac:dyDescent="0.4">
      <c r="W1645" s="49">
        <v>46381</v>
      </c>
      <c r="X1645" s="49">
        <v>46381</v>
      </c>
      <c r="Y1645" s="49">
        <v>46381</v>
      </c>
      <c r="AY1645" s="49">
        <v>46381</v>
      </c>
      <c r="AZ1645" s="49">
        <v>46381</v>
      </c>
      <c r="BA1645" s="49">
        <v>46381</v>
      </c>
    </row>
    <row r="1646" spans="23:53" ht="16.2" customHeight="1" x14ac:dyDescent="0.4">
      <c r="W1646" s="49">
        <v>46382</v>
      </c>
      <c r="X1646" s="49">
        <v>46382</v>
      </c>
      <c r="Y1646" s="49">
        <v>46382</v>
      </c>
      <c r="AY1646" s="49">
        <v>46382</v>
      </c>
      <c r="AZ1646" s="49">
        <v>46382</v>
      </c>
      <c r="BA1646" s="49">
        <v>46382</v>
      </c>
    </row>
    <row r="1647" spans="23:53" ht="16.2" customHeight="1" x14ac:dyDescent="0.4">
      <c r="W1647" s="49">
        <v>46383</v>
      </c>
      <c r="X1647" s="49">
        <v>46383</v>
      </c>
      <c r="Y1647" s="49">
        <v>46383</v>
      </c>
      <c r="AY1647" s="49">
        <v>46383</v>
      </c>
      <c r="AZ1647" s="49">
        <v>46383</v>
      </c>
      <c r="BA1647" s="49">
        <v>46383</v>
      </c>
    </row>
    <row r="1648" spans="23:53" ht="16.2" customHeight="1" x14ac:dyDescent="0.4">
      <c r="W1648" s="49">
        <v>46388</v>
      </c>
      <c r="X1648" s="49">
        <v>46388</v>
      </c>
      <c r="Y1648" s="49">
        <v>46388</v>
      </c>
      <c r="AY1648" s="49">
        <v>46388</v>
      </c>
      <c r="AZ1648" s="49">
        <v>46388</v>
      </c>
      <c r="BA1648" s="49">
        <v>46388</v>
      </c>
    </row>
    <row r="1649" spans="23:53" ht="16.2" customHeight="1" x14ac:dyDescent="0.4">
      <c r="W1649" s="49">
        <v>46389</v>
      </c>
      <c r="X1649" s="49">
        <v>46389</v>
      </c>
      <c r="Y1649" s="49">
        <v>46389</v>
      </c>
      <c r="AY1649" s="49">
        <v>46389</v>
      </c>
      <c r="AZ1649" s="49">
        <v>46389</v>
      </c>
      <c r="BA1649" s="49">
        <v>46389</v>
      </c>
    </row>
    <row r="1650" spans="23:53" ht="16.2" customHeight="1" x14ac:dyDescent="0.4">
      <c r="W1650" s="49">
        <v>46390</v>
      </c>
      <c r="X1650" s="49">
        <v>46390</v>
      </c>
      <c r="Y1650" s="49">
        <v>46390</v>
      </c>
      <c r="AY1650" s="49">
        <v>46390</v>
      </c>
      <c r="AZ1650" s="49">
        <v>46390</v>
      </c>
      <c r="BA1650" s="49">
        <v>46390</v>
      </c>
    </row>
    <row r="1651" spans="23:53" ht="16.2" customHeight="1" x14ac:dyDescent="0.4">
      <c r="W1651" s="49">
        <v>46396</v>
      </c>
      <c r="X1651" s="49">
        <v>46396</v>
      </c>
      <c r="Y1651" s="49">
        <v>46396</v>
      </c>
      <c r="AY1651" s="49">
        <v>46396</v>
      </c>
      <c r="AZ1651" s="49">
        <v>46396</v>
      </c>
      <c r="BA1651" s="49">
        <v>46396</v>
      </c>
    </row>
    <row r="1652" spans="23:53" ht="16.2" customHeight="1" x14ac:dyDescent="0.4">
      <c r="W1652" s="49">
        <v>46397</v>
      </c>
      <c r="X1652" s="49">
        <v>46397</v>
      </c>
      <c r="Y1652" s="49">
        <v>46397</v>
      </c>
      <c r="AY1652" s="49">
        <v>46397</v>
      </c>
      <c r="AZ1652" s="49">
        <v>46397</v>
      </c>
      <c r="BA1652" s="49">
        <v>46397</v>
      </c>
    </row>
    <row r="1653" spans="23:53" ht="16.2" customHeight="1" x14ac:dyDescent="0.4">
      <c r="W1653" s="49">
        <v>46403</v>
      </c>
      <c r="X1653" s="49">
        <v>46403</v>
      </c>
      <c r="Y1653" s="49">
        <v>46403</v>
      </c>
      <c r="AY1653" s="49">
        <v>46403</v>
      </c>
      <c r="AZ1653" s="49">
        <v>46403</v>
      </c>
      <c r="BA1653" s="49">
        <v>46403</v>
      </c>
    </row>
    <row r="1654" spans="23:53" ht="16.2" customHeight="1" x14ac:dyDescent="0.4">
      <c r="W1654" s="49">
        <v>46404</v>
      </c>
      <c r="X1654" s="49">
        <v>46404</v>
      </c>
      <c r="Y1654" s="49">
        <v>46404</v>
      </c>
      <c r="AY1654" s="49">
        <v>46404</v>
      </c>
      <c r="AZ1654" s="49">
        <v>46404</v>
      </c>
      <c r="BA1654" s="49">
        <v>46404</v>
      </c>
    </row>
    <row r="1655" spans="23:53" ht="16.2" customHeight="1" x14ac:dyDescent="0.4">
      <c r="W1655" s="49">
        <v>46410</v>
      </c>
      <c r="X1655" s="49">
        <v>46410</v>
      </c>
      <c r="Y1655" s="49">
        <v>46410</v>
      </c>
      <c r="AY1655" s="49">
        <v>46410</v>
      </c>
      <c r="AZ1655" s="49">
        <v>46410</v>
      </c>
      <c r="BA1655" s="49">
        <v>46410</v>
      </c>
    </row>
    <row r="1656" spans="23:53" ht="16.2" customHeight="1" x14ac:dyDescent="0.4">
      <c r="W1656" s="49">
        <v>46411</v>
      </c>
      <c r="X1656" s="49">
        <v>46411</v>
      </c>
      <c r="Y1656" s="49">
        <v>46411</v>
      </c>
      <c r="AY1656" s="49">
        <v>46411</v>
      </c>
      <c r="AZ1656" s="49">
        <v>46411</v>
      </c>
      <c r="BA1656" s="49">
        <v>46411</v>
      </c>
    </row>
    <row r="1657" spans="23:53" ht="16.2" customHeight="1" x14ac:dyDescent="0.4">
      <c r="W1657" s="49">
        <v>46417</v>
      </c>
      <c r="X1657" s="49">
        <v>46417</v>
      </c>
      <c r="Y1657" s="49">
        <v>46417</v>
      </c>
      <c r="AY1657" s="49">
        <v>46417</v>
      </c>
      <c r="AZ1657" s="49">
        <v>46417</v>
      </c>
      <c r="BA1657" s="49">
        <v>46417</v>
      </c>
    </row>
    <row r="1658" spans="23:53" ht="16.2" customHeight="1" x14ac:dyDescent="0.4">
      <c r="W1658" s="49">
        <v>46418</v>
      </c>
      <c r="X1658" s="49">
        <v>46418</v>
      </c>
      <c r="Y1658" s="49">
        <v>46418</v>
      </c>
      <c r="AY1658" s="49">
        <v>46418</v>
      </c>
      <c r="AZ1658" s="49">
        <v>46418</v>
      </c>
      <c r="BA1658" s="49">
        <v>46418</v>
      </c>
    </row>
    <row r="1659" spans="23:53" ht="16.2" customHeight="1" x14ac:dyDescent="0.4">
      <c r="W1659" s="49">
        <v>46425</v>
      </c>
      <c r="X1659" s="49">
        <v>46425</v>
      </c>
      <c r="Y1659" s="49">
        <v>46425</v>
      </c>
      <c r="AY1659" s="49">
        <v>46425</v>
      </c>
      <c r="AZ1659" s="49">
        <v>46425</v>
      </c>
      <c r="BA1659" s="49">
        <v>46425</v>
      </c>
    </row>
    <row r="1660" spans="23:53" ht="16.2" customHeight="1" x14ac:dyDescent="0.4">
      <c r="W1660" s="49">
        <v>46426</v>
      </c>
      <c r="X1660" s="49">
        <v>46426</v>
      </c>
      <c r="Y1660" s="49">
        <v>46426</v>
      </c>
      <c r="AY1660" s="49">
        <v>46426</v>
      </c>
      <c r="AZ1660" s="49">
        <v>46426</v>
      </c>
      <c r="BA1660" s="49">
        <v>46426</v>
      </c>
    </row>
    <row r="1661" spans="23:53" ht="16.2" customHeight="1" x14ac:dyDescent="0.4">
      <c r="W1661" s="49">
        <v>46431</v>
      </c>
      <c r="X1661" s="49">
        <v>46431</v>
      </c>
      <c r="Y1661" s="49">
        <v>46431</v>
      </c>
      <c r="AY1661" s="49">
        <v>46431</v>
      </c>
      <c r="AZ1661" s="49">
        <v>46431</v>
      </c>
      <c r="BA1661" s="49">
        <v>46431</v>
      </c>
    </row>
    <row r="1662" spans="23:53" ht="16.2" customHeight="1" x14ac:dyDescent="0.4">
      <c r="W1662" s="49">
        <v>46432</v>
      </c>
      <c r="X1662" s="49">
        <v>46432</v>
      </c>
      <c r="Y1662" s="49">
        <v>46432</v>
      </c>
      <c r="AY1662" s="49">
        <v>46432</v>
      </c>
      <c r="AZ1662" s="49">
        <v>46432</v>
      </c>
      <c r="BA1662" s="49">
        <v>46432</v>
      </c>
    </row>
    <row r="1663" spans="23:53" ht="16.2" customHeight="1" x14ac:dyDescent="0.4">
      <c r="W1663" s="49">
        <v>46438</v>
      </c>
      <c r="X1663" s="49">
        <v>46438</v>
      </c>
      <c r="Y1663" s="49">
        <v>46438</v>
      </c>
      <c r="AY1663" s="49">
        <v>46438</v>
      </c>
      <c r="AZ1663" s="49">
        <v>46438</v>
      </c>
      <c r="BA1663" s="49">
        <v>46438</v>
      </c>
    </row>
    <row r="1664" spans="23:53" ht="16.2" customHeight="1" x14ac:dyDescent="0.4">
      <c r="W1664" s="49">
        <v>46439</v>
      </c>
      <c r="X1664" s="49">
        <v>46439</v>
      </c>
      <c r="Y1664" s="49">
        <v>46439</v>
      </c>
      <c r="AY1664" s="49">
        <v>46439</v>
      </c>
      <c r="AZ1664" s="49">
        <v>46439</v>
      </c>
      <c r="BA1664" s="49">
        <v>46439</v>
      </c>
    </row>
    <row r="1665" spans="23:53" ht="16.2" customHeight="1" x14ac:dyDescent="0.4">
      <c r="W1665" s="49">
        <v>46445</v>
      </c>
      <c r="X1665" s="49">
        <v>46445</v>
      </c>
      <c r="Y1665" s="49">
        <v>46445</v>
      </c>
      <c r="AY1665" s="49">
        <v>46445</v>
      </c>
      <c r="AZ1665" s="49">
        <v>46445</v>
      </c>
      <c r="BA1665" s="49">
        <v>46445</v>
      </c>
    </row>
    <row r="1666" spans="23:53" ht="16.2" customHeight="1" x14ac:dyDescent="0.4">
      <c r="W1666" s="49">
        <v>46446</v>
      </c>
      <c r="X1666" s="49">
        <v>46446</v>
      </c>
      <c r="Y1666" s="49">
        <v>46446</v>
      </c>
      <c r="AY1666" s="49">
        <v>46446</v>
      </c>
      <c r="AZ1666" s="49">
        <v>46446</v>
      </c>
      <c r="BA1666" s="49">
        <v>46446</v>
      </c>
    </row>
    <row r="1667" spans="23:53" ht="16.2" customHeight="1" x14ac:dyDescent="0.4">
      <c r="W1667" s="49">
        <v>46447</v>
      </c>
      <c r="X1667" s="49">
        <v>46447</v>
      </c>
      <c r="Y1667" s="49">
        <v>46447</v>
      </c>
      <c r="AY1667" s="49">
        <v>46447</v>
      </c>
      <c r="AZ1667" s="49">
        <v>46447</v>
      </c>
      <c r="BA1667" s="49">
        <v>46447</v>
      </c>
    </row>
    <row r="1668" spans="23:53" ht="16.2" customHeight="1" x14ac:dyDescent="0.4">
      <c r="W1668" s="49">
        <v>46452</v>
      </c>
      <c r="X1668" s="49">
        <v>46452</v>
      </c>
      <c r="Y1668" s="49">
        <v>46452</v>
      </c>
      <c r="AY1668" s="49">
        <v>46452</v>
      </c>
      <c r="AZ1668" s="49">
        <v>46452</v>
      </c>
      <c r="BA1668" s="49">
        <v>46452</v>
      </c>
    </row>
    <row r="1669" spans="23:53" ht="16.2" customHeight="1" x14ac:dyDescent="0.4">
      <c r="W1669" s="49">
        <v>46453</v>
      </c>
      <c r="X1669" s="49">
        <v>46453</v>
      </c>
      <c r="Y1669" s="49">
        <v>46453</v>
      </c>
      <c r="AY1669" s="49">
        <v>46453</v>
      </c>
      <c r="AZ1669" s="49">
        <v>46453</v>
      </c>
      <c r="BA1669" s="49">
        <v>46453</v>
      </c>
    </row>
    <row r="1670" spans="23:53" ht="16.2" customHeight="1" x14ac:dyDescent="0.4">
      <c r="W1670" s="49">
        <v>46459</v>
      </c>
      <c r="X1670" s="49">
        <v>46459</v>
      </c>
      <c r="Y1670" s="49">
        <v>46459</v>
      </c>
      <c r="AY1670" s="49">
        <v>46459</v>
      </c>
      <c r="AZ1670" s="49">
        <v>46459</v>
      </c>
      <c r="BA1670" s="49">
        <v>46459</v>
      </c>
    </row>
    <row r="1671" spans="23:53" ht="16.2" customHeight="1" x14ac:dyDescent="0.4">
      <c r="W1671" s="49">
        <v>46460</v>
      </c>
      <c r="X1671" s="49">
        <v>46460</v>
      </c>
      <c r="Y1671" s="49">
        <v>46460</v>
      </c>
      <c r="AY1671" s="49">
        <v>46460</v>
      </c>
      <c r="AZ1671" s="49">
        <v>46460</v>
      </c>
      <c r="BA1671" s="49">
        <v>46460</v>
      </c>
    </row>
    <row r="1672" spans="23:53" ht="16.2" customHeight="1" x14ac:dyDescent="0.4">
      <c r="W1672" s="49">
        <v>46466</v>
      </c>
      <c r="X1672" s="49">
        <v>46466</v>
      </c>
      <c r="Y1672" s="49">
        <v>46466</v>
      </c>
      <c r="AY1672" s="49">
        <v>46466</v>
      </c>
      <c r="AZ1672" s="49">
        <v>46466</v>
      </c>
      <c r="BA1672" s="49">
        <v>46466</v>
      </c>
    </row>
    <row r="1673" spans="23:53" ht="16.2" customHeight="1" x14ac:dyDescent="0.4">
      <c r="W1673" s="49">
        <v>46467</v>
      </c>
      <c r="X1673" s="49">
        <v>46467</v>
      </c>
      <c r="Y1673" s="49">
        <v>46467</v>
      </c>
      <c r="AY1673" s="49">
        <v>46467</v>
      </c>
      <c r="AZ1673" s="49">
        <v>46467</v>
      </c>
      <c r="BA1673" s="49">
        <v>46467</v>
      </c>
    </row>
    <row r="1674" spans="23:53" ht="16.2" customHeight="1" x14ac:dyDescent="0.4">
      <c r="W1674" s="49">
        <v>46473</v>
      </c>
      <c r="X1674" s="49">
        <v>46473</v>
      </c>
      <c r="Y1674" s="49">
        <v>46473</v>
      </c>
      <c r="AY1674" s="49">
        <v>46473</v>
      </c>
      <c r="AZ1674" s="49">
        <v>46473</v>
      </c>
      <c r="BA1674" s="49">
        <v>46473</v>
      </c>
    </row>
    <row r="1675" spans="23:53" ht="16.2" customHeight="1" x14ac:dyDescent="0.4">
      <c r="W1675" s="49">
        <v>46474</v>
      </c>
      <c r="X1675" s="49">
        <v>46474</v>
      </c>
      <c r="Y1675" s="49">
        <v>46474</v>
      </c>
      <c r="AY1675" s="49">
        <v>46474</v>
      </c>
      <c r="AZ1675" s="49">
        <v>46474</v>
      </c>
      <c r="BA1675" s="49">
        <v>46474</v>
      </c>
    </row>
    <row r="1676" spans="23:53" ht="16.2" customHeight="1" x14ac:dyDescent="0.4">
      <c r="W1676" s="49">
        <v>46480</v>
      </c>
      <c r="X1676" s="49">
        <v>46480</v>
      </c>
      <c r="Y1676" s="49">
        <v>46480</v>
      </c>
      <c r="AY1676" s="49">
        <v>46480</v>
      </c>
      <c r="AZ1676" s="49">
        <v>46480</v>
      </c>
      <c r="BA1676" s="49">
        <v>46480</v>
      </c>
    </row>
    <row r="1677" spans="23:53" ht="16.2" customHeight="1" x14ac:dyDescent="0.4">
      <c r="W1677" s="49">
        <v>46481</v>
      </c>
      <c r="X1677" s="49">
        <v>46481</v>
      </c>
      <c r="Y1677" s="49">
        <v>46481</v>
      </c>
      <c r="AY1677" s="49">
        <v>46481</v>
      </c>
      <c r="AZ1677" s="49">
        <v>46481</v>
      </c>
      <c r="BA1677" s="49">
        <v>46481</v>
      </c>
    </row>
    <row r="1678" spans="23:53" ht="16.2" customHeight="1" x14ac:dyDescent="0.4">
      <c r="W1678" s="49">
        <v>46487</v>
      </c>
      <c r="X1678" s="49">
        <v>46487</v>
      </c>
      <c r="Y1678" s="49">
        <v>46487</v>
      </c>
      <c r="AY1678" s="49">
        <v>46487</v>
      </c>
      <c r="AZ1678" s="49">
        <v>46487</v>
      </c>
      <c r="BA1678" s="49">
        <v>46487</v>
      </c>
    </row>
    <row r="1679" spans="23:53" ht="16.2" customHeight="1" x14ac:dyDescent="0.4">
      <c r="W1679" s="49">
        <v>46488</v>
      </c>
      <c r="X1679" s="49">
        <v>46488</v>
      </c>
      <c r="Y1679" s="49">
        <v>46488</v>
      </c>
      <c r="AY1679" s="49">
        <v>46488</v>
      </c>
      <c r="AZ1679" s="49">
        <v>46488</v>
      </c>
      <c r="BA1679" s="49">
        <v>46488</v>
      </c>
    </row>
    <row r="1680" spans="23:53" ht="16.2" customHeight="1" x14ac:dyDescent="0.4">
      <c r="W1680" s="49">
        <v>46494</v>
      </c>
      <c r="X1680" s="49">
        <v>46494</v>
      </c>
      <c r="Y1680" s="49">
        <v>46494</v>
      </c>
      <c r="AY1680" s="49">
        <v>46494</v>
      </c>
      <c r="AZ1680" s="49">
        <v>46494</v>
      </c>
      <c r="BA1680" s="49">
        <v>46494</v>
      </c>
    </row>
    <row r="1681" spans="23:53" ht="16.2" customHeight="1" x14ac:dyDescent="0.4">
      <c r="W1681" s="49">
        <v>46495</v>
      </c>
      <c r="X1681" s="49">
        <v>46495</v>
      </c>
      <c r="Y1681" s="49">
        <v>46495</v>
      </c>
      <c r="AY1681" s="49">
        <v>46495</v>
      </c>
      <c r="AZ1681" s="49">
        <v>46495</v>
      </c>
      <c r="BA1681" s="49">
        <v>46495</v>
      </c>
    </row>
    <row r="1682" spans="23:53" ht="16.2" customHeight="1" x14ac:dyDescent="0.4">
      <c r="W1682" s="49">
        <v>46501</v>
      </c>
      <c r="X1682" s="49">
        <v>46501</v>
      </c>
      <c r="Y1682" s="49">
        <v>46501</v>
      </c>
      <c r="AY1682" s="49">
        <v>46501</v>
      </c>
      <c r="AZ1682" s="49">
        <v>46501</v>
      </c>
      <c r="BA1682" s="49">
        <v>46501</v>
      </c>
    </row>
    <row r="1683" spans="23:53" ht="16.2" customHeight="1" x14ac:dyDescent="0.4">
      <c r="W1683" s="49">
        <v>46502</v>
      </c>
      <c r="X1683" s="49">
        <v>46502</v>
      </c>
      <c r="Y1683" s="49">
        <v>46502</v>
      </c>
      <c r="AY1683" s="49">
        <v>46502</v>
      </c>
      <c r="AZ1683" s="49">
        <v>46502</v>
      </c>
      <c r="BA1683" s="49">
        <v>46502</v>
      </c>
    </row>
    <row r="1684" spans="23:53" ht="16.2" customHeight="1" x14ac:dyDescent="0.4">
      <c r="W1684" s="49">
        <v>46509</v>
      </c>
      <c r="X1684" s="49">
        <v>46509</v>
      </c>
      <c r="Y1684" s="49">
        <v>46509</v>
      </c>
      <c r="AY1684" s="49">
        <v>46509</v>
      </c>
      <c r="AZ1684" s="49">
        <v>46509</v>
      </c>
      <c r="BA1684" s="49">
        <v>46509</v>
      </c>
    </row>
    <row r="1685" spans="23:53" ht="16.2" customHeight="1" x14ac:dyDescent="0.4">
      <c r="W1685" s="49">
        <v>46512</v>
      </c>
      <c r="X1685" s="49">
        <v>46512</v>
      </c>
      <c r="Y1685" s="49">
        <v>46512</v>
      </c>
      <c r="AY1685" s="49">
        <v>46512</v>
      </c>
      <c r="AZ1685" s="49">
        <v>46512</v>
      </c>
      <c r="BA1685" s="49">
        <v>46512</v>
      </c>
    </row>
    <row r="1686" spans="23:53" ht="16.2" customHeight="1" x14ac:dyDescent="0.4">
      <c r="W1686" s="49">
        <v>46515</v>
      </c>
      <c r="X1686" s="49">
        <v>46515</v>
      </c>
      <c r="Y1686" s="49">
        <v>46515</v>
      </c>
      <c r="AY1686" s="49">
        <v>46515</v>
      </c>
      <c r="AZ1686" s="49">
        <v>46515</v>
      </c>
      <c r="BA1686" s="49">
        <v>46515</v>
      </c>
    </row>
    <row r="1687" spans="23:53" ht="16.2" customHeight="1" x14ac:dyDescent="0.4">
      <c r="W1687" s="49">
        <v>46516</v>
      </c>
      <c r="X1687" s="49">
        <v>46516</v>
      </c>
      <c r="Y1687" s="49">
        <v>46516</v>
      </c>
      <c r="AY1687" s="49">
        <v>46516</v>
      </c>
      <c r="AZ1687" s="49">
        <v>46516</v>
      </c>
      <c r="BA1687" s="49">
        <v>46516</v>
      </c>
    </row>
    <row r="1688" spans="23:53" ht="16.2" customHeight="1" x14ac:dyDescent="0.4">
      <c r="W1688" s="49">
        <v>46520</v>
      </c>
      <c r="X1688" s="49">
        <v>46520</v>
      </c>
      <c r="Y1688" s="49">
        <v>46520</v>
      </c>
      <c r="AY1688" s="49">
        <v>46520</v>
      </c>
      <c r="AZ1688" s="49">
        <v>46520</v>
      </c>
      <c r="BA1688" s="49">
        <v>46520</v>
      </c>
    </row>
    <row r="1689" spans="23:53" ht="16.2" customHeight="1" x14ac:dyDescent="0.4">
      <c r="W1689" s="49">
        <v>46522</v>
      </c>
      <c r="X1689" s="49">
        <v>46522</v>
      </c>
      <c r="Y1689" s="49">
        <v>46522</v>
      </c>
      <c r="AY1689" s="49">
        <v>46522</v>
      </c>
      <c r="AZ1689" s="49">
        <v>46522</v>
      </c>
      <c r="BA1689" s="49">
        <v>46522</v>
      </c>
    </row>
    <row r="1690" spans="23:53" ht="16.2" customHeight="1" x14ac:dyDescent="0.4">
      <c r="W1690" s="49">
        <v>46523</v>
      </c>
      <c r="X1690" s="49">
        <v>46523</v>
      </c>
      <c r="Y1690" s="49">
        <v>46523</v>
      </c>
      <c r="AY1690" s="49">
        <v>46523</v>
      </c>
      <c r="AZ1690" s="49">
        <v>46523</v>
      </c>
      <c r="BA1690" s="49">
        <v>46523</v>
      </c>
    </row>
    <row r="1691" spans="23:53" ht="16.2" customHeight="1" x14ac:dyDescent="0.4">
      <c r="W1691" s="49">
        <v>46529</v>
      </c>
      <c r="X1691" s="49">
        <v>46529</v>
      </c>
      <c r="Y1691" s="49">
        <v>46529</v>
      </c>
      <c r="AY1691" s="49">
        <v>46529</v>
      </c>
      <c r="AZ1691" s="49">
        <v>46529</v>
      </c>
      <c r="BA1691" s="49">
        <v>46529</v>
      </c>
    </row>
    <row r="1692" spans="23:53" ht="16.2" customHeight="1" x14ac:dyDescent="0.4">
      <c r="W1692" s="49">
        <v>46530</v>
      </c>
      <c r="X1692" s="49">
        <v>46530</v>
      </c>
      <c r="Y1692" s="49">
        <v>46530</v>
      </c>
      <c r="AY1692" s="49">
        <v>46530</v>
      </c>
      <c r="AZ1692" s="49">
        <v>46530</v>
      </c>
      <c r="BA1692" s="49">
        <v>46530</v>
      </c>
    </row>
    <row r="1693" spans="23:53" ht="16.2" customHeight="1" x14ac:dyDescent="0.4">
      <c r="W1693" s="49">
        <v>46536</v>
      </c>
      <c r="X1693" s="49">
        <v>46536</v>
      </c>
      <c r="Y1693" s="49">
        <v>46536</v>
      </c>
      <c r="AY1693" s="49">
        <v>46536</v>
      </c>
      <c r="AZ1693" s="49">
        <v>46536</v>
      </c>
      <c r="BA1693" s="49">
        <v>46536</v>
      </c>
    </row>
    <row r="1694" spans="23:53" ht="16.2" customHeight="1" x14ac:dyDescent="0.4">
      <c r="W1694" s="49">
        <v>46537</v>
      </c>
      <c r="X1694" s="49">
        <v>46537</v>
      </c>
      <c r="Y1694" s="49">
        <v>46537</v>
      </c>
      <c r="AY1694" s="49">
        <v>46537</v>
      </c>
      <c r="AZ1694" s="49">
        <v>46537</v>
      </c>
      <c r="BA1694" s="49">
        <v>46537</v>
      </c>
    </row>
    <row r="1695" spans="23:53" ht="16.2" customHeight="1" x14ac:dyDescent="0.4">
      <c r="W1695" s="49">
        <v>46543</v>
      </c>
      <c r="X1695" s="49">
        <v>46543</v>
      </c>
      <c r="Y1695" s="49">
        <v>46543</v>
      </c>
      <c r="AY1695" s="49">
        <v>46543</v>
      </c>
      <c r="AZ1695" s="49">
        <v>46543</v>
      </c>
      <c r="BA1695" s="49">
        <v>46543</v>
      </c>
    </row>
    <row r="1696" spans="23:53" ht="16.2" customHeight="1" x14ac:dyDescent="0.4">
      <c r="W1696" s="49">
        <v>46544</v>
      </c>
      <c r="X1696" s="49">
        <v>46544</v>
      </c>
      <c r="Y1696" s="49">
        <v>46544</v>
      </c>
      <c r="AY1696" s="49">
        <v>46544</v>
      </c>
      <c r="AZ1696" s="49">
        <v>46544</v>
      </c>
      <c r="BA1696" s="49">
        <v>46544</v>
      </c>
    </row>
    <row r="1697" spans="23:53" ht="16.2" customHeight="1" x14ac:dyDescent="0.4">
      <c r="W1697" s="49">
        <v>46550</v>
      </c>
      <c r="X1697" s="49">
        <v>46550</v>
      </c>
      <c r="Y1697" s="49">
        <v>46550</v>
      </c>
      <c r="AY1697" s="49">
        <v>46550</v>
      </c>
      <c r="AZ1697" s="49">
        <v>46550</v>
      </c>
      <c r="BA1697" s="49">
        <v>46550</v>
      </c>
    </row>
    <row r="1698" spans="23:53" ht="16.2" customHeight="1" x14ac:dyDescent="0.4">
      <c r="W1698" s="49">
        <v>46551</v>
      </c>
      <c r="X1698" s="49">
        <v>46551</v>
      </c>
      <c r="Y1698" s="49">
        <v>46551</v>
      </c>
      <c r="AY1698" s="49">
        <v>46551</v>
      </c>
      <c r="AZ1698" s="49">
        <v>46551</v>
      </c>
      <c r="BA1698" s="49">
        <v>46551</v>
      </c>
    </row>
    <row r="1699" spans="23:53" ht="16.2" customHeight="1" x14ac:dyDescent="0.4">
      <c r="W1699" s="49">
        <v>46557</v>
      </c>
      <c r="X1699" s="49">
        <v>46557</v>
      </c>
      <c r="Y1699" s="49">
        <v>46557</v>
      </c>
      <c r="AY1699" s="49">
        <v>46557</v>
      </c>
      <c r="AZ1699" s="49">
        <v>46557</v>
      </c>
      <c r="BA1699" s="49">
        <v>46557</v>
      </c>
    </row>
    <row r="1700" spans="23:53" ht="16.2" customHeight="1" x14ac:dyDescent="0.4">
      <c r="W1700" s="49">
        <v>46558</v>
      </c>
      <c r="X1700" s="49">
        <v>46558</v>
      </c>
      <c r="Y1700" s="49">
        <v>46558</v>
      </c>
      <c r="AY1700" s="49">
        <v>46558</v>
      </c>
      <c r="AZ1700" s="49">
        <v>46558</v>
      </c>
      <c r="BA1700" s="49">
        <v>46558</v>
      </c>
    </row>
    <row r="1701" spans="23:53" ht="16.2" customHeight="1" x14ac:dyDescent="0.4">
      <c r="W1701" s="49">
        <v>46564</v>
      </c>
      <c r="X1701" s="49">
        <v>46564</v>
      </c>
      <c r="Y1701" s="49">
        <v>46564</v>
      </c>
      <c r="AY1701" s="49">
        <v>46564</v>
      </c>
      <c r="AZ1701" s="49">
        <v>46564</v>
      </c>
      <c r="BA1701" s="49">
        <v>46564</v>
      </c>
    </row>
    <row r="1702" spans="23:53" ht="16.2" customHeight="1" x14ac:dyDescent="0.4">
      <c r="W1702" s="49">
        <v>46565</v>
      </c>
      <c r="X1702" s="49">
        <v>46565</v>
      </c>
      <c r="Y1702" s="49">
        <v>46565</v>
      </c>
      <c r="AY1702" s="49">
        <v>46565</v>
      </c>
      <c r="AZ1702" s="49">
        <v>46565</v>
      </c>
      <c r="BA1702" s="49">
        <v>46565</v>
      </c>
    </row>
    <row r="1703" spans="23:53" ht="16.2" customHeight="1" x14ac:dyDescent="0.4">
      <c r="W1703" s="49">
        <v>46571</v>
      </c>
      <c r="X1703" s="49">
        <v>46571</v>
      </c>
      <c r="Y1703" s="49">
        <v>46571</v>
      </c>
      <c r="AY1703" s="49">
        <v>46571</v>
      </c>
      <c r="AZ1703" s="49">
        <v>46571</v>
      </c>
      <c r="BA1703" s="49">
        <v>46571</v>
      </c>
    </row>
    <row r="1704" spans="23:53" ht="16.2" customHeight="1" x14ac:dyDescent="0.4">
      <c r="W1704" s="49">
        <v>46572</v>
      </c>
      <c r="X1704" s="49">
        <v>46572</v>
      </c>
      <c r="Y1704" s="49">
        <v>46572</v>
      </c>
      <c r="AY1704" s="49">
        <v>46572</v>
      </c>
      <c r="AZ1704" s="49">
        <v>46572</v>
      </c>
      <c r="BA1704" s="49">
        <v>46572</v>
      </c>
    </row>
    <row r="1705" spans="23:53" ht="16.2" customHeight="1" x14ac:dyDescent="0.4">
      <c r="W1705" s="49">
        <v>46578</v>
      </c>
      <c r="X1705" s="49">
        <v>46578</v>
      </c>
      <c r="Y1705" s="49">
        <v>46578</v>
      </c>
      <c r="AY1705" s="49">
        <v>46578</v>
      </c>
      <c r="AZ1705" s="49">
        <v>46578</v>
      </c>
      <c r="BA1705" s="49">
        <v>46578</v>
      </c>
    </row>
    <row r="1706" spans="23:53" ht="16.2" customHeight="1" x14ac:dyDescent="0.4">
      <c r="W1706" s="49">
        <v>46579</v>
      </c>
      <c r="X1706" s="49">
        <v>46579</v>
      </c>
      <c r="Y1706" s="49">
        <v>46579</v>
      </c>
      <c r="AY1706" s="49">
        <v>46579</v>
      </c>
      <c r="AZ1706" s="49">
        <v>46579</v>
      </c>
      <c r="BA1706" s="49">
        <v>46579</v>
      </c>
    </row>
    <row r="1707" spans="23:53" ht="16.2" customHeight="1" x14ac:dyDescent="0.4">
      <c r="W1707" s="49">
        <v>46585</v>
      </c>
      <c r="X1707" s="49">
        <v>46585</v>
      </c>
      <c r="Y1707" s="49">
        <v>46585</v>
      </c>
      <c r="AY1707" s="49">
        <v>46585</v>
      </c>
      <c r="AZ1707" s="49">
        <v>46585</v>
      </c>
      <c r="BA1707" s="49">
        <v>46585</v>
      </c>
    </row>
    <row r="1708" spans="23:53" ht="16.2" customHeight="1" x14ac:dyDescent="0.4">
      <c r="W1708" s="49">
        <v>46586</v>
      </c>
      <c r="X1708" s="49">
        <v>46586</v>
      </c>
      <c r="Y1708" s="49">
        <v>46586</v>
      </c>
      <c r="AY1708" s="49">
        <v>46586</v>
      </c>
      <c r="AZ1708" s="49">
        <v>46586</v>
      </c>
      <c r="BA1708" s="49">
        <v>46586</v>
      </c>
    </row>
    <row r="1709" spans="23:53" ht="16.2" customHeight="1" x14ac:dyDescent="0.4">
      <c r="W1709" s="49">
        <v>46592</v>
      </c>
      <c r="X1709" s="49">
        <v>46592</v>
      </c>
      <c r="Y1709" s="49">
        <v>46592</v>
      </c>
      <c r="AY1709" s="49">
        <v>46592</v>
      </c>
      <c r="AZ1709" s="49">
        <v>46592</v>
      </c>
      <c r="BA1709" s="49">
        <v>46592</v>
      </c>
    </row>
    <row r="1710" spans="23:53" ht="16.2" customHeight="1" x14ac:dyDescent="0.4">
      <c r="W1710" s="49">
        <v>46593</v>
      </c>
      <c r="X1710" s="49">
        <v>46593</v>
      </c>
      <c r="Y1710" s="49">
        <v>46593</v>
      </c>
      <c r="AY1710" s="49">
        <v>46593</v>
      </c>
      <c r="AZ1710" s="49">
        <v>46593</v>
      </c>
      <c r="BA1710" s="49">
        <v>46593</v>
      </c>
    </row>
    <row r="1711" spans="23:53" ht="16.2" customHeight="1" x14ac:dyDescent="0.4">
      <c r="W1711" s="49">
        <v>46599</v>
      </c>
      <c r="X1711" s="49">
        <v>46599</v>
      </c>
      <c r="Y1711" s="49">
        <v>46599</v>
      </c>
      <c r="AY1711" s="49">
        <v>46599</v>
      </c>
      <c r="AZ1711" s="49">
        <v>46599</v>
      </c>
      <c r="BA1711" s="49">
        <v>46599</v>
      </c>
    </row>
    <row r="1712" spans="23:53" ht="16.2" customHeight="1" x14ac:dyDescent="0.4">
      <c r="W1712" s="49">
        <v>46600</v>
      </c>
      <c r="X1712" s="49">
        <v>46600</v>
      </c>
      <c r="Y1712" s="49">
        <v>46600</v>
      </c>
      <c r="AY1712" s="49">
        <v>46600</v>
      </c>
      <c r="AZ1712" s="49">
        <v>46600</v>
      </c>
      <c r="BA1712" s="49">
        <v>46600</v>
      </c>
    </row>
    <row r="1713" spans="23:53" ht="16.2" customHeight="1" x14ac:dyDescent="0.4">
      <c r="W1713" s="49">
        <v>46606</v>
      </c>
      <c r="X1713" s="49">
        <v>46606</v>
      </c>
      <c r="Y1713" s="49">
        <v>46606</v>
      </c>
      <c r="AY1713" s="49">
        <v>46606</v>
      </c>
      <c r="AZ1713" s="49">
        <v>46606</v>
      </c>
      <c r="BA1713" s="49">
        <v>46606</v>
      </c>
    </row>
    <row r="1714" spans="23:53" ht="16.2" customHeight="1" x14ac:dyDescent="0.4">
      <c r="W1714" s="49">
        <v>46607</v>
      </c>
      <c r="X1714" s="49">
        <v>46607</v>
      </c>
      <c r="Y1714" s="49">
        <v>46607</v>
      </c>
      <c r="AY1714" s="49">
        <v>46607</v>
      </c>
      <c r="AZ1714" s="49">
        <v>46607</v>
      </c>
      <c r="BA1714" s="49">
        <v>46607</v>
      </c>
    </row>
    <row r="1715" spans="23:53" ht="16.2" customHeight="1" x14ac:dyDescent="0.4">
      <c r="W1715" s="49">
        <v>46613</v>
      </c>
      <c r="X1715" s="49">
        <v>46613</v>
      </c>
      <c r="Y1715" s="49">
        <v>46613</v>
      </c>
      <c r="AY1715" s="49">
        <v>46613</v>
      </c>
      <c r="AZ1715" s="49">
        <v>46613</v>
      </c>
      <c r="BA1715" s="49">
        <v>46613</v>
      </c>
    </row>
    <row r="1716" spans="23:53" ht="16.2" customHeight="1" x14ac:dyDescent="0.4">
      <c r="W1716" s="49">
        <v>46614</v>
      </c>
      <c r="X1716" s="49">
        <v>46614</v>
      </c>
      <c r="Y1716" s="49">
        <v>46614</v>
      </c>
      <c r="AY1716" s="49">
        <v>46614</v>
      </c>
      <c r="AZ1716" s="49">
        <v>46614</v>
      </c>
      <c r="BA1716" s="49">
        <v>46614</v>
      </c>
    </row>
    <row r="1717" spans="23:53" ht="16.2" customHeight="1" x14ac:dyDescent="0.4">
      <c r="W1717" s="49">
        <v>46620</v>
      </c>
      <c r="X1717" s="49">
        <v>46620</v>
      </c>
      <c r="Y1717" s="49">
        <v>46620</v>
      </c>
      <c r="AY1717" s="49">
        <v>46620</v>
      </c>
      <c r="AZ1717" s="49">
        <v>46620</v>
      </c>
      <c r="BA1717" s="49">
        <v>46620</v>
      </c>
    </row>
    <row r="1718" spans="23:53" ht="16.2" customHeight="1" x14ac:dyDescent="0.4">
      <c r="W1718" s="49">
        <v>46621</v>
      </c>
      <c r="X1718" s="49">
        <v>46621</v>
      </c>
      <c r="Y1718" s="49">
        <v>46621</v>
      </c>
      <c r="AY1718" s="49">
        <v>46621</v>
      </c>
      <c r="AZ1718" s="49">
        <v>46621</v>
      </c>
      <c r="BA1718" s="49">
        <v>46621</v>
      </c>
    </row>
    <row r="1719" spans="23:53" ht="16.2" customHeight="1" x14ac:dyDescent="0.4">
      <c r="W1719" s="49">
        <v>46627</v>
      </c>
      <c r="X1719" s="49">
        <v>46627</v>
      </c>
      <c r="Y1719" s="49">
        <v>46627</v>
      </c>
      <c r="AY1719" s="49">
        <v>46627</v>
      </c>
      <c r="AZ1719" s="49">
        <v>46627</v>
      </c>
      <c r="BA1719" s="49">
        <v>46627</v>
      </c>
    </row>
    <row r="1720" spans="23:53" ht="16.2" customHeight="1" x14ac:dyDescent="0.4">
      <c r="W1720" s="49">
        <v>46628</v>
      </c>
      <c r="X1720" s="49">
        <v>46628</v>
      </c>
      <c r="Y1720" s="49">
        <v>46628</v>
      </c>
      <c r="AY1720" s="49">
        <v>46628</v>
      </c>
      <c r="AZ1720" s="49">
        <v>46628</v>
      </c>
      <c r="BA1720" s="49">
        <v>46628</v>
      </c>
    </row>
    <row r="1721" spans="23:53" ht="16.2" customHeight="1" x14ac:dyDescent="0.4">
      <c r="W1721" s="49">
        <v>46634</v>
      </c>
      <c r="X1721" s="49">
        <v>46634</v>
      </c>
      <c r="Y1721" s="49">
        <v>46634</v>
      </c>
      <c r="AY1721" s="49">
        <v>46634</v>
      </c>
      <c r="AZ1721" s="49">
        <v>46634</v>
      </c>
      <c r="BA1721" s="49">
        <v>46634</v>
      </c>
    </row>
    <row r="1722" spans="23:53" ht="16.2" customHeight="1" x14ac:dyDescent="0.4">
      <c r="W1722" s="49">
        <v>46635</v>
      </c>
      <c r="X1722" s="49">
        <v>46635</v>
      </c>
      <c r="Y1722" s="49">
        <v>46635</v>
      </c>
      <c r="AY1722" s="49">
        <v>46635</v>
      </c>
      <c r="AZ1722" s="49">
        <v>46635</v>
      </c>
      <c r="BA1722" s="49">
        <v>46635</v>
      </c>
    </row>
    <row r="1723" spans="23:53" ht="16.2" customHeight="1" x14ac:dyDescent="0.4">
      <c r="W1723" s="49">
        <v>46641</v>
      </c>
      <c r="X1723" s="49">
        <v>46641</v>
      </c>
      <c r="Y1723" s="49">
        <v>46641</v>
      </c>
      <c r="AY1723" s="49">
        <v>46641</v>
      </c>
      <c r="AZ1723" s="49">
        <v>46641</v>
      </c>
      <c r="BA1723" s="49">
        <v>46641</v>
      </c>
    </row>
    <row r="1724" spans="23:53" ht="16.2" customHeight="1" x14ac:dyDescent="0.4">
      <c r="W1724" s="49">
        <v>46642</v>
      </c>
      <c r="X1724" s="49">
        <v>46642</v>
      </c>
      <c r="Y1724" s="49">
        <v>46642</v>
      </c>
      <c r="AY1724" s="49">
        <v>46642</v>
      </c>
      <c r="AZ1724" s="49">
        <v>46642</v>
      </c>
      <c r="BA1724" s="49">
        <v>46642</v>
      </c>
    </row>
    <row r="1725" spans="23:53" ht="16.2" customHeight="1" x14ac:dyDescent="0.4">
      <c r="W1725" s="49">
        <v>46644</v>
      </c>
      <c r="X1725" s="49">
        <v>46644</v>
      </c>
      <c r="Y1725" s="49">
        <v>46644</v>
      </c>
      <c r="AY1725" s="49">
        <v>46644</v>
      </c>
      <c r="AZ1725" s="49">
        <v>46644</v>
      </c>
      <c r="BA1725" s="49">
        <v>46644</v>
      </c>
    </row>
    <row r="1726" spans="23:53" ht="16.2" customHeight="1" x14ac:dyDescent="0.4">
      <c r="W1726" s="49">
        <v>46645</v>
      </c>
      <c r="X1726" s="49">
        <v>46645</v>
      </c>
      <c r="Y1726" s="49">
        <v>46645</v>
      </c>
      <c r="AY1726" s="49">
        <v>46645</v>
      </c>
      <c r="AZ1726" s="49">
        <v>46645</v>
      </c>
      <c r="BA1726" s="49">
        <v>46645</v>
      </c>
    </row>
    <row r="1727" spans="23:53" ht="16.2" customHeight="1" x14ac:dyDescent="0.4">
      <c r="W1727" s="49">
        <v>46646</v>
      </c>
      <c r="X1727" s="49">
        <v>46646</v>
      </c>
      <c r="Y1727" s="49">
        <v>46646</v>
      </c>
      <c r="AY1727" s="49">
        <v>46646</v>
      </c>
      <c r="AZ1727" s="49">
        <v>46646</v>
      </c>
      <c r="BA1727" s="49">
        <v>46646</v>
      </c>
    </row>
    <row r="1728" spans="23:53" ht="16.2" customHeight="1" x14ac:dyDescent="0.4">
      <c r="W1728" s="49">
        <v>46648</v>
      </c>
      <c r="X1728" s="49">
        <v>46648</v>
      </c>
      <c r="Y1728" s="49">
        <v>46648</v>
      </c>
      <c r="AY1728" s="49">
        <v>46648</v>
      </c>
      <c r="AZ1728" s="49">
        <v>46648</v>
      </c>
      <c r="BA1728" s="49">
        <v>46648</v>
      </c>
    </row>
    <row r="1729" spans="23:53" ht="16.2" customHeight="1" x14ac:dyDescent="0.4">
      <c r="W1729" s="49">
        <v>46649</v>
      </c>
      <c r="X1729" s="49">
        <v>46649</v>
      </c>
      <c r="Y1729" s="49">
        <v>46649</v>
      </c>
      <c r="AY1729" s="49">
        <v>46649</v>
      </c>
      <c r="AZ1729" s="49">
        <v>46649</v>
      </c>
      <c r="BA1729" s="49">
        <v>46649</v>
      </c>
    </row>
    <row r="1730" spans="23:53" ht="16.2" customHeight="1" x14ac:dyDescent="0.4">
      <c r="W1730" s="49">
        <v>46655</v>
      </c>
      <c r="X1730" s="49">
        <v>46655</v>
      </c>
      <c r="Y1730" s="49">
        <v>46655</v>
      </c>
      <c r="AY1730" s="49">
        <v>46655</v>
      </c>
      <c r="AZ1730" s="49">
        <v>46655</v>
      </c>
      <c r="BA1730" s="49">
        <v>46655</v>
      </c>
    </row>
    <row r="1731" spans="23:53" ht="16.2" customHeight="1" x14ac:dyDescent="0.4">
      <c r="W1731" s="49">
        <v>46656</v>
      </c>
      <c r="X1731" s="49">
        <v>46656</v>
      </c>
      <c r="Y1731" s="49">
        <v>46656</v>
      </c>
      <c r="AY1731" s="49">
        <v>46656</v>
      </c>
      <c r="AZ1731" s="49">
        <v>46656</v>
      </c>
      <c r="BA1731" s="49">
        <v>46656</v>
      </c>
    </row>
    <row r="1732" spans="23:53" ht="16.2" customHeight="1" x14ac:dyDescent="0.4">
      <c r="W1732" s="49">
        <v>46662</v>
      </c>
      <c r="X1732" s="49">
        <v>46662</v>
      </c>
      <c r="Y1732" s="49">
        <v>46662</v>
      </c>
      <c r="AY1732" s="49">
        <v>46662</v>
      </c>
      <c r="AZ1732" s="49">
        <v>46662</v>
      </c>
      <c r="BA1732" s="49">
        <v>46662</v>
      </c>
    </row>
    <row r="1733" spans="23:53" ht="16.2" customHeight="1" x14ac:dyDescent="0.4">
      <c r="W1733" s="49">
        <v>46663</v>
      </c>
      <c r="X1733" s="49">
        <v>46663</v>
      </c>
      <c r="Y1733" s="49">
        <v>46663</v>
      </c>
      <c r="AY1733" s="49">
        <v>46663</v>
      </c>
      <c r="AZ1733" s="49">
        <v>46663</v>
      </c>
      <c r="BA1733" s="49">
        <v>46663</v>
      </c>
    </row>
    <row r="1734" spans="23:53" ht="16.2" customHeight="1" x14ac:dyDescent="0.4">
      <c r="W1734" s="49">
        <v>46669</v>
      </c>
      <c r="X1734" s="49">
        <v>46669</v>
      </c>
      <c r="Y1734" s="49">
        <v>46669</v>
      </c>
      <c r="AY1734" s="49">
        <v>46669</v>
      </c>
      <c r="AZ1734" s="49">
        <v>46669</v>
      </c>
      <c r="BA1734" s="49">
        <v>46669</v>
      </c>
    </row>
    <row r="1735" spans="23:53" ht="16.2" customHeight="1" x14ac:dyDescent="0.4">
      <c r="W1735" s="49">
        <v>46670</v>
      </c>
      <c r="X1735" s="49">
        <v>46670</v>
      </c>
      <c r="Y1735" s="49">
        <v>46670</v>
      </c>
      <c r="AY1735" s="49">
        <v>46670</v>
      </c>
      <c r="AZ1735" s="49">
        <v>46670</v>
      </c>
      <c r="BA1735" s="49">
        <v>46670</v>
      </c>
    </row>
    <row r="1736" spans="23:53" ht="16.2" customHeight="1" x14ac:dyDescent="0.4">
      <c r="W1736" s="49">
        <v>46676</v>
      </c>
      <c r="X1736" s="49">
        <v>46676</v>
      </c>
      <c r="Y1736" s="49">
        <v>46676</v>
      </c>
      <c r="AY1736" s="49">
        <v>46676</v>
      </c>
      <c r="AZ1736" s="49">
        <v>46676</v>
      </c>
      <c r="BA1736" s="49">
        <v>46676</v>
      </c>
    </row>
    <row r="1737" spans="23:53" ht="16.2" customHeight="1" x14ac:dyDescent="0.4">
      <c r="W1737" s="49">
        <v>46677</v>
      </c>
      <c r="X1737" s="49">
        <v>46677</v>
      </c>
      <c r="Y1737" s="49">
        <v>46677</v>
      </c>
      <c r="AY1737" s="49">
        <v>46677</v>
      </c>
      <c r="AZ1737" s="49">
        <v>46677</v>
      </c>
      <c r="BA1737" s="49">
        <v>46677</v>
      </c>
    </row>
    <row r="1738" spans="23:53" ht="16.2" customHeight="1" x14ac:dyDescent="0.4">
      <c r="W1738" s="49">
        <v>46683</v>
      </c>
      <c r="X1738" s="49">
        <v>46683</v>
      </c>
      <c r="Y1738" s="49">
        <v>46683</v>
      </c>
      <c r="AY1738" s="49">
        <v>46683</v>
      </c>
      <c r="AZ1738" s="49">
        <v>46683</v>
      </c>
      <c r="BA1738" s="49">
        <v>46683</v>
      </c>
    </row>
    <row r="1739" spans="23:53" ht="16.2" customHeight="1" x14ac:dyDescent="0.4">
      <c r="W1739" s="49">
        <v>46684</v>
      </c>
      <c r="X1739" s="49">
        <v>46684</v>
      </c>
      <c r="Y1739" s="49">
        <v>46684</v>
      </c>
      <c r="AY1739" s="49">
        <v>46684</v>
      </c>
      <c r="AZ1739" s="49">
        <v>46684</v>
      </c>
      <c r="BA1739" s="49">
        <v>46684</v>
      </c>
    </row>
    <row r="1740" spans="23:53" ht="16.2" customHeight="1" x14ac:dyDescent="0.4">
      <c r="W1740" s="49">
        <v>46690</v>
      </c>
      <c r="X1740" s="49">
        <v>46690</v>
      </c>
      <c r="Y1740" s="49">
        <v>46690</v>
      </c>
      <c r="AY1740" s="49">
        <v>46690</v>
      </c>
      <c r="AZ1740" s="49">
        <v>46690</v>
      </c>
      <c r="BA1740" s="49">
        <v>46690</v>
      </c>
    </row>
    <row r="1741" spans="23:53" ht="16.2" customHeight="1" x14ac:dyDescent="0.4">
      <c r="W1741" s="49">
        <v>46691</v>
      </c>
      <c r="X1741" s="49">
        <v>46691</v>
      </c>
      <c r="Y1741" s="49">
        <v>46691</v>
      </c>
      <c r="AY1741" s="49">
        <v>46691</v>
      </c>
      <c r="AZ1741" s="49">
        <v>46691</v>
      </c>
      <c r="BA1741" s="49">
        <v>46691</v>
      </c>
    </row>
    <row r="1742" spans="23:53" ht="16.2" customHeight="1" x14ac:dyDescent="0.4">
      <c r="W1742" s="49">
        <v>46697</v>
      </c>
      <c r="X1742" s="49">
        <v>46697</v>
      </c>
      <c r="Y1742" s="49">
        <v>46697</v>
      </c>
      <c r="AY1742" s="49">
        <v>46697</v>
      </c>
      <c r="AZ1742" s="49">
        <v>46697</v>
      </c>
      <c r="BA1742" s="49">
        <v>46697</v>
      </c>
    </row>
    <row r="1743" spans="23:53" ht="16.2" customHeight="1" x14ac:dyDescent="0.4">
      <c r="W1743" s="49">
        <v>46698</v>
      </c>
      <c r="X1743" s="49">
        <v>46698</v>
      </c>
      <c r="Y1743" s="49">
        <v>46698</v>
      </c>
      <c r="AY1743" s="49">
        <v>46698</v>
      </c>
      <c r="AZ1743" s="49">
        <v>46698</v>
      </c>
      <c r="BA1743" s="49">
        <v>46698</v>
      </c>
    </row>
    <row r="1744" spans="23:53" ht="16.2" customHeight="1" x14ac:dyDescent="0.4">
      <c r="W1744" s="49">
        <v>46704</v>
      </c>
      <c r="X1744" s="49">
        <v>46704</v>
      </c>
      <c r="Y1744" s="49">
        <v>46704</v>
      </c>
      <c r="AY1744" s="49">
        <v>46704</v>
      </c>
      <c r="AZ1744" s="49">
        <v>46704</v>
      </c>
      <c r="BA1744" s="49">
        <v>46704</v>
      </c>
    </row>
    <row r="1745" spans="23:53" ht="16.2" customHeight="1" x14ac:dyDescent="0.4">
      <c r="W1745" s="49">
        <v>46705</v>
      </c>
      <c r="X1745" s="49">
        <v>46705</v>
      </c>
      <c r="Y1745" s="49">
        <v>46705</v>
      </c>
      <c r="AY1745" s="49">
        <v>46705</v>
      </c>
      <c r="AZ1745" s="49">
        <v>46705</v>
      </c>
      <c r="BA1745" s="49">
        <v>46705</v>
      </c>
    </row>
    <row r="1746" spans="23:53" ht="16.2" customHeight="1" x14ac:dyDescent="0.4">
      <c r="W1746" s="49">
        <v>46711</v>
      </c>
      <c r="X1746" s="49">
        <v>46711</v>
      </c>
      <c r="Y1746" s="49">
        <v>46711</v>
      </c>
      <c r="AY1746" s="49">
        <v>46711</v>
      </c>
      <c r="AZ1746" s="49">
        <v>46711</v>
      </c>
      <c r="BA1746" s="49">
        <v>46711</v>
      </c>
    </row>
    <row r="1747" spans="23:53" ht="16.2" customHeight="1" x14ac:dyDescent="0.4">
      <c r="W1747" s="49">
        <v>46712</v>
      </c>
      <c r="X1747" s="49">
        <v>46712</v>
      </c>
      <c r="Y1747" s="49">
        <v>46712</v>
      </c>
      <c r="AY1747" s="49">
        <v>46712</v>
      </c>
      <c r="AZ1747" s="49">
        <v>46712</v>
      </c>
      <c r="BA1747" s="49">
        <v>46712</v>
      </c>
    </row>
    <row r="1748" spans="23:53" ht="16.2" customHeight="1" x14ac:dyDescent="0.4">
      <c r="W1748" s="49">
        <v>46718</v>
      </c>
      <c r="X1748" s="49">
        <v>46718</v>
      </c>
      <c r="Y1748" s="49">
        <v>46718</v>
      </c>
      <c r="AY1748" s="49">
        <v>46718</v>
      </c>
      <c r="AZ1748" s="49">
        <v>46718</v>
      </c>
      <c r="BA1748" s="49">
        <v>46718</v>
      </c>
    </row>
    <row r="1749" spans="23:53" ht="16.2" customHeight="1" x14ac:dyDescent="0.4">
      <c r="W1749" s="49">
        <v>46719</v>
      </c>
      <c r="X1749" s="49">
        <v>46719</v>
      </c>
      <c r="Y1749" s="49">
        <v>46719</v>
      </c>
      <c r="AY1749" s="49">
        <v>46719</v>
      </c>
      <c r="AZ1749" s="49">
        <v>46719</v>
      </c>
      <c r="BA1749" s="49">
        <v>46719</v>
      </c>
    </row>
    <row r="1750" spans="23:53" ht="16.2" customHeight="1" x14ac:dyDescent="0.4">
      <c r="W1750" s="49">
        <v>46725</v>
      </c>
      <c r="X1750" s="49">
        <v>46725</v>
      </c>
      <c r="Y1750" s="49">
        <v>46725</v>
      </c>
      <c r="AY1750" s="49">
        <v>46725</v>
      </c>
      <c r="AZ1750" s="49">
        <v>46725</v>
      </c>
      <c r="BA1750" s="49">
        <v>46725</v>
      </c>
    </row>
    <row r="1751" spans="23:53" ht="16.2" customHeight="1" x14ac:dyDescent="0.4">
      <c r="W1751" s="49">
        <v>46726</v>
      </c>
      <c r="X1751" s="49">
        <v>46726</v>
      </c>
      <c r="Y1751" s="49">
        <v>46726</v>
      </c>
      <c r="AY1751" s="49">
        <v>46726</v>
      </c>
      <c r="AZ1751" s="49">
        <v>46726</v>
      </c>
      <c r="BA1751" s="49">
        <v>46726</v>
      </c>
    </row>
    <row r="1752" spans="23:53" ht="16.2" customHeight="1" x14ac:dyDescent="0.4">
      <c r="W1752" s="49">
        <v>46732</v>
      </c>
      <c r="X1752" s="49">
        <v>46732</v>
      </c>
      <c r="Y1752" s="49">
        <v>46732</v>
      </c>
      <c r="AY1752" s="49">
        <v>46732</v>
      </c>
      <c r="AZ1752" s="49">
        <v>46732</v>
      </c>
      <c r="BA1752" s="49">
        <v>46732</v>
      </c>
    </row>
    <row r="1753" spans="23:53" ht="16.2" customHeight="1" x14ac:dyDescent="0.4">
      <c r="W1753" s="49">
        <v>46733</v>
      </c>
      <c r="X1753" s="49">
        <v>46733</v>
      </c>
      <c r="Y1753" s="49">
        <v>46733</v>
      </c>
      <c r="AY1753" s="49">
        <v>46733</v>
      </c>
      <c r="AZ1753" s="49">
        <v>46733</v>
      </c>
      <c r="BA1753" s="49">
        <v>46733</v>
      </c>
    </row>
    <row r="1754" spans="23:53" ht="16.2" customHeight="1" x14ac:dyDescent="0.4">
      <c r="W1754" s="49">
        <v>46739</v>
      </c>
      <c r="X1754" s="49">
        <v>46739</v>
      </c>
      <c r="Y1754" s="49">
        <v>46739</v>
      </c>
      <c r="AY1754" s="49">
        <v>46739</v>
      </c>
      <c r="AZ1754" s="49">
        <v>46739</v>
      </c>
      <c r="BA1754" s="49">
        <v>46739</v>
      </c>
    </row>
    <row r="1755" spans="23:53" ht="16.2" customHeight="1" x14ac:dyDescent="0.4">
      <c r="W1755" s="49">
        <v>46740</v>
      </c>
      <c r="X1755" s="49">
        <v>46740</v>
      </c>
      <c r="Y1755" s="49">
        <v>46740</v>
      </c>
      <c r="AY1755" s="49">
        <v>46740</v>
      </c>
      <c r="AZ1755" s="49">
        <v>46740</v>
      </c>
      <c r="BA1755" s="49">
        <v>46740</v>
      </c>
    </row>
    <row r="1756" spans="23:53" ht="16.2" customHeight="1" x14ac:dyDescent="0.4">
      <c r="W1756" s="49">
        <v>46747</v>
      </c>
      <c r="X1756" s="49">
        <v>46747</v>
      </c>
      <c r="Y1756" s="49">
        <v>46747</v>
      </c>
      <c r="AY1756" s="49">
        <v>46747</v>
      </c>
      <c r="AZ1756" s="49">
        <v>46747</v>
      </c>
      <c r="BA1756" s="49">
        <v>46747</v>
      </c>
    </row>
    <row r="1757" spans="23:53" ht="16.2" customHeight="1" x14ac:dyDescent="0.4">
      <c r="W1757" s="49">
        <v>46754</v>
      </c>
      <c r="X1757" s="49">
        <v>46754</v>
      </c>
      <c r="Y1757" s="49">
        <v>46754</v>
      </c>
      <c r="AY1757" s="49">
        <v>46754</v>
      </c>
      <c r="AZ1757" s="49">
        <v>46754</v>
      </c>
      <c r="BA1757" s="49">
        <v>46754</v>
      </c>
    </row>
    <row r="1758" spans="23:53" ht="16.2" customHeight="1" x14ac:dyDescent="0.4">
      <c r="W1758" s="49">
        <v>46760</v>
      </c>
      <c r="X1758" s="49">
        <v>46760</v>
      </c>
      <c r="Y1758" s="49">
        <v>46760</v>
      </c>
      <c r="AY1758" s="49">
        <v>46760</v>
      </c>
      <c r="AZ1758" s="49">
        <v>46760</v>
      </c>
      <c r="BA1758" s="49">
        <v>46760</v>
      </c>
    </row>
    <row r="1759" spans="23:53" ht="16.2" customHeight="1" x14ac:dyDescent="0.4">
      <c r="W1759" s="49">
        <v>46761</v>
      </c>
      <c r="X1759" s="49">
        <v>46761</v>
      </c>
      <c r="Y1759" s="49">
        <v>46761</v>
      </c>
      <c r="AY1759" s="49">
        <v>46761</v>
      </c>
      <c r="AZ1759" s="49">
        <v>46761</v>
      </c>
      <c r="BA1759" s="49">
        <v>46761</v>
      </c>
    </row>
    <row r="1760" spans="23:53" ht="16.2" customHeight="1" x14ac:dyDescent="0.4">
      <c r="W1760" s="49">
        <v>46767</v>
      </c>
      <c r="X1760" s="49">
        <v>46767</v>
      </c>
      <c r="Y1760" s="49">
        <v>46767</v>
      </c>
      <c r="AY1760" s="49">
        <v>46767</v>
      </c>
      <c r="AZ1760" s="49">
        <v>46767</v>
      </c>
      <c r="BA1760" s="49">
        <v>46767</v>
      </c>
    </row>
    <row r="1761" spans="23:53" ht="16.2" customHeight="1" x14ac:dyDescent="0.4">
      <c r="W1761" s="49">
        <v>46768</v>
      </c>
      <c r="X1761" s="49">
        <v>46768</v>
      </c>
      <c r="Y1761" s="49">
        <v>46768</v>
      </c>
      <c r="AY1761" s="49">
        <v>46768</v>
      </c>
      <c r="AZ1761" s="49">
        <v>46768</v>
      </c>
      <c r="BA1761" s="49">
        <v>46768</v>
      </c>
    </row>
    <row r="1762" spans="23:53" ht="16.2" customHeight="1" x14ac:dyDescent="0.4">
      <c r="W1762" s="49">
        <v>46774</v>
      </c>
      <c r="X1762" s="49">
        <v>46774</v>
      </c>
      <c r="Y1762" s="49">
        <v>46774</v>
      </c>
      <c r="AY1762" s="49">
        <v>46774</v>
      </c>
      <c r="AZ1762" s="49">
        <v>46774</v>
      </c>
      <c r="BA1762" s="49">
        <v>46774</v>
      </c>
    </row>
    <row r="1763" spans="23:53" ht="16.2" customHeight="1" x14ac:dyDescent="0.4">
      <c r="W1763" s="49">
        <v>46775</v>
      </c>
      <c r="X1763" s="49">
        <v>46775</v>
      </c>
      <c r="Y1763" s="49">
        <v>46775</v>
      </c>
      <c r="AY1763" s="49">
        <v>46775</v>
      </c>
      <c r="AZ1763" s="49">
        <v>46775</v>
      </c>
      <c r="BA1763" s="49">
        <v>46775</v>
      </c>
    </row>
    <row r="1764" spans="23:53" ht="16.2" customHeight="1" x14ac:dyDescent="0.4">
      <c r="W1764" s="49">
        <v>46778</v>
      </c>
      <c r="X1764" s="49">
        <v>46778</v>
      </c>
      <c r="Y1764" s="49">
        <v>46778</v>
      </c>
      <c r="AY1764" s="49">
        <v>46778</v>
      </c>
      <c r="AZ1764" s="49">
        <v>46778</v>
      </c>
      <c r="BA1764" s="49">
        <v>46778</v>
      </c>
    </row>
    <row r="1765" spans="23:53" ht="16.2" customHeight="1" x14ac:dyDescent="0.4">
      <c r="W1765" s="49">
        <v>46779</v>
      </c>
      <c r="X1765" s="49">
        <v>46779</v>
      </c>
      <c r="Y1765" s="49">
        <v>46779</v>
      </c>
      <c r="AY1765" s="49">
        <v>46779</v>
      </c>
      <c r="AZ1765" s="49">
        <v>46779</v>
      </c>
      <c r="BA1765" s="49">
        <v>46779</v>
      </c>
    </row>
    <row r="1766" spans="23:53" ht="16.2" customHeight="1" x14ac:dyDescent="0.4">
      <c r="W1766" s="49">
        <v>46780</v>
      </c>
      <c r="X1766" s="49">
        <v>46780</v>
      </c>
      <c r="Y1766" s="49">
        <v>46780</v>
      </c>
      <c r="AY1766" s="49">
        <v>46780</v>
      </c>
      <c r="AZ1766" s="49">
        <v>46780</v>
      </c>
      <c r="BA1766" s="49">
        <v>46780</v>
      </c>
    </row>
    <row r="1767" spans="23:53" ht="16.2" customHeight="1" x14ac:dyDescent="0.4">
      <c r="W1767" s="49">
        <v>46781</v>
      </c>
      <c r="X1767" s="49">
        <v>46781</v>
      </c>
      <c r="Y1767" s="49">
        <v>46781</v>
      </c>
      <c r="AY1767" s="49">
        <v>46781</v>
      </c>
      <c r="AZ1767" s="49">
        <v>46781</v>
      </c>
      <c r="BA1767" s="49">
        <v>46781</v>
      </c>
    </row>
    <row r="1768" spans="23:53" ht="16.2" customHeight="1" x14ac:dyDescent="0.4">
      <c r="W1768" s="49">
        <v>46782</v>
      </c>
      <c r="X1768" s="49">
        <v>46782</v>
      </c>
      <c r="Y1768" s="49">
        <v>46782</v>
      </c>
      <c r="AY1768" s="49">
        <v>46782</v>
      </c>
      <c r="AZ1768" s="49">
        <v>46782</v>
      </c>
      <c r="BA1768" s="49">
        <v>46782</v>
      </c>
    </row>
    <row r="1769" spans="23:53" ht="16.2" customHeight="1" x14ac:dyDescent="0.4">
      <c r="W1769" s="49">
        <v>46788</v>
      </c>
      <c r="X1769" s="49">
        <v>46788</v>
      </c>
      <c r="Y1769" s="49">
        <v>46788</v>
      </c>
      <c r="AY1769" s="49">
        <v>46788</v>
      </c>
      <c r="AZ1769" s="49">
        <v>46788</v>
      </c>
      <c r="BA1769" s="49">
        <v>46788</v>
      </c>
    </row>
    <row r="1770" spans="23:53" ht="16.2" customHeight="1" x14ac:dyDescent="0.4">
      <c r="W1770" s="49">
        <v>46789</v>
      </c>
      <c r="X1770" s="49">
        <v>46789</v>
      </c>
      <c r="Y1770" s="49">
        <v>46789</v>
      </c>
      <c r="AY1770" s="49">
        <v>46789</v>
      </c>
      <c r="AZ1770" s="49">
        <v>46789</v>
      </c>
      <c r="BA1770" s="49">
        <v>46789</v>
      </c>
    </row>
    <row r="1771" spans="23:53" ht="16.2" customHeight="1" x14ac:dyDescent="0.4">
      <c r="W1771" s="49">
        <v>46795</v>
      </c>
      <c r="X1771" s="49">
        <v>46795</v>
      </c>
      <c r="Y1771" s="49">
        <v>46795</v>
      </c>
      <c r="AY1771" s="49">
        <v>46795</v>
      </c>
      <c r="AZ1771" s="49">
        <v>46795</v>
      </c>
      <c r="BA1771" s="49">
        <v>46795</v>
      </c>
    </row>
    <row r="1772" spans="23:53" ht="16.2" customHeight="1" x14ac:dyDescent="0.4">
      <c r="W1772" s="49">
        <v>46796</v>
      </c>
      <c r="X1772" s="49">
        <v>46796</v>
      </c>
      <c r="Y1772" s="49">
        <v>46796</v>
      </c>
      <c r="AY1772" s="49">
        <v>46796</v>
      </c>
      <c r="AZ1772" s="49">
        <v>46796</v>
      </c>
      <c r="BA1772" s="49">
        <v>46796</v>
      </c>
    </row>
    <row r="1773" spans="23:53" ht="16.2" customHeight="1" x14ac:dyDescent="0.4">
      <c r="W1773" s="49">
        <v>46802</v>
      </c>
      <c r="X1773" s="49">
        <v>46802</v>
      </c>
      <c r="Y1773" s="49">
        <v>46802</v>
      </c>
      <c r="AY1773" s="49">
        <v>46802</v>
      </c>
      <c r="AZ1773" s="49">
        <v>46802</v>
      </c>
      <c r="BA1773" s="49">
        <v>46802</v>
      </c>
    </row>
    <row r="1774" spans="23:53" ht="16.2" customHeight="1" x14ac:dyDescent="0.4">
      <c r="W1774" s="49">
        <v>46803</v>
      </c>
      <c r="X1774" s="49">
        <v>46803</v>
      </c>
      <c r="Y1774" s="49">
        <v>46803</v>
      </c>
      <c r="AY1774" s="49">
        <v>46803</v>
      </c>
      <c r="AZ1774" s="49">
        <v>46803</v>
      </c>
      <c r="BA1774" s="49">
        <v>46803</v>
      </c>
    </row>
    <row r="1775" spans="23:53" ht="16.2" customHeight="1" x14ac:dyDescent="0.4">
      <c r="W1775" s="49">
        <v>46809</v>
      </c>
      <c r="X1775" s="49">
        <v>46809</v>
      </c>
      <c r="Y1775" s="49">
        <v>46809</v>
      </c>
      <c r="AY1775" s="49">
        <v>46809</v>
      </c>
      <c r="AZ1775" s="49">
        <v>46809</v>
      </c>
      <c r="BA1775" s="49">
        <v>46809</v>
      </c>
    </row>
    <row r="1776" spans="23:53" ht="16.2" customHeight="1" x14ac:dyDescent="0.4">
      <c r="W1776" s="49">
        <v>46810</v>
      </c>
      <c r="X1776" s="49">
        <v>46810</v>
      </c>
      <c r="Y1776" s="49">
        <v>46810</v>
      </c>
      <c r="AY1776" s="49">
        <v>46810</v>
      </c>
      <c r="AZ1776" s="49">
        <v>46810</v>
      </c>
      <c r="BA1776" s="49">
        <v>46810</v>
      </c>
    </row>
    <row r="1777" spans="23:53" ht="16.2" customHeight="1" x14ac:dyDescent="0.4">
      <c r="W1777" s="49">
        <v>46813</v>
      </c>
      <c r="X1777" s="49">
        <v>46813</v>
      </c>
      <c r="Y1777" s="49">
        <v>46813</v>
      </c>
      <c r="AY1777" s="49">
        <v>46813</v>
      </c>
      <c r="AZ1777" s="49">
        <v>46813</v>
      </c>
      <c r="BA1777" s="49">
        <v>46813</v>
      </c>
    </row>
    <row r="1778" spans="23:53" ht="16.2" customHeight="1" x14ac:dyDescent="0.4">
      <c r="W1778" s="49">
        <v>46816</v>
      </c>
      <c r="X1778" s="49">
        <v>46816</v>
      </c>
      <c r="Y1778" s="49">
        <v>46816</v>
      </c>
      <c r="AY1778" s="49">
        <v>46816</v>
      </c>
      <c r="AZ1778" s="49">
        <v>46816</v>
      </c>
      <c r="BA1778" s="49">
        <v>46816</v>
      </c>
    </row>
    <row r="1779" spans="23:53" ht="16.2" customHeight="1" x14ac:dyDescent="0.4">
      <c r="W1779" s="49">
        <v>46817</v>
      </c>
      <c r="X1779" s="49">
        <v>46817</v>
      </c>
      <c r="Y1779" s="49">
        <v>46817</v>
      </c>
      <c r="AY1779" s="49">
        <v>46817</v>
      </c>
      <c r="AZ1779" s="49">
        <v>46817</v>
      </c>
      <c r="BA1779" s="49">
        <v>46817</v>
      </c>
    </row>
    <row r="1780" spans="23:53" ht="16.2" customHeight="1" x14ac:dyDescent="0.4">
      <c r="W1780" s="49">
        <v>46823</v>
      </c>
      <c r="X1780" s="49">
        <v>46823</v>
      </c>
      <c r="Y1780" s="49">
        <v>46823</v>
      </c>
      <c r="AY1780" s="49">
        <v>46823</v>
      </c>
      <c r="AZ1780" s="49">
        <v>46823</v>
      </c>
      <c r="BA1780" s="49">
        <v>46823</v>
      </c>
    </row>
    <row r="1781" spans="23:53" ht="16.2" customHeight="1" x14ac:dyDescent="0.4">
      <c r="W1781" s="49">
        <v>46824</v>
      </c>
      <c r="X1781" s="49">
        <v>46824</v>
      </c>
      <c r="Y1781" s="49">
        <v>46824</v>
      </c>
      <c r="AY1781" s="49">
        <v>46824</v>
      </c>
      <c r="AZ1781" s="49">
        <v>46824</v>
      </c>
      <c r="BA1781" s="49">
        <v>46824</v>
      </c>
    </row>
    <row r="1782" spans="23:53" ht="16.2" customHeight="1" x14ac:dyDescent="0.4">
      <c r="W1782" s="49">
        <v>46830</v>
      </c>
      <c r="X1782" s="49">
        <v>46830</v>
      </c>
      <c r="Y1782" s="49">
        <v>46830</v>
      </c>
      <c r="AY1782" s="49">
        <v>46830</v>
      </c>
      <c r="AZ1782" s="49">
        <v>46830</v>
      </c>
      <c r="BA1782" s="49">
        <v>46830</v>
      </c>
    </row>
    <row r="1783" spans="23:53" ht="16.2" customHeight="1" x14ac:dyDescent="0.4">
      <c r="W1783" s="49">
        <v>46831</v>
      </c>
      <c r="X1783" s="49">
        <v>46831</v>
      </c>
      <c r="Y1783" s="49">
        <v>46831</v>
      </c>
      <c r="AY1783" s="49">
        <v>46831</v>
      </c>
      <c r="AZ1783" s="49">
        <v>46831</v>
      </c>
      <c r="BA1783" s="49">
        <v>46831</v>
      </c>
    </row>
    <row r="1784" spans="23:53" ht="16.2" customHeight="1" x14ac:dyDescent="0.4">
      <c r="W1784" s="49">
        <v>46837</v>
      </c>
      <c r="X1784" s="49">
        <v>46837</v>
      </c>
      <c r="Y1784" s="49">
        <v>46837</v>
      </c>
      <c r="AY1784" s="49">
        <v>46837</v>
      </c>
      <c r="AZ1784" s="49">
        <v>46837</v>
      </c>
      <c r="BA1784" s="49">
        <v>46837</v>
      </c>
    </row>
    <row r="1785" spans="23:53" ht="16.2" customHeight="1" x14ac:dyDescent="0.4">
      <c r="W1785" s="49">
        <v>46838</v>
      </c>
      <c r="X1785" s="49">
        <v>46838</v>
      </c>
      <c r="Y1785" s="49">
        <v>46838</v>
      </c>
      <c r="AY1785" s="49">
        <v>46838</v>
      </c>
      <c r="AZ1785" s="49">
        <v>46838</v>
      </c>
      <c r="BA1785" s="49">
        <v>46838</v>
      </c>
    </row>
    <row r="1786" spans="23:53" ht="16.2" customHeight="1" x14ac:dyDescent="0.4">
      <c r="W1786" s="49">
        <v>46844</v>
      </c>
      <c r="X1786" s="49">
        <v>46844</v>
      </c>
      <c r="Y1786" s="49">
        <v>46844</v>
      </c>
      <c r="AY1786" s="49">
        <v>46844</v>
      </c>
      <c r="AZ1786" s="49">
        <v>46844</v>
      </c>
      <c r="BA1786" s="49">
        <v>46844</v>
      </c>
    </row>
    <row r="1787" spans="23:53" ht="16.2" customHeight="1" x14ac:dyDescent="0.4">
      <c r="W1787" s="49">
        <v>46845</v>
      </c>
      <c r="X1787" s="49">
        <v>46845</v>
      </c>
      <c r="Y1787" s="49">
        <v>46845</v>
      </c>
      <c r="AY1787" s="49">
        <v>46845</v>
      </c>
      <c r="AZ1787" s="49">
        <v>46845</v>
      </c>
      <c r="BA1787" s="49">
        <v>46845</v>
      </c>
    </row>
    <row r="1788" spans="23:53" ht="16.2" customHeight="1" x14ac:dyDescent="0.4">
      <c r="W1788" s="49">
        <v>46851</v>
      </c>
      <c r="X1788" s="49">
        <v>46851</v>
      </c>
      <c r="Y1788" s="49">
        <v>46851</v>
      </c>
      <c r="AY1788" s="49">
        <v>46851</v>
      </c>
      <c r="AZ1788" s="49">
        <v>46851</v>
      </c>
      <c r="BA1788" s="49">
        <v>46851</v>
      </c>
    </row>
    <row r="1789" spans="23:53" ht="16.2" customHeight="1" x14ac:dyDescent="0.4">
      <c r="W1789" s="49">
        <v>46852</v>
      </c>
      <c r="X1789" s="49">
        <v>46852</v>
      </c>
      <c r="Y1789" s="49">
        <v>46852</v>
      </c>
      <c r="AY1789" s="49">
        <v>46852</v>
      </c>
      <c r="AZ1789" s="49">
        <v>46852</v>
      </c>
      <c r="BA1789" s="49">
        <v>46852</v>
      </c>
    </row>
    <row r="1790" spans="23:53" ht="16.2" customHeight="1" x14ac:dyDescent="0.4">
      <c r="W1790" s="49">
        <v>46858</v>
      </c>
      <c r="X1790" s="49">
        <v>46858</v>
      </c>
      <c r="Y1790" s="49">
        <v>46858</v>
      </c>
      <c r="AY1790" s="49">
        <v>46858</v>
      </c>
      <c r="AZ1790" s="49">
        <v>46858</v>
      </c>
      <c r="BA1790" s="49">
        <v>46858</v>
      </c>
    </row>
    <row r="1791" spans="23:53" ht="16.2" customHeight="1" x14ac:dyDescent="0.4">
      <c r="W1791" s="49">
        <v>46859</v>
      </c>
      <c r="X1791" s="49">
        <v>46859</v>
      </c>
      <c r="Y1791" s="49">
        <v>46859</v>
      </c>
      <c r="AY1791" s="49">
        <v>46859</v>
      </c>
      <c r="AZ1791" s="49">
        <v>46859</v>
      </c>
      <c r="BA1791" s="49">
        <v>46859</v>
      </c>
    </row>
    <row r="1792" spans="23:53" ht="16.2" customHeight="1" x14ac:dyDescent="0.4">
      <c r="W1792" s="49">
        <v>46865</v>
      </c>
      <c r="X1792" s="49">
        <v>46865</v>
      </c>
      <c r="Y1792" s="49">
        <v>46865</v>
      </c>
      <c r="AY1792" s="49">
        <v>46865</v>
      </c>
      <c r="AZ1792" s="49">
        <v>46865</v>
      </c>
      <c r="BA1792" s="49">
        <v>46865</v>
      </c>
    </row>
    <row r="1793" spans="23:53" ht="16.2" customHeight="1" x14ac:dyDescent="0.4">
      <c r="W1793" s="49">
        <v>46866</v>
      </c>
      <c r="X1793" s="49">
        <v>46866</v>
      </c>
      <c r="Y1793" s="49">
        <v>46866</v>
      </c>
      <c r="AY1793" s="49">
        <v>46866</v>
      </c>
      <c r="AZ1793" s="49">
        <v>46866</v>
      </c>
      <c r="BA1793" s="49">
        <v>46866</v>
      </c>
    </row>
    <row r="1794" spans="23:53" ht="16.2" customHeight="1" x14ac:dyDescent="0.4">
      <c r="W1794" s="49">
        <v>46872</v>
      </c>
      <c r="X1794" s="49">
        <v>46872</v>
      </c>
      <c r="Y1794" s="49">
        <v>46872</v>
      </c>
      <c r="AY1794" s="49">
        <v>46872</v>
      </c>
      <c r="AZ1794" s="49">
        <v>46872</v>
      </c>
      <c r="BA1794" s="49">
        <v>46872</v>
      </c>
    </row>
    <row r="1795" spans="23:53" ht="16.2" customHeight="1" x14ac:dyDescent="0.4">
      <c r="W1795" s="49">
        <v>46873</v>
      </c>
      <c r="X1795" s="49">
        <v>46873</v>
      </c>
      <c r="Y1795" s="49">
        <v>46873</v>
      </c>
      <c r="AY1795" s="49">
        <v>46873</v>
      </c>
      <c r="AZ1795" s="49">
        <v>46873</v>
      </c>
      <c r="BA1795" s="49">
        <v>46873</v>
      </c>
    </row>
    <row r="1796" spans="23:53" ht="16.2" customHeight="1" x14ac:dyDescent="0.4">
      <c r="W1796" s="49">
        <v>46874</v>
      </c>
      <c r="X1796" s="49">
        <v>46874</v>
      </c>
      <c r="Y1796" s="49">
        <v>46874</v>
      </c>
      <c r="AY1796" s="49">
        <v>46874</v>
      </c>
      <c r="AZ1796" s="49">
        <v>46874</v>
      </c>
      <c r="BA1796" s="49">
        <v>46874</v>
      </c>
    </row>
    <row r="1797" spans="23:53" ht="16.2" customHeight="1" x14ac:dyDescent="0.4">
      <c r="W1797" s="49">
        <v>46875</v>
      </c>
      <c r="X1797" s="49">
        <v>46875</v>
      </c>
      <c r="Y1797" s="49">
        <v>46875</v>
      </c>
      <c r="AY1797" s="49">
        <v>46875</v>
      </c>
      <c r="AZ1797" s="49">
        <v>46875</v>
      </c>
      <c r="BA1797" s="49">
        <v>46875</v>
      </c>
    </row>
    <row r="1798" spans="23:53" ht="16.2" customHeight="1" x14ac:dyDescent="0.4">
      <c r="W1798" s="49">
        <v>46878</v>
      </c>
      <c r="X1798" s="49">
        <v>46878</v>
      </c>
      <c r="Y1798" s="49">
        <v>46878</v>
      </c>
      <c r="AY1798" s="49">
        <v>46878</v>
      </c>
      <c r="AZ1798" s="49">
        <v>46878</v>
      </c>
      <c r="BA1798" s="49">
        <v>46878</v>
      </c>
    </row>
    <row r="1799" spans="23:53" ht="16.2" customHeight="1" x14ac:dyDescent="0.4">
      <c r="W1799" s="49">
        <v>46879</v>
      </c>
      <c r="X1799" s="49">
        <v>46879</v>
      </c>
      <c r="Y1799" s="49">
        <v>46879</v>
      </c>
      <c r="AY1799" s="49">
        <v>46879</v>
      </c>
      <c r="AZ1799" s="49">
        <v>46879</v>
      </c>
      <c r="BA1799" s="49">
        <v>46879</v>
      </c>
    </row>
    <row r="1800" spans="23:53" ht="16.2" customHeight="1" x14ac:dyDescent="0.4">
      <c r="W1800" s="49">
        <v>46880</v>
      </c>
      <c r="X1800" s="49">
        <v>46880</v>
      </c>
      <c r="Y1800" s="49">
        <v>46880</v>
      </c>
      <c r="AY1800" s="49">
        <v>46880</v>
      </c>
      <c r="AZ1800" s="49">
        <v>46880</v>
      </c>
      <c r="BA1800" s="49">
        <v>46880</v>
      </c>
    </row>
    <row r="1801" spans="23:53" ht="16.2" customHeight="1" x14ac:dyDescent="0.4">
      <c r="W1801" s="49">
        <v>46886</v>
      </c>
      <c r="X1801" s="49">
        <v>46886</v>
      </c>
      <c r="Y1801" s="49">
        <v>46886</v>
      </c>
      <c r="AY1801" s="49">
        <v>46886</v>
      </c>
      <c r="AZ1801" s="49">
        <v>46886</v>
      </c>
      <c r="BA1801" s="49">
        <v>46886</v>
      </c>
    </row>
    <row r="1802" spans="23:53" ht="16.2" customHeight="1" x14ac:dyDescent="0.4">
      <c r="W1802" s="49">
        <v>46887</v>
      </c>
      <c r="X1802" s="49">
        <v>46887</v>
      </c>
      <c r="Y1802" s="49">
        <v>46887</v>
      </c>
      <c r="AY1802" s="49">
        <v>46887</v>
      </c>
      <c r="AZ1802" s="49">
        <v>46887</v>
      </c>
      <c r="BA1802" s="49">
        <v>46887</v>
      </c>
    </row>
    <row r="1803" spans="23:53" ht="16.2" customHeight="1" x14ac:dyDescent="0.4">
      <c r="W1803" s="49">
        <v>46893</v>
      </c>
      <c r="X1803" s="49">
        <v>46893</v>
      </c>
      <c r="Y1803" s="49">
        <v>46893</v>
      </c>
      <c r="AY1803" s="49">
        <v>46893</v>
      </c>
      <c r="AZ1803" s="49">
        <v>46893</v>
      </c>
      <c r="BA1803" s="49">
        <v>46893</v>
      </c>
    </row>
    <row r="1804" spans="23:53" ht="16.2" customHeight="1" x14ac:dyDescent="0.4">
      <c r="W1804" s="49">
        <v>46894</v>
      </c>
      <c r="X1804" s="49">
        <v>46894</v>
      </c>
      <c r="Y1804" s="49">
        <v>46894</v>
      </c>
      <c r="AY1804" s="49">
        <v>46894</v>
      </c>
      <c r="AZ1804" s="49">
        <v>46894</v>
      </c>
      <c r="BA1804" s="49">
        <v>46894</v>
      </c>
    </row>
    <row r="1805" spans="23:53" ht="16.2" customHeight="1" x14ac:dyDescent="0.4">
      <c r="W1805" s="49">
        <v>46900</v>
      </c>
      <c r="X1805" s="49">
        <v>46900</v>
      </c>
      <c r="Y1805" s="49">
        <v>46900</v>
      </c>
      <c r="AY1805" s="49">
        <v>46900</v>
      </c>
      <c r="AZ1805" s="49">
        <v>46900</v>
      </c>
      <c r="BA1805" s="49">
        <v>46900</v>
      </c>
    </row>
    <row r="1806" spans="23:53" ht="16.2" customHeight="1" x14ac:dyDescent="0.4">
      <c r="W1806" s="49">
        <v>46901</v>
      </c>
      <c r="X1806" s="49">
        <v>46901</v>
      </c>
      <c r="Y1806" s="49">
        <v>46901</v>
      </c>
      <c r="AY1806" s="49">
        <v>46901</v>
      </c>
      <c r="AZ1806" s="49">
        <v>46901</v>
      </c>
      <c r="BA1806" s="49">
        <v>46901</v>
      </c>
    </row>
    <row r="1807" spans="23:53" ht="16.2" customHeight="1" x14ac:dyDescent="0.4">
      <c r="W1807" s="49">
        <v>46907</v>
      </c>
      <c r="X1807" s="49">
        <v>46907</v>
      </c>
      <c r="Y1807" s="49">
        <v>46907</v>
      </c>
      <c r="AY1807" s="49">
        <v>46907</v>
      </c>
      <c r="AZ1807" s="49">
        <v>46907</v>
      </c>
      <c r="BA1807" s="49">
        <v>46907</v>
      </c>
    </row>
    <row r="1808" spans="23:53" ht="16.2" customHeight="1" x14ac:dyDescent="0.4">
      <c r="W1808" s="49">
        <v>46908</v>
      </c>
      <c r="X1808" s="49">
        <v>46908</v>
      </c>
      <c r="Y1808" s="49">
        <v>46908</v>
      </c>
      <c r="AY1808" s="49">
        <v>46908</v>
      </c>
      <c r="AZ1808" s="49">
        <v>46908</v>
      </c>
      <c r="BA1808" s="49">
        <v>46908</v>
      </c>
    </row>
    <row r="1809" spans="23:53" ht="16.2" customHeight="1" x14ac:dyDescent="0.4">
      <c r="W1809" s="49">
        <v>46910</v>
      </c>
      <c r="X1809" s="49">
        <v>46910</v>
      </c>
      <c r="Y1809" s="49">
        <v>46910</v>
      </c>
      <c r="AY1809" s="49">
        <v>46910</v>
      </c>
      <c r="AZ1809" s="49">
        <v>46910</v>
      </c>
      <c r="BA1809" s="49">
        <v>46910</v>
      </c>
    </row>
    <row r="1810" spans="23:53" ht="16.2" customHeight="1" x14ac:dyDescent="0.4">
      <c r="W1810" s="49">
        <v>46914</v>
      </c>
      <c r="X1810" s="49">
        <v>46914</v>
      </c>
      <c r="Y1810" s="49">
        <v>46914</v>
      </c>
      <c r="AY1810" s="49">
        <v>46914</v>
      </c>
      <c r="AZ1810" s="49">
        <v>46914</v>
      </c>
      <c r="BA1810" s="49">
        <v>46914</v>
      </c>
    </row>
    <row r="1811" spans="23:53" ht="16.2" customHeight="1" x14ac:dyDescent="0.4">
      <c r="W1811" s="49">
        <v>46915</v>
      </c>
      <c r="X1811" s="49">
        <v>46915</v>
      </c>
      <c r="Y1811" s="49">
        <v>46915</v>
      </c>
      <c r="AY1811" s="49">
        <v>46915</v>
      </c>
      <c r="AZ1811" s="49">
        <v>46915</v>
      </c>
      <c r="BA1811" s="49">
        <v>46915</v>
      </c>
    </row>
    <row r="1812" spans="23:53" ht="16.2" customHeight="1" x14ac:dyDescent="0.4">
      <c r="W1812" s="49">
        <v>46921</v>
      </c>
      <c r="X1812" s="49">
        <v>46921</v>
      </c>
      <c r="Y1812" s="49">
        <v>46921</v>
      </c>
      <c r="AY1812" s="49">
        <v>46921</v>
      </c>
      <c r="AZ1812" s="49">
        <v>46921</v>
      </c>
      <c r="BA1812" s="49">
        <v>46921</v>
      </c>
    </row>
    <row r="1813" spans="23:53" ht="16.2" customHeight="1" x14ac:dyDescent="0.4">
      <c r="W1813" s="49">
        <v>46922</v>
      </c>
      <c r="X1813" s="49">
        <v>46922</v>
      </c>
      <c r="Y1813" s="49">
        <v>46922</v>
      </c>
      <c r="AY1813" s="49">
        <v>46922</v>
      </c>
      <c r="AZ1813" s="49">
        <v>46922</v>
      </c>
      <c r="BA1813" s="49">
        <v>46922</v>
      </c>
    </row>
    <row r="1814" spans="23:53" ht="16.2" customHeight="1" x14ac:dyDescent="0.4">
      <c r="W1814" s="49">
        <v>46928</v>
      </c>
      <c r="X1814" s="49">
        <v>46928</v>
      </c>
      <c r="Y1814" s="49">
        <v>46928</v>
      </c>
      <c r="AY1814" s="49">
        <v>46928</v>
      </c>
      <c r="AZ1814" s="49">
        <v>46928</v>
      </c>
      <c r="BA1814" s="49">
        <v>46928</v>
      </c>
    </row>
    <row r="1815" spans="23:53" ht="16.2" customHeight="1" x14ac:dyDescent="0.4">
      <c r="W1815" s="49">
        <v>46929</v>
      </c>
      <c r="X1815" s="49">
        <v>46929</v>
      </c>
      <c r="Y1815" s="49">
        <v>46929</v>
      </c>
      <c r="AY1815" s="49">
        <v>46929</v>
      </c>
      <c r="AZ1815" s="49">
        <v>46929</v>
      </c>
      <c r="BA1815" s="49">
        <v>46929</v>
      </c>
    </row>
    <row r="1816" spans="23:53" ht="16.2" customHeight="1" x14ac:dyDescent="0.4">
      <c r="W1816" s="49">
        <v>46935</v>
      </c>
      <c r="X1816" s="49">
        <v>46935</v>
      </c>
      <c r="Y1816" s="49">
        <v>46935</v>
      </c>
      <c r="AY1816" s="49">
        <v>46935</v>
      </c>
      <c r="AZ1816" s="49">
        <v>46935</v>
      </c>
      <c r="BA1816" s="49">
        <v>46935</v>
      </c>
    </row>
    <row r="1817" spans="23:53" ht="16.2" customHeight="1" x14ac:dyDescent="0.4">
      <c r="W1817" s="49">
        <v>46936</v>
      </c>
      <c r="X1817" s="49">
        <v>46936</v>
      </c>
      <c r="Y1817" s="49">
        <v>46936</v>
      </c>
      <c r="AY1817" s="49">
        <v>46936</v>
      </c>
      <c r="AZ1817" s="49">
        <v>46936</v>
      </c>
      <c r="BA1817" s="49">
        <v>46936</v>
      </c>
    </row>
    <row r="1818" spans="23:53" ht="16.2" customHeight="1" x14ac:dyDescent="0.4">
      <c r="W1818" s="49">
        <v>46942</v>
      </c>
      <c r="X1818" s="49">
        <v>46942</v>
      </c>
      <c r="Y1818" s="49">
        <v>46942</v>
      </c>
      <c r="AY1818" s="49">
        <v>46942</v>
      </c>
      <c r="AZ1818" s="49">
        <v>46942</v>
      </c>
      <c r="BA1818" s="49">
        <v>46942</v>
      </c>
    </row>
    <row r="1819" spans="23:53" ht="16.2" customHeight="1" x14ac:dyDescent="0.4">
      <c r="W1819" s="49">
        <v>46943</v>
      </c>
      <c r="X1819" s="49">
        <v>46943</v>
      </c>
      <c r="Y1819" s="49">
        <v>46943</v>
      </c>
      <c r="AY1819" s="49">
        <v>46943</v>
      </c>
      <c r="AZ1819" s="49">
        <v>46943</v>
      </c>
      <c r="BA1819" s="49">
        <v>46943</v>
      </c>
    </row>
    <row r="1820" spans="23:53" ht="16.2" customHeight="1" x14ac:dyDescent="0.4">
      <c r="W1820" s="49">
        <v>46949</v>
      </c>
      <c r="X1820" s="49">
        <v>46949</v>
      </c>
      <c r="Y1820" s="49">
        <v>46949</v>
      </c>
      <c r="AY1820" s="49">
        <v>46949</v>
      </c>
      <c r="AZ1820" s="49">
        <v>46949</v>
      </c>
      <c r="BA1820" s="49">
        <v>46949</v>
      </c>
    </row>
    <row r="1821" spans="23:53" ht="16.2" customHeight="1" x14ac:dyDescent="0.4">
      <c r="W1821" s="49">
        <v>46950</v>
      </c>
      <c r="X1821" s="49">
        <v>46950</v>
      </c>
      <c r="Y1821" s="49">
        <v>46950</v>
      </c>
      <c r="AY1821" s="49">
        <v>46950</v>
      </c>
      <c r="AZ1821" s="49">
        <v>46950</v>
      </c>
      <c r="BA1821" s="49">
        <v>46950</v>
      </c>
    </row>
    <row r="1822" spans="23:53" ht="16.2" customHeight="1" x14ac:dyDescent="0.4">
      <c r="W1822" s="49">
        <v>46956</v>
      </c>
      <c r="X1822" s="49">
        <v>46956</v>
      </c>
      <c r="Y1822" s="49">
        <v>46956</v>
      </c>
      <c r="AY1822" s="49">
        <v>46956</v>
      </c>
      <c r="AZ1822" s="49">
        <v>46956</v>
      </c>
      <c r="BA1822" s="49">
        <v>46956</v>
      </c>
    </row>
    <row r="1823" spans="23:53" ht="16.2" customHeight="1" x14ac:dyDescent="0.4">
      <c r="W1823" s="49">
        <v>46957</v>
      </c>
      <c r="X1823" s="49">
        <v>46957</v>
      </c>
      <c r="Y1823" s="49">
        <v>46957</v>
      </c>
      <c r="AY1823" s="49">
        <v>46957</v>
      </c>
      <c r="AZ1823" s="49">
        <v>46957</v>
      </c>
      <c r="BA1823" s="49">
        <v>46957</v>
      </c>
    </row>
    <row r="1824" spans="23:53" ht="16.2" customHeight="1" x14ac:dyDescent="0.4">
      <c r="W1824" s="49">
        <v>46963</v>
      </c>
      <c r="X1824" s="49">
        <v>46963</v>
      </c>
      <c r="Y1824" s="49">
        <v>46963</v>
      </c>
      <c r="AY1824" s="49">
        <v>46963</v>
      </c>
      <c r="AZ1824" s="49">
        <v>46963</v>
      </c>
      <c r="BA1824" s="49">
        <v>46963</v>
      </c>
    </row>
    <row r="1825" spans="23:53" ht="16.2" customHeight="1" x14ac:dyDescent="0.4">
      <c r="W1825" s="49">
        <v>46964</v>
      </c>
      <c r="X1825" s="49">
        <v>46964</v>
      </c>
      <c r="Y1825" s="49">
        <v>46964</v>
      </c>
      <c r="AY1825" s="49">
        <v>46964</v>
      </c>
      <c r="AZ1825" s="49">
        <v>46964</v>
      </c>
      <c r="BA1825" s="49">
        <v>46964</v>
      </c>
    </row>
    <row r="1826" spans="23:53" ht="16.2" customHeight="1" x14ac:dyDescent="0.4">
      <c r="W1826" s="49">
        <v>46970</v>
      </c>
      <c r="X1826" s="49">
        <v>46970</v>
      </c>
      <c r="Y1826" s="49">
        <v>46970</v>
      </c>
      <c r="AY1826" s="49">
        <v>46970</v>
      </c>
      <c r="AZ1826" s="49">
        <v>46970</v>
      </c>
      <c r="BA1826" s="49">
        <v>46970</v>
      </c>
    </row>
    <row r="1827" spans="23:53" ht="16.2" customHeight="1" x14ac:dyDescent="0.4">
      <c r="W1827" s="49">
        <v>46971</v>
      </c>
      <c r="X1827" s="49">
        <v>46971</v>
      </c>
      <c r="Y1827" s="49">
        <v>46971</v>
      </c>
      <c r="AY1827" s="49">
        <v>46971</v>
      </c>
      <c r="AZ1827" s="49">
        <v>46971</v>
      </c>
      <c r="BA1827" s="49">
        <v>46971</v>
      </c>
    </row>
    <row r="1828" spans="23:53" ht="16.2" customHeight="1" x14ac:dyDescent="0.4">
      <c r="W1828" s="49">
        <v>46977</v>
      </c>
      <c r="X1828" s="49">
        <v>46977</v>
      </c>
      <c r="Y1828" s="49">
        <v>46977</v>
      </c>
      <c r="AY1828" s="49">
        <v>46977</v>
      </c>
      <c r="AZ1828" s="49">
        <v>46977</v>
      </c>
      <c r="BA1828" s="49">
        <v>46977</v>
      </c>
    </row>
    <row r="1829" spans="23:53" ht="16.2" customHeight="1" x14ac:dyDescent="0.4">
      <c r="W1829" s="49">
        <v>46978</v>
      </c>
      <c r="X1829" s="49">
        <v>46978</v>
      </c>
      <c r="Y1829" s="49">
        <v>46978</v>
      </c>
      <c r="AY1829" s="49">
        <v>46978</v>
      </c>
      <c r="AZ1829" s="49">
        <v>46978</v>
      </c>
      <c r="BA1829" s="49">
        <v>46978</v>
      </c>
    </row>
    <row r="1830" spans="23:53" ht="16.2" customHeight="1" x14ac:dyDescent="0.4">
      <c r="W1830" s="49">
        <v>46980</v>
      </c>
      <c r="X1830" s="49">
        <v>46980</v>
      </c>
      <c r="Y1830" s="49">
        <v>46980</v>
      </c>
      <c r="AY1830" s="49">
        <v>46980</v>
      </c>
      <c r="AZ1830" s="49">
        <v>46980</v>
      </c>
      <c r="BA1830" s="49">
        <v>46980</v>
      </c>
    </row>
    <row r="1831" spans="23:53" ht="16.2" customHeight="1" x14ac:dyDescent="0.4">
      <c r="W1831" s="49">
        <v>46984</v>
      </c>
      <c r="X1831" s="49">
        <v>46984</v>
      </c>
      <c r="Y1831" s="49">
        <v>46984</v>
      </c>
      <c r="AY1831" s="49">
        <v>46984</v>
      </c>
      <c r="AZ1831" s="49">
        <v>46984</v>
      </c>
      <c r="BA1831" s="49">
        <v>46984</v>
      </c>
    </row>
    <row r="1832" spans="23:53" ht="16.2" customHeight="1" x14ac:dyDescent="0.4">
      <c r="W1832" s="49">
        <v>46985</v>
      </c>
      <c r="X1832" s="49">
        <v>46985</v>
      </c>
      <c r="Y1832" s="49">
        <v>46985</v>
      </c>
      <c r="AY1832" s="49">
        <v>46985</v>
      </c>
      <c r="AZ1832" s="49">
        <v>46985</v>
      </c>
      <c r="BA1832" s="49">
        <v>46985</v>
      </c>
    </row>
    <row r="1833" spans="23:53" ht="16.2" customHeight="1" x14ac:dyDescent="0.4">
      <c r="W1833" s="49">
        <v>46991</v>
      </c>
      <c r="X1833" s="49">
        <v>46991</v>
      </c>
      <c r="Y1833" s="49">
        <v>46991</v>
      </c>
      <c r="AY1833" s="49">
        <v>46991</v>
      </c>
      <c r="AZ1833" s="49">
        <v>46991</v>
      </c>
      <c r="BA1833" s="49">
        <v>46991</v>
      </c>
    </row>
    <row r="1834" spans="23:53" ht="16.2" customHeight="1" x14ac:dyDescent="0.4">
      <c r="W1834" s="49">
        <v>46992</v>
      </c>
      <c r="X1834" s="49">
        <v>46992</v>
      </c>
      <c r="Y1834" s="49">
        <v>46992</v>
      </c>
      <c r="AY1834" s="49">
        <v>46992</v>
      </c>
      <c r="AZ1834" s="49">
        <v>46992</v>
      </c>
      <c r="BA1834" s="49">
        <v>46992</v>
      </c>
    </row>
    <row r="1835" spans="23:53" ht="16.2" customHeight="1" x14ac:dyDescent="0.4">
      <c r="W1835" s="49">
        <v>46998</v>
      </c>
      <c r="X1835" s="49">
        <v>46998</v>
      </c>
      <c r="Y1835" s="49">
        <v>46998</v>
      </c>
      <c r="AY1835" s="49">
        <v>46998</v>
      </c>
      <c r="AZ1835" s="49">
        <v>46998</v>
      </c>
      <c r="BA1835" s="49">
        <v>46998</v>
      </c>
    </row>
    <row r="1836" spans="23:53" ht="16.2" customHeight="1" x14ac:dyDescent="0.4">
      <c r="W1836" s="49">
        <v>46999</v>
      </c>
      <c r="X1836" s="49">
        <v>46999</v>
      </c>
      <c r="Y1836" s="49">
        <v>46999</v>
      </c>
      <c r="AY1836" s="49">
        <v>46999</v>
      </c>
      <c r="AZ1836" s="49">
        <v>46999</v>
      </c>
      <c r="BA1836" s="49">
        <v>46999</v>
      </c>
    </row>
    <row r="1837" spans="23:53" ht="16.2" customHeight="1" x14ac:dyDescent="0.4">
      <c r="W1837" s="49">
        <v>47005</v>
      </c>
      <c r="X1837" s="49">
        <v>47005</v>
      </c>
      <c r="Y1837" s="49">
        <v>47005</v>
      </c>
      <c r="AY1837" s="49">
        <v>47005</v>
      </c>
      <c r="AZ1837" s="49">
        <v>47005</v>
      </c>
      <c r="BA1837" s="49">
        <v>47005</v>
      </c>
    </row>
    <row r="1838" spans="23:53" ht="16.2" customHeight="1" x14ac:dyDescent="0.4">
      <c r="W1838" s="49">
        <v>47006</v>
      </c>
      <c r="X1838" s="49">
        <v>47006</v>
      </c>
      <c r="Y1838" s="49">
        <v>47006</v>
      </c>
      <c r="AY1838" s="49">
        <v>47006</v>
      </c>
      <c r="AZ1838" s="49">
        <v>47006</v>
      </c>
      <c r="BA1838" s="49">
        <v>47006</v>
      </c>
    </row>
    <row r="1839" spans="23:53" ht="16.2" customHeight="1" x14ac:dyDescent="0.4">
      <c r="W1839" s="49">
        <v>47012</v>
      </c>
      <c r="X1839" s="49">
        <v>47012</v>
      </c>
      <c r="Y1839" s="49">
        <v>47012</v>
      </c>
      <c r="AY1839" s="49">
        <v>47012</v>
      </c>
      <c r="AZ1839" s="49">
        <v>47012</v>
      </c>
      <c r="BA1839" s="49">
        <v>47012</v>
      </c>
    </row>
    <row r="1840" spans="23:53" ht="16.2" customHeight="1" x14ac:dyDescent="0.4">
      <c r="W1840" s="49">
        <v>47013</v>
      </c>
      <c r="X1840" s="49">
        <v>47013</v>
      </c>
      <c r="Y1840" s="49">
        <v>47013</v>
      </c>
      <c r="AY1840" s="49">
        <v>47013</v>
      </c>
      <c r="AZ1840" s="49">
        <v>47013</v>
      </c>
      <c r="BA1840" s="49">
        <v>47013</v>
      </c>
    </row>
    <row r="1841" spans="23:53" ht="16.2" customHeight="1" x14ac:dyDescent="0.4">
      <c r="W1841" s="49">
        <v>47019</v>
      </c>
      <c r="X1841" s="49">
        <v>47019</v>
      </c>
      <c r="Y1841" s="49">
        <v>47019</v>
      </c>
      <c r="AY1841" s="49">
        <v>47019</v>
      </c>
      <c r="AZ1841" s="49">
        <v>47019</v>
      </c>
      <c r="BA1841" s="49">
        <v>47019</v>
      </c>
    </row>
    <row r="1842" spans="23:53" ht="16.2" customHeight="1" x14ac:dyDescent="0.4">
      <c r="W1842" s="49">
        <v>47020</v>
      </c>
      <c r="X1842" s="49">
        <v>47020</v>
      </c>
      <c r="Y1842" s="49">
        <v>47020</v>
      </c>
      <c r="AY1842" s="49">
        <v>47020</v>
      </c>
      <c r="AZ1842" s="49">
        <v>47020</v>
      </c>
      <c r="BA1842" s="49">
        <v>47020</v>
      </c>
    </row>
    <row r="1843" spans="23:53" ht="16.2" customHeight="1" x14ac:dyDescent="0.4">
      <c r="W1843" s="49">
        <v>47026</v>
      </c>
      <c r="X1843" s="49">
        <v>47026</v>
      </c>
      <c r="Y1843" s="49">
        <v>47026</v>
      </c>
      <c r="AY1843" s="49">
        <v>47026</v>
      </c>
      <c r="AZ1843" s="49">
        <v>47026</v>
      </c>
      <c r="BA1843" s="49">
        <v>47026</v>
      </c>
    </row>
    <row r="1844" spans="23:53" ht="16.2" customHeight="1" x14ac:dyDescent="0.4">
      <c r="W1844" s="49">
        <v>47027</v>
      </c>
      <c r="X1844" s="49">
        <v>47027</v>
      </c>
      <c r="Y1844" s="49">
        <v>47027</v>
      </c>
      <c r="AY1844" s="49">
        <v>47027</v>
      </c>
      <c r="AZ1844" s="49">
        <v>47027</v>
      </c>
      <c r="BA1844" s="49">
        <v>47027</v>
      </c>
    </row>
    <row r="1845" spans="23:53" ht="16.2" customHeight="1" x14ac:dyDescent="0.4">
      <c r="W1845" s="49">
        <v>47028</v>
      </c>
      <c r="X1845" s="49">
        <v>47028</v>
      </c>
      <c r="Y1845" s="49">
        <v>47028</v>
      </c>
      <c r="AY1845" s="49">
        <v>47028</v>
      </c>
      <c r="AZ1845" s="49">
        <v>47028</v>
      </c>
      <c r="BA1845" s="49">
        <v>47028</v>
      </c>
    </row>
    <row r="1846" spans="23:53" ht="16.2" customHeight="1" x14ac:dyDescent="0.4">
      <c r="W1846" s="49">
        <v>47029</v>
      </c>
      <c r="X1846" s="49">
        <v>47029</v>
      </c>
      <c r="Y1846" s="49">
        <v>47029</v>
      </c>
      <c r="AY1846" s="49">
        <v>47029</v>
      </c>
      <c r="AZ1846" s="49">
        <v>47029</v>
      </c>
      <c r="BA1846" s="49">
        <v>47029</v>
      </c>
    </row>
    <row r="1847" spans="23:53" ht="16.2" customHeight="1" x14ac:dyDescent="0.4">
      <c r="W1847" s="49">
        <v>47030</v>
      </c>
      <c r="X1847" s="49">
        <v>47030</v>
      </c>
      <c r="Y1847" s="49">
        <v>47030</v>
      </c>
      <c r="AY1847" s="49">
        <v>47030</v>
      </c>
      <c r="AZ1847" s="49">
        <v>47030</v>
      </c>
      <c r="BA1847" s="49">
        <v>47030</v>
      </c>
    </row>
    <row r="1848" spans="23:53" ht="16.2" customHeight="1" x14ac:dyDescent="0.4">
      <c r="W1848" s="49">
        <v>47033</v>
      </c>
      <c r="X1848" s="49">
        <v>47033</v>
      </c>
      <c r="Y1848" s="49">
        <v>47033</v>
      </c>
      <c r="AY1848" s="49">
        <v>47033</v>
      </c>
      <c r="AZ1848" s="49">
        <v>47033</v>
      </c>
      <c r="BA1848" s="49">
        <v>47033</v>
      </c>
    </row>
    <row r="1849" spans="23:53" ht="16.2" customHeight="1" x14ac:dyDescent="0.4">
      <c r="W1849" s="49">
        <v>47034</v>
      </c>
      <c r="X1849" s="49">
        <v>47034</v>
      </c>
      <c r="Y1849" s="49">
        <v>47034</v>
      </c>
      <c r="AY1849" s="49">
        <v>47034</v>
      </c>
      <c r="AZ1849" s="49">
        <v>47034</v>
      </c>
      <c r="BA1849" s="49">
        <v>47034</v>
      </c>
    </row>
    <row r="1850" spans="23:53" ht="16.2" customHeight="1" x14ac:dyDescent="0.4">
      <c r="W1850" s="49">
        <v>47035</v>
      </c>
      <c r="X1850" s="49">
        <v>47035</v>
      </c>
      <c r="Y1850" s="49">
        <v>47035</v>
      </c>
      <c r="AY1850" s="49">
        <v>47035</v>
      </c>
      <c r="AZ1850" s="49">
        <v>47035</v>
      </c>
      <c r="BA1850" s="49">
        <v>47035</v>
      </c>
    </row>
    <row r="1851" spans="23:53" ht="16.2" customHeight="1" x14ac:dyDescent="0.4">
      <c r="W1851" s="49">
        <v>47040</v>
      </c>
      <c r="X1851" s="49">
        <v>47040</v>
      </c>
      <c r="Y1851" s="49">
        <v>47040</v>
      </c>
      <c r="AY1851" s="49">
        <v>47040</v>
      </c>
      <c r="AZ1851" s="49">
        <v>47040</v>
      </c>
      <c r="BA1851" s="49">
        <v>47040</v>
      </c>
    </row>
    <row r="1852" spans="23:53" ht="16.2" customHeight="1" x14ac:dyDescent="0.4">
      <c r="W1852" s="49">
        <v>47041</v>
      </c>
      <c r="X1852" s="49">
        <v>47041</v>
      </c>
      <c r="Y1852" s="49">
        <v>47041</v>
      </c>
      <c r="AY1852" s="49">
        <v>47041</v>
      </c>
      <c r="AZ1852" s="49">
        <v>47041</v>
      </c>
      <c r="BA1852" s="49">
        <v>47041</v>
      </c>
    </row>
    <row r="1853" spans="23:53" ht="16.2" customHeight="1" x14ac:dyDescent="0.4">
      <c r="W1853" s="49">
        <v>47047</v>
      </c>
      <c r="X1853" s="49">
        <v>47047</v>
      </c>
      <c r="Y1853" s="49">
        <v>47047</v>
      </c>
      <c r="AY1853" s="49">
        <v>47047</v>
      </c>
      <c r="AZ1853" s="49">
        <v>47047</v>
      </c>
      <c r="BA1853" s="49">
        <v>47047</v>
      </c>
    </row>
    <row r="1854" spans="23:53" ht="16.2" customHeight="1" x14ac:dyDescent="0.4">
      <c r="W1854" s="49">
        <v>47048</v>
      </c>
      <c r="X1854" s="49">
        <v>47048</v>
      </c>
      <c r="Y1854" s="49">
        <v>47048</v>
      </c>
      <c r="AY1854" s="49">
        <v>47048</v>
      </c>
      <c r="AZ1854" s="49">
        <v>47048</v>
      </c>
      <c r="BA1854" s="49">
        <v>47048</v>
      </c>
    </row>
    <row r="1855" spans="23:53" ht="16.2" customHeight="1" x14ac:dyDescent="0.4">
      <c r="W1855" s="49">
        <v>47054</v>
      </c>
      <c r="X1855" s="49">
        <v>47054</v>
      </c>
      <c r="Y1855" s="49">
        <v>47054</v>
      </c>
      <c r="AY1855" s="49">
        <v>47054</v>
      </c>
      <c r="AZ1855" s="49">
        <v>47054</v>
      </c>
      <c r="BA1855" s="49">
        <v>47054</v>
      </c>
    </row>
    <row r="1856" spans="23:53" ht="16.2" customHeight="1" x14ac:dyDescent="0.4">
      <c r="W1856" s="49">
        <v>47055</v>
      </c>
      <c r="X1856" s="49">
        <v>47055</v>
      </c>
      <c r="Y1856" s="49">
        <v>47055</v>
      </c>
      <c r="AY1856" s="49">
        <v>47055</v>
      </c>
      <c r="AZ1856" s="49">
        <v>47055</v>
      </c>
      <c r="BA1856" s="49">
        <v>47055</v>
      </c>
    </row>
    <row r="1857" spans="23:53" ht="16.2" customHeight="1" x14ac:dyDescent="0.4">
      <c r="W1857" s="49">
        <v>47061</v>
      </c>
      <c r="X1857" s="49">
        <v>47061</v>
      </c>
      <c r="Y1857" s="49">
        <v>47061</v>
      </c>
      <c r="AY1857" s="49">
        <v>47061</v>
      </c>
      <c r="AZ1857" s="49">
        <v>47061</v>
      </c>
      <c r="BA1857" s="49">
        <v>47061</v>
      </c>
    </row>
    <row r="1858" spans="23:53" ht="16.2" customHeight="1" x14ac:dyDescent="0.4">
      <c r="W1858" s="49">
        <v>47062</v>
      </c>
      <c r="X1858" s="49">
        <v>47062</v>
      </c>
      <c r="Y1858" s="49">
        <v>47062</v>
      </c>
      <c r="AY1858" s="49">
        <v>47062</v>
      </c>
      <c r="AZ1858" s="49">
        <v>47062</v>
      </c>
      <c r="BA1858" s="49">
        <v>47062</v>
      </c>
    </row>
    <row r="1859" spans="23:53" ht="16.2" customHeight="1" x14ac:dyDescent="0.4">
      <c r="W1859" s="49">
        <v>47068</v>
      </c>
      <c r="X1859" s="49">
        <v>47068</v>
      </c>
      <c r="Y1859" s="49">
        <v>47068</v>
      </c>
      <c r="AY1859" s="49">
        <v>47068</v>
      </c>
      <c r="AZ1859" s="49">
        <v>47068</v>
      </c>
      <c r="BA1859" s="49">
        <v>47068</v>
      </c>
    </row>
    <row r="1860" spans="23:53" ht="16.2" customHeight="1" x14ac:dyDescent="0.4">
      <c r="W1860" s="49">
        <v>47069</v>
      </c>
      <c r="X1860" s="49">
        <v>47069</v>
      </c>
      <c r="Y1860" s="49">
        <v>47069</v>
      </c>
      <c r="AY1860" s="49">
        <v>47069</v>
      </c>
      <c r="AZ1860" s="49">
        <v>47069</v>
      </c>
      <c r="BA1860" s="49">
        <v>47069</v>
      </c>
    </row>
    <row r="1861" spans="23:53" ht="16.2" customHeight="1" x14ac:dyDescent="0.4">
      <c r="W1861" s="49">
        <v>47075</v>
      </c>
      <c r="X1861" s="49">
        <v>47075</v>
      </c>
      <c r="Y1861" s="49">
        <v>47075</v>
      </c>
      <c r="AY1861" s="49">
        <v>47075</v>
      </c>
      <c r="AZ1861" s="49">
        <v>47075</v>
      </c>
      <c r="BA1861" s="49">
        <v>47075</v>
      </c>
    </row>
    <row r="1862" spans="23:53" ht="16.2" customHeight="1" x14ac:dyDescent="0.4">
      <c r="W1862" s="49">
        <v>47076</v>
      </c>
      <c r="X1862" s="49">
        <v>47076</v>
      </c>
      <c r="Y1862" s="49">
        <v>47076</v>
      </c>
      <c r="AY1862" s="49">
        <v>47076</v>
      </c>
      <c r="AZ1862" s="49">
        <v>47076</v>
      </c>
      <c r="BA1862" s="49">
        <v>47076</v>
      </c>
    </row>
    <row r="1863" spans="23:53" ht="16.2" customHeight="1" x14ac:dyDescent="0.4">
      <c r="W1863" s="49">
        <v>47082</v>
      </c>
      <c r="X1863" s="49">
        <v>47082</v>
      </c>
      <c r="Y1863" s="49">
        <v>47082</v>
      </c>
      <c r="AY1863" s="49">
        <v>47082</v>
      </c>
      <c r="AZ1863" s="49">
        <v>47082</v>
      </c>
      <c r="BA1863" s="49">
        <v>47082</v>
      </c>
    </row>
    <row r="1864" spans="23:53" ht="16.2" customHeight="1" x14ac:dyDescent="0.4">
      <c r="W1864" s="49">
        <v>47083</v>
      </c>
      <c r="X1864" s="49">
        <v>47083</v>
      </c>
      <c r="Y1864" s="49">
        <v>47083</v>
      </c>
      <c r="AY1864" s="49">
        <v>47083</v>
      </c>
      <c r="AZ1864" s="49">
        <v>47083</v>
      </c>
      <c r="BA1864" s="49">
        <v>47083</v>
      </c>
    </row>
    <row r="1865" spans="23:53" ht="16.2" customHeight="1" x14ac:dyDescent="0.4">
      <c r="W1865" s="49">
        <v>47089</v>
      </c>
      <c r="X1865" s="49">
        <v>47089</v>
      </c>
      <c r="Y1865" s="49">
        <v>47089</v>
      </c>
      <c r="AY1865" s="49">
        <v>47089</v>
      </c>
      <c r="AZ1865" s="49">
        <v>47089</v>
      </c>
      <c r="BA1865" s="49">
        <v>47089</v>
      </c>
    </row>
    <row r="1866" spans="23:53" ht="16.2" customHeight="1" x14ac:dyDescent="0.4">
      <c r="W1866" s="49">
        <v>47090</v>
      </c>
      <c r="X1866" s="49">
        <v>47090</v>
      </c>
      <c r="Y1866" s="49">
        <v>47090</v>
      </c>
      <c r="AY1866" s="49">
        <v>47090</v>
      </c>
      <c r="AZ1866" s="49">
        <v>47090</v>
      </c>
      <c r="BA1866" s="49">
        <v>47090</v>
      </c>
    </row>
    <row r="1867" spans="23:53" ht="16.2" customHeight="1" x14ac:dyDescent="0.4">
      <c r="W1867" s="49">
        <v>47096</v>
      </c>
      <c r="X1867" s="49">
        <v>47096</v>
      </c>
      <c r="Y1867" s="49">
        <v>47096</v>
      </c>
      <c r="AY1867" s="49">
        <v>47096</v>
      </c>
      <c r="AZ1867" s="49">
        <v>47096</v>
      </c>
      <c r="BA1867" s="49">
        <v>47096</v>
      </c>
    </row>
    <row r="1868" spans="23:53" ht="16.2" customHeight="1" x14ac:dyDescent="0.4">
      <c r="W1868" s="49">
        <v>47097</v>
      </c>
      <c r="X1868" s="49">
        <v>47097</v>
      </c>
      <c r="Y1868" s="49">
        <v>47097</v>
      </c>
      <c r="AY1868" s="49">
        <v>47097</v>
      </c>
      <c r="AZ1868" s="49">
        <v>47097</v>
      </c>
      <c r="BA1868" s="49">
        <v>47097</v>
      </c>
    </row>
    <row r="1869" spans="23:53" ht="16.2" customHeight="1" x14ac:dyDescent="0.4">
      <c r="W1869" s="49">
        <v>47103</v>
      </c>
      <c r="X1869" s="49">
        <v>47103</v>
      </c>
      <c r="Y1869" s="49">
        <v>47103</v>
      </c>
      <c r="AY1869" s="49">
        <v>47103</v>
      </c>
      <c r="AZ1869" s="49">
        <v>47103</v>
      </c>
      <c r="BA1869" s="49">
        <v>47103</v>
      </c>
    </row>
    <row r="1870" spans="23:53" ht="16.2" customHeight="1" x14ac:dyDescent="0.4">
      <c r="W1870" s="49">
        <v>47104</v>
      </c>
      <c r="X1870" s="49">
        <v>47104</v>
      </c>
      <c r="Y1870" s="49">
        <v>47104</v>
      </c>
      <c r="AY1870" s="49">
        <v>47104</v>
      </c>
      <c r="AZ1870" s="49">
        <v>47104</v>
      </c>
      <c r="BA1870" s="49">
        <v>47104</v>
      </c>
    </row>
    <row r="1871" spans="23:53" ht="16.2" customHeight="1" x14ac:dyDescent="0.4">
      <c r="W1871" s="49">
        <v>47110</v>
      </c>
      <c r="X1871" s="49">
        <v>47110</v>
      </c>
      <c r="Y1871" s="49">
        <v>47110</v>
      </c>
      <c r="AY1871" s="49">
        <v>47110</v>
      </c>
      <c r="AZ1871" s="49">
        <v>47110</v>
      </c>
      <c r="BA1871" s="49">
        <v>47110</v>
      </c>
    </row>
    <row r="1872" spans="23:53" ht="16.2" customHeight="1" x14ac:dyDescent="0.4">
      <c r="W1872" s="49">
        <v>47111</v>
      </c>
      <c r="X1872" s="49">
        <v>47111</v>
      </c>
      <c r="Y1872" s="49">
        <v>47111</v>
      </c>
      <c r="AY1872" s="49">
        <v>47111</v>
      </c>
      <c r="AZ1872" s="49">
        <v>47111</v>
      </c>
      <c r="BA1872" s="49">
        <v>47111</v>
      </c>
    </row>
    <row r="1873" spans="23:53" ht="16.2" customHeight="1" x14ac:dyDescent="0.4">
      <c r="W1873" s="49">
        <v>47112</v>
      </c>
      <c r="X1873" s="49">
        <v>47112</v>
      </c>
      <c r="Y1873" s="49">
        <v>47112</v>
      </c>
      <c r="AY1873" s="49">
        <v>47112</v>
      </c>
      <c r="AZ1873" s="49">
        <v>47112</v>
      </c>
      <c r="BA1873" s="49">
        <v>47112</v>
      </c>
    </row>
    <row r="1874" spans="23:53" ht="16.2" customHeight="1" x14ac:dyDescent="0.4">
      <c r="W1874" s="49">
        <v>47117</v>
      </c>
      <c r="X1874" s="49">
        <v>47117</v>
      </c>
      <c r="Y1874" s="49">
        <v>47117</v>
      </c>
      <c r="AY1874" s="49">
        <v>47117</v>
      </c>
      <c r="AZ1874" s="49">
        <v>47117</v>
      </c>
      <c r="BA1874" s="49">
        <v>47117</v>
      </c>
    </row>
    <row r="1875" spans="23:53" ht="16.2" customHeight="1" x14ac:dyDescent="0.4">
      <c r="W1875" s="49">
        <v>47118</v>
      </c>
      <c r="X1875" s="49">
        <v>47118</v>
      </c>
      <c r="Y1875" s="49">
        <v>47118</v>
      </c>
      <c r="AY1875" s="49">
        <v>47118</v>
      </c>
      <c r="AZ1875" s="49">
        <v>47118</v>
      </c>
      <c r="BA1875" s="49">
        <v>47118</v>
      </c>
    </row>
    <row r="1876" spans="23:53" ht="16.2" customHeight="1" x14ac:dyDescent="0.4">
      <c r="W1876" s="49">
        <v>47119</v>
      </c>
      <c r="X1876" s="49">
        <v>47119</v>
      </c>
      <c r="Y1876" s="49">
        <v>47119</v>
      </c>
      <c r="AY1876" s="49">
        <v>47119</v>
      </c>
      <c r="AZ1876" s="49">
        <v>47119</v>
      </c>
      <c r="BA1876" s="49">
        <v>47119</v>
      </c>
    </row>
    <row r="1877" spans="23:53" ht="16.2" customHeight="1" x14ac:dyDescent="0.4">
      <c r="W1877" s="49">
        <v>47124</v>
      </c>
      <c r="X1877" s="49">
        <v>47124</v>
      </c>
      <c r="Y1877" s="49">
        <v>47124</v>
      </c>
      <c r="AY1877" s="49">
        <v>47124</v>
      </c>
      <c r="AZ1877" s="49">
        <v>47124</v>
      </c>
      <c r="BA1877" s="49">
        <v>47124</v>
      </c>
    </row>
    <row r="1878" spans="23:53" ht="16.2" customHeight="1" x14ac:dyDescent="0.4">
      <c r="W1878" s="49">
        <v>47125</v>
      </c>
      <c r="X1878" s="49">
        <v>47125</v>
      </c>
      <c r="Y1878" s="49">
        <v>47125</v>
      </c>
      <c r="AY1878" s="49">
        <v>47125</v>
      </c>
      <c r="AZ1878" s="49">
        <v>47125</v>
      </c>
      <c r="BA1878" s="49">
        <v>47125</v>
      </c>
    </row>
    <row r="1879" spans="23:53" ht="16.2" customHeight="1" x14ac:dyDescent="0.4">
      <c r="W1879" s="49">
        <v>47131</v>
      </c>
      <c r="X1879" s="49">
        <v>47131</v>
      </c>
      <c r="Y1879" s="49">
        <v>47131</v>
      </c>
      <c r="AY1879" s="49">
        <v>47131</v>
      </c>
      <c r="AZ1879" s="49">
        <v>47131</v>
      </c>
      <c r="BA1879" s="49">
        <v>47131</v>
      </c>
    </row>
    <row r="1880" spans="23:53" ht="16.2" customHeight="1" x14ac:dyDescent="0.4">
      <c r="W1880" s="49">
        <v>47132</v>
      </c>
      <c r="X1880" s="49">
        <v>47132</v>
      </c>
      <c r="Y1880" s="49">
        <v>47132</v>
      </c>
      <c r="AY1880" s="49">
        <v>47132</v>
      </c>
      <c r="AZ1880" s="49">
        <v>47132</v>
      </c>
      <c r="BA1880" s="49">
        <v>47132</v>
      </c>
    </row>
    <row r="1881" spans="23:53" ht="16.2" customHeight="1" x14ac:dyDescent="0.4">
      <c r="W1881" s="49">
        <v>47138</v>
      </c>
      <c r="X1881" s="49">
        <v>47138</v>
      </c>
      <c r="Y1881" s="49">
        <v>47138</v>
      </c>
      <c r="AY1881" s="49">
        <v>47138</v>
      </c>
      <c r="AZ1881" s="49">
        <v>47138</v>
      </c>
      <c r="BA1881" s="49">
        <v>47138</v>
      </c>
    </row>
    <row r="1882" spans="23:53" ht="16.2" customHeight="1" x14ac:dyDescent="0.4">
      <c r="W1882" s="49">
        <v>47139</v>
      </c>
      <c r="X1882" s="49">
        <v>47139</v>
      </c>
      <c r="Y1882" s="49">
        <v>47139</v>
      </c>
      <c r="AY1882" s="49">
        <v>47139</v>
      </c>
      <c r="AZ1882" s="49">
        <v>47139</v>
      </c>
      <c r="BA1882" s="49">
        <v>47139</v>
      </c>
    </row>
    <row r="1883" spans="23:53" ht="16.2" customHeight="1" x14ac:dyDescent="0.4">
      <c r="W1883" s="49">
        <v>47145</v>
      </c>
      <c r="X1883" s="49">
        <v>47145</v>
      </c>
      <c r="Y1883" s="49">
        <v>47145</v>
      </c>
      <c r="AY1883" s="49">
        <v>47145</v>
      </c>
      <c r="AZ1883" s="49">
        <v>47145</v>
      </c>
      <c r="BA1883" s="49">
        <v>47145</v>
      </c>
    </row>
    <row r="1884" spans="23:53" ht="16.2" customHeight="1" x14ac:dyDescent="0.4">
      <c r="W1884" s="49">
        <v>47146</v>
      </c>
      <c r="X1884" s="49">
        <v>47146</v>
      </c>
      <c r="Y1884" s="49">
        <v>47146</v>
      </c>
      <c r="AY1884" s="49">
        <v>47146</v>
      </c>
      <c r="AZ1884" s="49">
        <v>47146</v>
      </c>
      <c r="BA1884" s="49">
        <v>47146</v>
      </c>
    </row>
    <row r="1885" spans="23:53" ht="16.2" customHeight="1" x14ac:dyDescent="0.4">
      <c r="W1885" s="49">
        <v>47152</v>
      </c>
      <c r="X1885" s="49">
        <v>47152</v>
      </c>
      <c r="Y1885" s="49">
        <v>47152</v>
      </c>
      <c r="AY1885" s="49">
        <v>47152</v>
      </c>
      <c r="AZ1885" s="49">
        <v>47152</v>
      </c>
      <c r="BA1885" s="49">
        <v>47152</v>
      </c>
    </row>
    <row r="1886" spans="23:53" ht="16.2" customHeight="1" x14ac:dyDescent="0.4">
      <c r="W1886" s="49">
        <v>47153</v>
      </c>
      <c r="X1886" s="49">
        <v>47153</v>
      </c>
      <c r="Y1886" s="49">
        <v>47153</v>
      </c>
      <c r="AY1886" s="49">
        <v>47153</v>
      </c>
      <c r="AZ1886" s="49">
        <v>47153</v>
      </c>
      <c r="BA1886" s="49">
        <v>47153</v>
      </c>
    </row>
    <row r="1887" spans="23:53" ht="16.2" customHeight="1" x14ac:dyDescent="0.4">
      <c r="W1887" s="49">
        <v>47159</v>
      </c>
      <c r="X1887" s="49">
        <v>47159</v>
      </c>
      <c r="Y1887" s="49">
        <v>47159</v>
      </c>
      <c r="AY1887" s="49">
        <v>47159</v>
      </c>
      <c r="AZ1887" s="49">
        <v>47159</v>
      </c>
      <c r="BA1887" s="49">
        <v>47159</v>
      </c>
    </row>
    <row r="1888" spans="23:53" ht="16.2" customHeight="1" x14ac:dyDescent="0.4">
      <c r="W1888" s="49">
        <v>47160</v>
      </c>
      <c r="X1888" s="49">
        <v>47160</v>
      </c>
      <c r="Y1888" s="49">
        <v>47160</v>
      </c>
      <c r="AY1888" s="49">
        <v>47160</v>
      </c>
      <c r="AZ1888" s="49">
        <v>47160</v>
      </c>
      <c r="BA1888" s="49">
        <v>47160</v>
      </c>
    </row>
    <row r="1889" spans="23:53" ht="16.2" customHeight="1" x14ac:dyDescent="0.4">
      <c r="W1889" s="49">
        <v>47161</v>
      </c>
      <c r="X1889" s="49">
        <v>47161</v>
      </c>
      <c r="Y1889" s="49">
        <v>47161</v>
      </c>
      <c r="AY1889" s="49">
        <v>47161</v>
      </c>
      <c r="AZ1889" s="49">
        <v>47161</v>
      </c>
      <c r="BA1889" s="49">
        <v>47161</v>
      </c>
    </row>
    <row r="1890" spans="23:53" ht="16.2" customHeight="1" x14ac:dyDescent="0.4">
      <c r="W1890" s="49">
        <v>47162</v>
      </c>
      <c r="X1890" s="49">
        <v>47162</v>
      </c>
      <c r="Y1890" s="49">
        <v>47162</v>
      </c>
      <c r="AY1890" s="49">
        <v>47162</v>
      </c>
      <c r="AZ1890" s="49">
        <v>47162</v>
      </c>
      <c r="BA1890" s="49">
        <v>47162</v>
      </c>
    </row>
    <row r="1891" spans="23:53" ht="16.2" customHeight="1" x14ac:dyDescent="0.4">
      <c r="W1891" s="49">
        <v>47163</v>
      </c>
      <c r="X1891" s="49">
        <v>47163</v>
      </c>
      <c r="Y1891" s="49">
        <v>47163</v>
      </c>
      <c r="AY1891" s="49">
        <v>47163</v>
      </c>
      <c r="AZ1891" s="49">
        <v>47163</v>
      </c>
      <c r="BA1891" s="49">
        <v>47163</v>
      </c>
    </row>
    <row r="1892" spans="23:53" ht="16.2" customHeight="1" x14ac:dyDescent="0.4">
      <c r="W1892" s="49">
        <v>47166</v>
      </c>
      <c r="X1892" s="49">
        <v>47166</v>
      </c>
      <c r="Y1892" s="49">
        <v>47166</v>
      </c>
      <c r="AY1892" s="49">
        <v>47166</v>
      </c>
      <c r="AZ1892" s="49">
        <v>47166</v>
      </c>
      <c r="BA1892" s="49">
        <v>47166</v>
      </c>
    </row>
    <row r="1893" spans="23:53" ht="16.2" customHeight="1" x14ac:dyDescent="0.4">
      <c r="W1893" s="49">
        <v>47167</v>
      </c>
      <c r="X1893" s="49">
        <v>47167</v>
      </c>
      <c r="Y1893" s="49">
        <v>47167</v>
      </c>
      <c r="AY1893" s="49">
        <v>47167</v>
      </c>
      <c r="AZ1893" s="49">
        <v>47167</v>
      </c>
      <c r="BA1893" s="49">
        <v>47167</v>
      </c>
    </row>
    <row r="1894" spans="23:53" ht="16.2" customHeight="1" x14ac:dyDescent="0.4">
      <c r="W1894" s="49">
        <v>47173</v>
      </c>
      <c r="X1894" s="49">
        <v>47173</v>
      </c>
      <c r="Y1894" s="49">
        <v>47173</v>
      </c>
      <c r="AY1894" s="49">
        <v>47173</v>
      </c>
      <c r="AZ1894" s="49">
        <v>47173</v>
      </c>
      <c r="BA1894" s="49">
        <v>47173</v>
      </c>
    </row>
    <row r="1895" spans="23:53" ht="16.2" customHeight="1" x14ac:dyDescent="0.4">
      <c r="W1895" s="49">
        <v>47174</v>
      </c>
      <c r="X1895" s="49">
        <v>47174</v>
      </c>
      <c r="Y1895" s="49">
        <v>47174</v>
      </c>
      <c r="AY1895" s="49">
        <v>47174</v>
      </c>
      <c r="AZ1895" s="49">
        <v>47174</v>
      </c>
      <c r="BA1895" s="49">
        <v>47174</v>
      </c>
    </row>
    <row r="1896" spans="23:53" ht="16.2" customHeight="1" x14ac:dyDescent="0.4">
      <c r="W1896" s="49">
        <v>47178</v>
      </c>
      <c r="X1896" s="49">
        <v>47178</v>
      </c>
      <c r="Y1896" s="49">
        <v>47178</v>
      </c>
      <c r="AY1896" s="49">
        <v>47178</v>
      </c>
      <c r="AZ1896" s="49">
        <v>47178</v>
      </c>
      <c r="BA1896" s="49">
        <v>47178</v>
      </c>
    </row>
    <row r="1897" spans="23:53" ht="16.2" customHeight="1" x14ac:dyDescent="0.4">
      <c r="W1897" s="49">
        <v>47180</v>
      </c>
      <c r="X1897" s="49">
        <v>47180</v>
      </c>
      <c r="Y1897" s="49">
        <v>47180</v>
      </c>
      <c r="AY1897" s="49">
        <v>47180</v>
      </c>
      <c r="AZ1897" s="49">
        <v>47180</v>
      </c>
      <c r="BA1897" s="49">
        <v>47180</v>
      </c>
    </row>
    <row r="1898" spans="23:53" ht="16.2" customHeight="1" x14ac:dyDescent="0.4">
      <c r="W1898" s="49">
        <v>47181</v>
      </c>
      <c r="X1898" s="49">
        <v>47181</v>
      </c>
      <c r="Y1898" s="49">
        <v>47181</v>
      </c>
      <c r="AY1898" s="49">
        <v>47181</v>
      </c>
      <c r="AZ1898" s="49">
        <v>47181</v>
      </c>
      <c r="BA1898" s="49">
        <v>47181</v>
      </c>
    </row>
    <row r="1899" spans="23:53" ht="16.2" customHeight="1" x14ac:dyDescent="0.4">
      <c r="W1899" s="49">
        <v>47187</v>
      </c>
      <c r="X1899" s="49">
        <v>47187</v>
      </c>
      <c r="Y1899" s="49">
        <v>47187</v>
      </c>
      <c r="AY1899" s="49">
        <v>47187</v>
      </c>
      <c r="AZ1899" s="49">
        <v>47187</v>
      </c>
      <c r="BA1899" s="49">
        <v>47187</v>
      </c>
    </row>
    <row r="1900" spans="23:53" ht="16.2" customHeight="1" x14ac:dyDescent="0.4">
      <c r="W1900" s="49">
        <v>47188</v>
      </c>
      <c r="X1900" s="49">
        <v>47188</v>
      </c>
      <c r="Y1900" s="49">
        <v>47188</v>
      </c>
      <c r="AY1900" s="49">
        <v>47188</v>
      </c>
      <c r="AZ1900" s="49">
        <v>47188</v>
      </c>
      <c r="BA1900" s="49">
        <v>47188</v>
      </c>
    </row>
    <row r="1901" spans="23:53" ht="16.2" customHeight="1" x14ac:dyDescent="0.4">
      <c r="W1901" s="49">
        <v>47194</v>
      </c>
      <c r="X1901" s="49">
        <v>47194</v>
      </c>
      <c r="Y1901" s="49">
        <v>47194</v>
      </c>
      <c r="AY1901" s="49">
        <v>47194</v>
      </c>
      <c r="AZ1901" s="49">
        <v>47194</v>
      </c>
      <c r="BA1901" s="49">
        <v>47194</v>
      </c>
    </row>
    <row r="1902" spans="23:53" ht="16.2" customHeight="1" x14ac:dyDescent="0.4">
      <c r="W1902" s="49">
        <v>47195</v>
      </c>
      <c r="X1902" s="49">
        <v>47195</v>
      </c>
      <c r="Y1902" s="49">
        <v>47195</v>
      </c>
      <c r="AY1902" s="49">
        <v>47195</v>
      </c>
      <c r="AZ1902" s="49">
        <v>47195</v>
      </c>
      <c r="BA1902" s="49">
        <v>47195</v>
      </c>
    </row>
    <row r="1903" spans="23:53" ht="16.2" customHeight="1" x14ac:dyDescent="0.4">
      <c r="W1903" s="49">
        <v>47201</v>
      </c>
      <c r="X1903" s="49">
        <v>47201</v>
      </c>
      <c r="Y1903" s="49">
        <v>47201</v>
      </c>
      <c r="AY1903" s="49">
        <v>47201</v>
      </c>
      <c r="AZ1903" s="49">
        <v>47201</v>
      </c>
      <c r="BA1903" s="49">
        <v>47201</v>
      </c>
    </row>
    <row r="1904" spans="23:53" ht="16.2" customHeight="1" x14ac:dyDescent="0.4">
      <c r="W1904" s="49">
        <v>47202</v>
      </c>
      <c r="X1904" s="49">
        <v>47202</v>
      </c>
      <c r="Y1904" s="49">
        <v>47202</v>
      </c>
      <c r="AY1904" s="49">
        <v>47202</v>
      </c>
      <c r="AZ1904" s="49">
        <v>47202</v>
      </c>
      <c r="BA1904" s="49">
        <v>47202</v>
      </c>
    </row>
    <row r="1905" spans="23:53" ht="16.2" customHeight="1" x14ac:dyDescent="0.4">
      <c r="W1905" s="49">
        <v>47208</v>
      </c>
      <c r="X1905" s="49">
        <v>47208</v>
      </c>
      <c r="Y1905" s="49">
        <v>47208</v>
      </c>
      <c r="AY1905" s="49">
        <v>47208</v>
      </c>
      <c r="AZ1905" s="49">
        <v>47208</v>
      </c>
      <c r="BA1905" s="49">
        <v>47208</v>
      </c>
    </row>
    <row r="1906" spans="23:53" ht="16.2" customHeight="1" x14ac:dyDescent="0.4">
      <c r="W1906" s="49">
        <v>47209</v>
      </c>
      <c r="X1906" s="49">
        <v>47209</v>
      </c>
      <c r="Y1906" s="49">
        <v>47209</v>
      </c>
      <c r="AY1906" s="49">
        <v>47209</v>
      </c>
      <c r="AZ1906" s="49">
        <v>47209</v>
      </c>
      <c r="BA1906" s="49">
        <v>47209</v>
      </c>
    </row>
    <row r="1907" spans="23:53" ht="16.2" customHeight="1" x14ac:dyDescent="0.4">
      <c r="W1907" s="49">
        <v>47215</v>
      </c>
      <c r="X1907" s="49">
        <v>47215</v>
      </c>
      <c r="Y1907" s="49">
        <v>47215</v>
      </c>
      <c r="AY1907" s="49">
        <v>47215</v>
      </c>
      <c r="AZ1907" s="49">
        <v>47215</v>
      </c>
      <c r="BA1907" s="49">
        <v>47215</v>
      </c>
    </row>
    <row r="1908" spans="23:53" ht="16.2" customHeight="1" x14ac:dyDescent="0.4">
      <c r="W1908" s="49">
        <v>47216</v>
      </c>
      <c r="X1908" s="49">
        <v>47216</v>
      </c>
      <c r="Y1908" s="49">
        <v>47216</v>
      </c>
      <c r="AY1908" s="49">
        <v>47216</v>
      </c>
      <c r="AZ1908" s="49">
        <v>47216</v>
      </c>
      <c r="BA1908" s="49">
        <v>47216</v>
      </c>
    </row>
    <row r="1909" spans="23:53" ht="16.2" customHeight="1" x14ac:dyDescent="0.4">
      <c r="W1909" s="49">
        <v>47222</v>
      </c>
      <c r="X1909" s="49">
        <v>47222</v>
      </c>
      <c r="Y1909" s="49">
        <v>47222</v>
      </c>
      <c r="AY1909" s="49">
        <v>47222</v>
      </c>
      <c r="AZ1909" s="49">
        <v>47222</v>
      </c>
      <c r="BA1909" s="49">
        <v>47222</v>
      </c>
    </row>
    <row r="1910" spans="23:53" ht="16.2" customHeight="1" x14ac:dyDescent="0.4">
      <c r="W1910" s="49">
        <v>47223</v>
      </c>
      <c r="X1910" s="49">
        <v>47223</v>
      </c>
      <c r="Y1910" s="49">
        <v>47223</v>
      </c>
      <c r="AY1910" s="49">
        <v>47223</v>
      </c>
      <c r="AZ1910" s="49">
        <v>47223</v>
      </c>
      <c r="BA1910" s="49">
        <v>47223</v>
      </c>
    </row>
    <row r="1911" spans="23:53" ht="16.2" customHeight="1" x14ac:dyDescent="0.4">
      <c r="W1911" s="49">
        <v>47229</v>
      </c>
      <c r="X1911" s="49">
        <v>47229</v>
      </c>
      <c r="Y1911" s="49">
        <v>47229</v>
      </c>
      <c r="AY1911" s="49">
        <v>47229</v>
      </c>
      <c r="AZ1911" s="49">
        <v>47229</v>
      </c>
      <c r="BA1911" s="49">
        <v>47229</v>
      </c>
    </row>
    <row r="1912" spans="23:53" ht="16.2" customHeight="1" x14ac:dyDescent="0.4">
      <c r="W1912" s="49">
        <v>47230</v>
      </c>
      <c r="X1912" s="49">
        <v>47230</v>
      </c>
      <c r="Y1912" s="49">
        <v>47230</v>
      </c>
      <c r="AY1912" s="49">
        <v>47230</v>
      </c>
      <c r="AZ1912" s="49">
        <v>47230</v>
      </c>
      <c r="BA1912" s="49">
        <v>47230</v>
      </c>
    </row>
    <row r="1913" spans="23:53" ht="16.2" customHeight="1" x14ac:dyDescent="0.4">
      <c r="W1913" s="49">
        <v>47236</v>
      </c>
      <c r="X1913" s="49">
        <v>47236</v>
      </c>
      <c r="Y1913" s="49">
        <v>47236</v>
      </c>
      <c r="AY1913" s="49">
        <v>47236</v>
      </c>
      <c r="AZ1913" s="49">
        <v>47236</v>
      </c>
      <c r="BA1913" s="49">
        <v>47236</v>
      </c>
    </row>
    <row r="1914" spans="23:53" ht="16.2" customHeight="1" x14ac:dyDescent="0.4">
      <c r="W1914" s="49">
        <v>47237</v>
      </c>
      <c r="X1914" s="49">
        <v>47237</v>
      </c>
      <c r="Y1914" s="49">
        <v>47237</v>
      </c>
      <c r="AY1914" s="49">
        <v>47237</v>
      </c>
      <c r="AZ1914" s="49">
        <v>47237</v>
      </c>
      <c r="BA1914" s="49">
        <v>47237</v>
      </c>
    </row>
    <row r="1915" spans="23:53" ht="16.2" customHeight="1" x14ac:dyDescent="0.4">
      <c r="W1915" s="49">
        <v>47239</v>
      </c>
      <c r="X1915" s="49">
        <v>47239</v>
      </c>
      <c r="Y1915" s="49">
        <v>47239</v>
      </c>
      <c r="AY1915" s="49">
        <v>47239</v>
      </c>
      <c r="AZ1915" s="49">
        <v>47239</v>
      </c>
      <c r="BA1915" s="49">
        <v>47239</v>
      </c>
    </row>
    <row r="1916" spans="23:53" ht="16.2" customHeight="1" x14ac:dyDescent="0.4">
      <c r="W1916" s="49">
        <v>47244</v>
      </c>
      <c r="X1916" s="49">
        <v>47244</v>
      </c>
      <c r="Y1916" s="49">
        <v>47244</v>
      </c>
      <c r="AY1916" s="49">
        <v>47244</v>
      </c>
      <c r="AZ1916" s="49">
        <v>47244</v>
      </c>
      <c r="BA1916" s="49">
        <v>47244</v>
      </c>
    </row>
    <row r="1917" spans="23:53" ht="16.2" customHeight="1" x14ac:dyDescent="0.4">
      <c r="W1917" s="49">
        <v>47250</v>
      </c>
      <c r="X1917" s="49">
        <v>47250</v>
      </c>
      <c r="Y1917" s="49">
        <v>47250</v>
      </c>
      <c r="AY1917" s="49">
        <v>47250</v>
      </c>
      <c r="AZ1917" s="49">
        <v>47250</v>
      </c>
      <c r="BA1917" s="49">
        <v>47250</v>
      </c>
    </row>
    <row r="1918" spans="23:53" ht="16.2" customHeight="1" x14ac:dyDescent="0.4">
      <c r="W1918" s="49">
        <v>47251</v>
      </c>
      <c r="X1918" s="49">
        <v>47251</v>
      </c>
      <c r="Y1918" s="49">
        <v>47251</v>
      </c>
      <c r="AY1918" s="49">
        <v>47251</v>
      </c>
      <c r="AZ1918" s="49">
        <v>47251</v>
      </c>
      <c r="BA1918" s="49">
        <v>47251</v>
      </c>
    </row>
    <row r="1919" spans="23:53" ht="16.2" customHeight="1" x14ac:dyDescent="0.4">
      <c r="W1919" s="49">
        <v>47257</v>
      </c>
      <c r="X1919" s="49">
        <v>47257</v>
      </c>
      <c r="Y1919" s="49">
        <v>47257</v>
      </c>
      <c r="AY1919" s="49">
        <v>47257</v>
      </c>
      <c r="AZ1919" s="49">
        <v>47257</v>
      </c>
      <c r="BA1919" s="49">
        <v>47257</v>
      </c>
    </row>
    <row r="1920" spans="23:53" ht="16.2" customHeight="1" x14ac:dyDescent="0.4">
      <c r="W1920" s="49">
        <v>47258</v>
      </c>
      <c r="X1920" s="49">
        <v>47258</v>
      </c>
      <c r="Y1920" s="49">
        <v>47258</v>
      </c>
      <c r="AY1920" s="49">
        <v>47258</v>
      </c>
      <c r="AZ1920" s="49">
        <v>47258</v>
      </c>
      <c r="BA1920" s="49">
        <v>47258</v>
      </c>
    </row>
    <row r="1921" spans="23:53" ht="16.2" customHeight="1" x14ac:dyDescent="0.4">
      <c r="W1921" s="49">
        <v>47264</v>
      </c>
      <c r="X1921" s="49">
        <v>47264</v>
      </c>
      <c r="Y1921" s="49">
        <v>47264</v>
      </c>
      <c r="AY1921" s="49">
        <v>47264</v>
      </c>
      <c r="AZ1921" s="49">
        <v>47264</v>
      </c>
      <c r="BA1921" s="49">
        <v>47264</v>
      </c>
    </row>
    <row r="1922" spans="23:53" ht="16.2" customHeight="1" x14ac:dyDescent="0.4">
      <c r="W1922" s="49">
        <v>47265</v>
      </c>
      <c r="X1922" s="49">
        <v>47265</v>
      </c>
      <c r="Y1922" s="49">
        <v>47265</v>
      </c>
      <c r="AY1922" s="49">
        <v>47265</v>
      </c>
      <c r="AZ1922" s="49">
        <v>47265</v>
      </c>
      <c r="BA1922" s="49">
        <v>47265</v>
      </c>
    </row>
    <row r="1923" spans="23:53" ht="16.2" customHeight="1" x14ac:dyDescent="0.4">
      <c r="W1923" s="49">
        <v>47271</v>
      </c>
      <c r="X1923" s="49">
        <v>47271</v>
      </c>
      <c r="Y1923" s="49">
        <v>47271</v>
      </c>
      <c r="AY1923" s="49">
        <v>47271</v>
      </c>
      <c r="AZ1923" s="49">
        <v>47271</v>
      </c>
      <c r="BA1923" s="49">
        <v>47271</v>
      </c>
    </row>
    <row r="1924" spans="23:53" ht="16.2" customHeight="1" x14ac:dyDescent="0.4">
      <c r="W1924" s="49">
        <v>47272</v>
      </c>
      <c r="X1924" s="49">
        <v>47272</v>
      </c>
      <c r="Y1924" s="49">
        <v>47272</v>
      </c>
      <c r="AY1924" s="49">
        <v>47272</v>
      </c>
      <c r="AZ1924" s="49">
        <v>47272</v>
      </c>
      <c r="BA1924" s="49">
        <v>47272</v>
      </c>
    </row>
    <row r="1925" spans="23:53" ht="16.2" customHeight="1" x14ac:dyDescent="0.4">
      <c r="W1925" s="49">
        <v>47275</v>
      </c>
      <c r="X1925" s="49">
        <v>47275</v>
      </c>
      <c r="Y1925" s="49">
        <v>47275</v>
      </c>
      <c r="AY1925" s="49">
        <v>47275</v>
      </c>
      <c r="AZ1925" s="49">
        <v>47275</v>
      </c>
      <c r="BA1925" s="49">
        <v>47275</v>
      </c>
    </row>
    <row r="1926" spans="23:53" ht="16.2" customHeight="1" x14ac:dyDescent="0.4">
      <c r="W1926" s="49">
        <v>47278</v>
      </c>
      <c r="X1926" s="49">
        <v>47278</v>
      </c>
      <c r="Y1926" s="49">
        <v>47278</v>
      </c>
      <c r="AY1926" s="49">
        <v>47278</v>
      </c>
      <c r="AZ1926" s="49">
        <v>47278</v>
      </c>
      <c r="BA1926" s="49">
        <v>47278</v>
      </c>
    </row>
    <row r="1927" spans="23:53" ht="16.2" customHeight="1" x14ac:dyDescent="0.4">
      <c r="W1927" s="49">
        <v>47279</v>
      </c>
      <c r="X1927" s="49">
        <v>47279</v>
      </c>
      <c r="Y1927" s="49">
        <v>47279</v>
      </c>
      <c r="AY1927" s="49">
        <v>47279</v>
      </c>
      <c r="AZ1927" s="49">
        <v>47279</v>
      </c>
      <c r="BA1927" s="49">
        <v>47279</v>
      </c>
    </row>
    <row r="1928" spans="23:53" ht="16.2" customHeight="1" x14ac:dyDescent="0.4">
      <c r="W1928" s="49">
        <v>47285</v>
      </c>
      <c r="X1928" s="49">
        <v>47285</v>
      </c>
      <c r="Y1928" s="49">
        <v>47285</v>
      </c>
      <c r="AY1928" s="49">
        <v>47285</v>
      </c>
      <c r="AZ1928" s="49">
        <v>47285</v>
      </c>
      <c r="BA1928" s="49">
        <v>47285</v>
      </c>
    </row>
    <row r="1929" spans="23:53" ht="16.2" customHeight="1" x14ac:dyDescent="0.4">
      <c r="W1929" s="49">
        <v>47286</v>
      </c>
      <c r="X1929" s="49">
        <v>47286</v>
      </c>
      <c r="Y1929" s="49">
        <v>47286</v>
      </c>
      <c r="AY1929" s="49">
        <v>47286</v>
      </c>
      <c r="AZ1929" s="49">
        <v>47286</v>
      </c>
      <c r="BA1929" s="49">
        <v>47286</v>
      </c>
    </row>
    <row r="1930" spans="23:53" ht="16.2" customHeight="1" x14ac:dyDescent="0.4">
      <c r="W1930" s="49">
        <v>47292</v>
      </c>
      <c r="X1930" s="49">
        <v>47292</v>
      </c>
      <c r="Y1930" s="49">
        <v>47292</v>
      </c>
      <c r="AY1930" s="49">
        <v>47292</v>
      </c>
      <c r="AZ1930" s="49">
        <v>47292</v>
      </c>
      <c r="BA1930" s="49">
        <v>47292</v>
      </c>
    </row>
    <row r="1931" spans="23:53" ht="16.2" customHeight="1" x14ac:dyDescent="0.4">
      <c r="W1931" s="49">
        <v>47293</v>
      </c>
      <c r="X1931" s="49">
        <v>47293</v>
      </c>
      <c r="Y1931" s="49">
        <v>47293</v>
      </c>
      <c r="AY1931" s="49">
        <v>47293</v>
      </c>
      <c r="AZ1931" s="49">
        <v>47293</v>
      </c>
      <c r="BA1931" s="49">
        <v>47293</v>
      </c>
    </row>
    <row r="1932" spans="23:53" ht="16.2" customHeight="1" x14ac:dyDescent="0.4">
      <c r="W1932" s="49">
        <v>47299</v>
      </c>
      <c r="X1932" s="49">
        <v>47299</v>
      </c>
      <c r="Y1932" s="49">
        <v>47299</v>
      </c>
      <c r="AY1932" s="49">
        <v>47299</v>
      </c>
      <c r="AZ1932" s="49">
        <v>47299</v>
      </c>
      <c r="BA1932" s="49">
        <v>47299</v>
      </c>
    </row>
    <row r="1933" spans="23:53" ht="16.2" customHeight="1" x14ac:dyDescent="0.4">
      <c r="W1933" s="49">
        <v>47300</v>
      </c>
      <c r="X1933" s="49">
        <v>47300</v>
      </c>
      <c r="Y1933" s="49">
        <v>47300</v>
      </c>
      <c r="AY1933" s="49">
        <v>47300</v>
      </c>
      <c r="AZ1933" s="49">
        <v>47300</v>
      </c>
      <c r="BA1933" s="49">
        <v>47300</v>
      </c>
    </row>
    <row r="1934" spans="23:53" ht="16.2" customHeight="1" x14ac:dyDescent="0.4">
      <c r="W1934" s="49">
        <v>47306</v>
      </c>
      <c r="X1934" s="49">
        <v>47306</v>
      </c>
      <c r="Y1934" s="49">
        <v>47306</v>
      </c>
      <c r="AY1934" s="49">
        <v>47306</v>
      </c>
      <c r="AZ1934" s="49">
        <v>47306</v>
      </c>
      <c r="BA1934" s="49">
        <v>47306</v>
      </c>
    </row>
    <row r="1935" spans="23:53" ht="16.2" customHeight="1" x14ac:dyDescent="0.4">
      <c r="W1935" s="49">
        <v>47307</v>
      </c>
      <c r="X1935" s="49">
        <v>47307</v>
      </c>
      <c r="Y1935" s="49">
        <v>47307</v>
      </c>
      <c r="AY1935" s="49">
        <v>47307</v>
      </c>
      <c r="AZ1935" s="49">
        <v>47307</v>
      </c>
      <c r="BA1935" s="49">
        <v>47307</v>
      </c>
    </row>
    <row r="1936" spans="23:53" ht="16.2" customHeight="1" x14ac:dyDescent="0.4">
      <c r="W1936" s="49">
        <v>47313</v>
      </c>
      <c r="X1936" s="49">
        <v>47313</v>
      </c>
      <c r="Y1936" s="49">
        <v>47313</v>
      </c>
      <c r="AY1936" s="49">
        <v>47313</v>
      </c>
      <c r="AZ1936" s="49">
        <v>47313</v>
      </c>
      <c r="BA1936" s="49">
        <v>47313</v>
      </c>
    </row>
    <row r="1937" spans="23:53" ht="16.2" customHeight="1" x14ac:dyDescent="0.4">
      <c r="W1937" s="49">
        <v>47314</v>
      </c>
      <c r="X1937" s="49">
        <v>47314</v>
      </c>
      <c r="Y1937" s="49">
        <v>47314</v>
      </c>
      <c r="AY1937" s="49">
        <v>47314</v>
      </c>
      <c r="AZ1937" s="49">
        <v>47314</v>
      </c>
      <c r="BA1937" s="49">
        <v>47314</v>
      </c>
    </row>
    <row r="1938" spans="23:53" ht="16.2" customHeight="1" x14ac:dyDescent="0.4">
      <c r="W1938" s="49">
        <v>47320</v>
      </c>
      <c r="X1938" s="49">
        <v>47320</v>
      </c>
      <c r="Y1938" s="49">
        <v>47320</v>
      </c>
      <c r="AY1938" s="49">
        <v>47320</v>
      </c>
      <c r="AZ1938" s="49">
        <v>47320</v>
      </c>
      <c r="BA1938" s="49">
        <v>47320</v>
      </c>
    </row>
    <row r="1939" spans="23:53" ht="16.2" customHeight="1" x14ac:dyDescent="0.4">
      <c r="W1939" s="49">
        <v>47321</v>
      </c>
      <c r="X1939" s="49">
        <v>47321</v>
      </c>
      <c r="Y1939" s="49">
        <v>47321</v>
      </c>
      <c r="AY1939" s="49">
        <v>47321</v>
      </c>
      <c r="AZ1939" s="49">
        <v>47321</v>
      </c>
      <c r="BA1939" s="49">
        <v>47321</v>
      </c>
    </row>
    <row r="1940" spans="23:53" ht="16.2" customHeight="1" x14ac:dyDescent="0.4">
      <c r="W1940" s="49">
        <v>47327</v>
      </c>
      <c r="X1940" s="49">
        <v>47327</v>
      </c>
      <c r="Y1940" s="49">
        <v>47327</v>
      </c>
      <c r="AY1940" s="49">
        <v>47327</v>
      </c>
      <c r="AZ1940" s="49">
        <v>47327</v>
      </c>
      <c r="BA1940" s="49">
        <v>47327</v>
      </c>
    </row>
    <row r="1941" spans="23:53" ht="16.2" customHeight="1" x14ac:dyDescent="0.4">
      <c r="W1941" s="49">
        <v>47328</v>
      </c>
      <c r="X1941" s="49">
        <v>47328</v>
      </c>
      <c r="Y1941" s="49">
        <v>47328</v>
      </c>
      <c r="AY1941" s="49">
        <v>47328</v>
      </c>
      <c r="AZ1941" s="49">
        <v>47328</v>
      </c>
      <c r="BA1941" s="49">
        <v>47328</v>
      </c>
    </row>
    <row r="1942" spans="23:53" ht="16.2" customHeight="1" x14ac:dyDescent="0.4">
      <c r="W1942" s="49">
        <v>47334</v>
      </c>
      <c r="X1942" s="49">
        <v>47334</v>
      </c>
      <c r="Y1942" s="49">
        <v>47334</v>
      </c>
      <c r="AY1942" s="49">
        <v>47334</v>
      </c>
      <c r="AZ1942" s="49">
        <v>47334</v>
      </c>
      <c r="BA1942" s="49">
        <v>47334</v>
      </c>
    </row>
    <row r="1943" spans="23:53" ht="16.2" customHeight="1" x14ac:dyDescent="0.4">
      <c r="W1943" s="49">
        <v>47335</v>
      </c>
      <c r="X1943" s="49">
        <v>47335</v>
      </c>
      <c r="Y1943" s="49">
        <v>47335</v>
      </c>
      <c r="AY1943" s="49">
        <v>47335</v>
      </c>
      <c r="AZ1943" s="49">
        <v>47335</v>
      </c>
      <c r="BA1943" s="49">
        <v>47335</v>
      </c>
    </row>
    <row r="1944" spans="23:53" ht="16.2" customHeight="1" x14ac:dyDescent="0.4">
      <c r="W1944" s="49">
        <v>47341</v>
      </c>
      <c r="X1944" s="49">
        <v>47341</v>
      </c>
      <c r="Y1944" s="49">
        <v>47341</v>
      </c>
      <c r="AY1944" s="49">
        <v>47341</v>
      </c>
      <c r="AZ1944" s="49">
        <v>47341</v>
      </c>
      <c r="BA1944" s="49">
        <v>47341</v>
      </c>
    </row>
    <row r="1945" spans="23:53" ht="16.2" customHeight="1" x14ac:dyDescent="0.4">
      <c r="W1945" s="49">
        <v>47342</v>
      </c>
      <c r="X1945" s="49">
        <v>47342</v>
      </c>
      <c r="Y1945" s="49">
        <v>47342</v>
      </c>
      <c r="AY1945" s="49">
        <v>47342</v>
      </c>
      <c r="AZ1945" s="49">
        <v>47342</v>
      </c>
      <c r="BA1945" s="49">
        <v>47342</v>
      </c>
    </row>
    <row r="1946" spans="23:53" ht="16.2" customHeight="1" x14ac:dyDescent="0.4">
      <c r="W1946" s="49">
        <v>47345</v>
      </c>
      <c r="X1946" s="49">
        <v>47345</v>
      </c>
      <c r="Y1946" s="49">
        <v>47345</v>
      </c>
      <c r="AY1946" s="49">
        <v>47345</v>
      </c>
      <c r="AZ1946" s="49">
        <v>47345</v>
      </c>
      <c r="BA1946" s="49">
        <v>47345</v>
      </c>
    </row>
    <row r="1947" spans="23:53" ht="16.2" customHeight="1" x14ac:dyDescent="0.4">
      <c r="W1947" s="49">
        <v>47348</v>
      </c>
      <c r="X1947" s="49">
        <v>47348</v>
      </c>
      <c r="Y1947" s="49">
        <v>47348</v>
      </c>
      <c r="AY1947" s="49">
        <v>47348</v>
      </c>
      <c r="AZ1947" s="49">
        <v>47348</v>
      </c>
      <c r="BA1947" s="49">
        <v>47348</v>
      </c>
    </row>
    <row r="1948" spans="23:53" ht="16.2" customHeight="1" x14ac:dyDescent="0.4">
      <c r="W1948" s="49">
        <v>47349</v>
      </c>
      <c r="X1948" s="49">
        <v>47349</v>
      </c>
      <c r="Y1948" s="49">
        <v>47349</v>
      </c>
      <c r="AY1948" s="49">
        <v>47349</v>
      </c>
      <c r="AZ1948" s="49">
        <v>47349</v>
      </c>
      <c r="BA1948" s="49">
        <v>47349</v>
      </c>
    </row>
    <row r="1949" spans="23:53" ht="16.2" customHeight="1" x14ac:dyDescent="0.4">
      <c r="W1949" s="49">
        <v>47355</v>
      </c>
      <c r="X1949" s="49">
        <v>47355</v>
      </c>
      <c r="Y1949" s="49">
        <v>47355</v>
      </c>
      <c r="AY1949" s="49">
        <v>47355</v>
      </c>
      <c r="AZ1949" s="49">
        <v>47355</v>
      </c>
      <c r="BA1949" s="49">
        <v>47355</v>
      </c>
    </row>
    <row r="1950" spans="23:53" ht="16.2" customHeight="1" x14ac:dyDescent="0.4">
      <c r="W1950" s="49">
        <v>47356</v>
      </c>
      <c r="X1950" s="49">
        <v>47356</v>
      </c>
      <c r="Y1950" s="49">
        <v>47356</v>
      </c>
      <c r="AY1950" s="49">
        <v>47356</v>
      </c>
      <c r="AZ1950" s="49">
        <v>47356</v>
      </c>
      <c r="BA1950" s="49">
        <v>47356</v>
      </c>
    </row>
    <row r="1951" spans="23:53" ht="16.2" customHeight="1" x14ac:dyDescent="0.4">
      <c r="W1951" s="49">
        <v>47362</v>
      </c>
      <c r="X1951" s="49">
        <v>47362</v>
      </c>
      <c r="Y1951" s="49">
        <v>47362</v>
      </c>
      <c r="AY1951" s="49">
        <v>47362</v>
      </c>
      <c r="AZ1951" s="49">
        <v>47362</v>
      </c>
      <c r="BA1951" s="49">
        <v>47362</v>
      </c>
    </row>
    <row r="1952" spans="23:53" ht="16.2" customHeight="1" x14ac:dyDescent="0.4">
      <c r="W1952" s="49">
        <v>47363</v>
      </c>
      <c r="X1952" s="49">
        <v>47363</v>
      </c>
      <c r="Y1952" s="49">
        <v>47363</v>
      </c>
      <c r="AY1952" s="49">
        <v>47363</v>
      </c>
      <c r="AZ1952" s="49">
        <v>47363</v>
      </c>
      <c r="BA1952" s="49">
        <v>47363</v>
      </c>
    </row>
    <row r="1953" spans="23:53" ht="16.2" customHeight="1" x14ac:dyDescent="0.4">
      <c r="W1953" s="49">
        <v>47369</v>
      </c>
      <c r="X1953" s="49">
        <v>47369</v>
      </c>
      <c r="Y1953" s="49">
        <v>47369</v>
      </c>
      <c r="AY1953" s="49">
        <v>47369</v>
      </c>
      <c r="AZ1953" s="49">
        <v>47369</v>
      </c>
      <c r="BA1953" s="49">
        <v>47369</v>
      </c>
    </row>
    <row r="1954" spans="23:53" ht="16.2" customHeight="1" x14ac:dyDescent="0.4">
      <c r="W1954" s="49">
        <v>47370</v>
      </c>
      <c r="X1954" s="49">
        <v>47370</v>
      </c>
      <c r="Y1954" s="49">
        <v>47370</v>
      </c>
      <c r="AY1954" s="49">
        <v>47370</v>
      </c>
      <c r="AZ1954" s="49">
        <v>47370</v>
      </c>
      <c r="BA1954" s="49">
        <v>47370</v>
      </c>
    </row>
    <row r="1955" spans="23:53" ht="16.2" customHeight="1" x14ac:dyDescent="0.4">
      <c r="W1955" s="49">
        <v>47376</v>
      </c>
      <c r="X1955" s="49">
        <v>47376</v>
      </c>
      <c r="Y1955" s="49">
        <v>47376</v>
      </c>
      <c r="AY1955" s="49">
        <v>47376</v>
      </c>
      <c r="AZ1955" s="49">
        <v>47376</v>
      </c>
      <c r="BA1955" s="49">
        <v>47376</v>
      </c>
    </row>
    <row r="1956" spans="23:53" ht="16.2" customHeight="1" x14ac:dyDescent="0.4">
      <c r="W1956" s="49">
        <v>47377</v>
      </c>
      <c r="X1956" s="49">
        <v>47377</v>
      </c>
      <c r="Y1956" s="49">
        <v>47377</v>
      </c>
      <c r="AY1956" s="49">
        <v>47377</v>
      </c>
      <c r="AZ1956" s="49">
        <v>47377</v>
      </c>
      <c r="BA1956" s="49">
        <v>47377</v>
      </c>
    </row>
    <row r="1957" spans="23:53" ht="16.2" customHeight="1" x14ac:dyDescent="0.4">
      <c r="W1957" s="49">
        <v>47382</v>
      </c>
      <c r="X1957" s="49">
        <v>47382</v>
      </c>
      <c r="Y1957" s="49">
        <v>47382</v>
      </c>
      <c r="AY1957" s="49">
        <v>47382</v>
      </c>
      <c r="AZ1957" s="49">
        <v>47382</v>
      </c>
      <c r="BA1957" s="49">
        <v>47382</v>
      </c>
    </row>
    <row r="1958" spans="23:53" ht="16.2" customHeight="1" x14ac:dyDescent="0.4">
      <c r="W1958" s="49">
        <v>47384</v>
      </c>
      <c r="X1958" s="49">
        <v>47384</v>
      </c>
      <c r="Y1958" s="49">
        <v>47384</v>
      </c>
      <c r="AY1958" s="49">
        <v>47384</v>
      </c>
      <c r="AZ1958" s="49">
        <v>47384</v>
      </c>
      <c r="BA1958" s="49">
        <v>47384</v>
      </c>
    </row>
    <row r="1959" spans="23:53" ht="16.2" customHeight="1" x14ac:dyDescent="0.4">
      <c r="W1959" s="49">
        <v>47390</v>
      </c>
      <c r="X1959" s="49">
        <v>47390</v>
      </c>
      <c r="Y1959" s="49">
        <v>47390</v>
      </c>
      <c r="AY1959" s="49">
        <v>47390</v>
      </c>
      <c r="AZ1959" s="49">
        <v>47390</v>
      </c>
      <c r="BA1959" s="49">
        <v>47390</v>
      </c>
    </row>
    <row r="1960" spans="23:53" ht="16.2" customHeight="1" x14ac:dyDescent="0.4">
      <c r="W1960" s="49">
        <v>47391</v>
      </c>
      <c r="X1960" s="49">
        <v>47391</v>
      </c>
      <c r="Y1960" s="49">
        <v>47391</v>
      </c>
      <c r="AY1960" s="49">
        <v>47391</v>
      </c>
      <c r="AZ1960" s="49">
        <v>47391</v>
      </c>
      <c r="BA1960" s="49">
        <v>47391</v>
      </c>
    </row>
    <row r="1961" spans="23:53" ht="16.2" customHeight="1" x14ac:dyDescent="0.4">
      <c r="W1961" s="49">
        <v>47394</v>
      </c>
      <c r="X1961" s="49">
        <v>47394</v>
      </c>
      <c r="Y1961" s="49">
        <v>47394</v>
      </c>
      <c r="AY1961" s="49">
        <v>47394</v>
      </c>
      <c r="AZ1961" s="49">
        <v>47394</v>
      </c>
      <c r="BA1961" s="49">
        <v>47394</v>
      </c>
    </row>
    <row r="1962" spans="23:53" ht="16.2" customHeight="1" x14ac:dyDescent="0.4">
      <c r="W1962" s="49">
        <v>47397</v>
      </c>
      <c r="X1962" s="49">
        <v>47397</v>
      </c>
      <c r="Y1962" s="49">
        <v>47397</v>
      </c>
      <c r="AY1962" s="49">
        <v>47397</v>
      </c>
      <c r="AZ1962" s="49">
        <v>47397</v>
      </c>
      <c r="BA1962" s="49">
        <v>47397</v>
      </c>
    </row>
    <row r="1963" spans="23:53" ht="16.2" customHeight="1" x14ac:dyDescent="0.4">
      <c r="W1963" s="49">
        <v>47398</v>
      </c>
      <c r="X1963" s="49">
        <v>47398</v>
      </c>
      <c r="Y1963" s="49">
        <v>47398</v>
      </c>
      <c r="AY1963" s="49">
        <v>47398</v>
      </c>
      <c r="AZ1963" s="49">
        <v>47398</v>
      </c>
      <c r="BA1963" s="49">
        <v>47398</v>
      </c>
    </row>
    <row r="1964" spans="23:53" ht="16.2" customHeight="1" x14ac:dyDescent="0.4">
      <c r="W1964" s="49">
        <v>47400</v>
      </c>
      <c r="X1964" s="49">
        <v>47400</v>
      </c>
      <c r="Y1964" s="49">
        <v>47400</v>
      </c>
      <c r="AY1964" s="49">
        <v>47400</v>
      </c>
      <c r="AZ1964" s="49">
        <v>47400</v>
      </c>
      <c r="BA1964" s="49">
        <v>47400</v>
      </c>
    </row>
    <row r="1965" spans="23:53" ht="16.2" customHeight="1" x14ac:dyDescent="0.4">
      <c r="W1965" s="49">
        <v>47404</v>
      </c>
      <c r="X1965" s="49">
        <v>47404</v>
      </c>
      <c r="Y1965" s="49">
        <v>47404</v>
      </c>
      <c r="AY1965" s="49">
        <v>47404</v>
      </c>
      <c r="AZ1965" s="49">
        <v>47404</v>
      </c>
      <c r="BA1965" s="49">
        <v>47404</v>
      </c>
    </row>
    <row r="1966" spans="23:53" ht="16.2" customHeight="1" x14ac:dyDescent="0.4">
      <c r="W1966" s="49">
        <v>47405</v>
      </c>
      <c r="X1966" s="49">
        <v>47405</v>
      </c>
      <c r="Y1966" s="49">
        <v>47405</v>
      </c>
      <c r="AY1966" s="49">
        <v>47405</v>
      </c>
      <c r="AZ1966" s="49">
        <v>47405</v>
      </c>
      <c r="BA1966" s="49">
        <v>47405</v>
      </c>
    </row>
    <row r="1967" spans="23:53" ht="16.2" customHeight="1" x14ac:dyDescent="0.4">
      <c r="W1967" s="49">
        <v>47411</v>
      </c>
      <c r="X1967" s="49">
        <v>47411</v>
      </c>
      <c r="Y1967" s="49">
        <v>47411</v>
      </c>
      <c r="AY1967" s="49">
        <v>47411</v>
      </c>
      <c r="AZ1967" s="49">
        <v>47411</v>
      </c>
      <c r="BA1967" s="49">
        <v>47411</v>
      </c>
    </row>
    <row r="1968" spans="23:53" ht="16.2" customHeight="1" x14ac:dyDescent="0.4">
      <c r="W1968" s="49">
        <v>47412</v>
      </c>
      <c r="X1968" s="49">
        <v>47412</v>
      </c>
      <c r="Y1968" s="49">
        <v>47412</v>
      </c>
      <c r="AY1968" s="49">
        <v>47412</v>
      </c>
      <c r="AZ1968" s="49">
        <v>47412</v>
      </c>
      <c r="BA1968" s="49">
        <v>47412</v>
      </c>
    </row>
    <row r="1969" spans="23:53" ht="16.2" customHeight="1" x14ac:dyDescent="0.4">
      <c r="W1969" s="49">
        <v>47418</v>
      </c>
      <c r="X1969" s="49">
        <v>47418</v>
      </c>
      <c r="Y1969" s="49">
        <v>47418</v>
      </c>
      <c r="AY1969" s="49">
        <v>47418</v>
      </c>
      <c r="AZ1969" s="49">
        <v>47418</v>
      </c>
      <c r="BA1969" s="49">
        <v>47418</v>
      </c>
    </row>
    <row r="1970" spans="23:53" ht="16.2" customHeight="1" x14ac:dyDescent="0.4">
      <c r="W1970" s="49">
        <v>47419</v>
      </c>
      <c r="X1970" s="49">
        <v>47419</v>
      </c>
      <c r="Y1970" s="49">
        <v>47419</v>
      </c>
      <c r="AY1970" s="49">
        <v>47419</v>
      </c>
      <c r="AZ1970" s="49">
        <v>47419</v>
      </c>
      <c r="BA1970" s="49">
        <v>47419</v>
      </c>
    </row>
    <row r="1971" spans="23:53" ht="16.2" customHeight="1" x14ac:dyDescent="0.4">
      <c r="W1971" s="49">
        <v>47425</v>
      </c>
      <c r="X1971" s="49">
        <v>47425</v>
      </c>
      <c r="Y1971" s="49">
        <v>47425</v>
      </c>
      <c r="AY1971" s="49">
        <v>47425</v>
      </c>
      <c r="AZ1971" s="49">
        <v>47425</v>
      </c>
      <c r="BA1971" s="49">
        <v>47425</v>
      </c>
    </row>
    <row r="1972" spans="23:53" ht="16.2" customHeight="1" x14ac:dyDescent="0.4">
      <c r="W1972" s="49">
        <v>47426</v>
      </c>
      <c r="X1972" s="49">
        <v>47426</v>
      </c>
      <c r="Y1972" s="49">
        <v>47426</v>
      </c>
      <c r="AY1972" s="49">
        <v>47426</v>
      </c>
      <c r="AZ1972" s="49">
        <v>47426</v>
      </c>
      <c r="BA1972" s="49">
        <v>47426</v>
      </c>
    </row>
    <row r="1973" spans="23:53" ht="16.2" customHeight="1" x14ac:dyDescent="0.4">
      <c r="W1973" s="49">
        <v>47432</v>
      </c>
      <c r="X1973" s="49">
        <v>47432</v>
      </c>
      <c r="Y1973" s="49">
        <v>47432</v>
      </c>
      <c r="AY1973" s="49">
        <v>47432</v>
      </c>
      <c r="AZ1973" s="49">
        <v>47432</v>
      </c>
      <c r="BA1973" s="49">
        <v>47432</v>
      </c>
    </row>
    <row r="1974" spans="23:53" ht="16.2" customHeight="1" x14ac:dyDescent="0.4">
      <c r="W1974" s="49">
        <v>47433</v>
      </c>
      <c r="X1974" s="49">
        <v>47433</v>
      </c>
      <c r="Y1974" s="49">
        <v>47433</v>
      </c>
      <c r="AY1974" s="49">
        <v>47433</v>
      </c>
      <c r="AZ1974" s="49">
        <v>47433</v>
      </c>
      <c r="BA1974" s="49">
        <v>47433</v>
      </c>
    </row>
    <row r="1975" spans="23:53" ht="16.2" customHeight="1" x14ac:dyDescent="0.4">
      <c r="W1975" s="49">
        <v>47439</v>
      </c>
      <c r="X1975" s="49">
        <v>47439</v>
      </c>
      <c r="Y1975" s="49">
        <v>47439</v>
      </c>
      <c r="AY1975" s="49">
        <v>47439</v>
      </c>
      <c r="AZ1975" s="49">
        <v>47439</v>
      </c>
      <c r="BA1975" s="49">
        <v>47439</v>
      </c>
    </row>
    <row r="1976" spans="23:53" ht="16.2" customHeight="1" x14ac:dyDescent="0.4">
      <c r="W1976" s="49">
        <v>47440</v>
      </c>
      <c r="X1976" s="49">
        <v>47440</v>
      </c>
      <c r="Y1976" s="49">
        <v>47440</v>
      </c>
      <c r="AY1976" s="49">
        <v>47440</v>
      </c>
      <c r="AZ1976" s="49">
        <v>47440</v>
      </c>
      <c r="BA1976" s="49">
        <v>47440</v>
      </c>
    </row>
    <row r="1977" spans="23:53" ht="16.2" customHeight="1" x14ac:dyDescent="0.4">
      <c r="W1977" s="49">
        <v>47446</v>
      </c>
      <c r="X1977" s="49">
        <v>47446</v>
      </c>
      <c r="Y1977" s="49">
        <v>47446</v>
      </c>
      <c r="AY1977" s="49">
        <v>47446</v>
      </c>
      <c r="AZ1977" s="49">
        <v>47446</v>
      </c>
      <c r="BA1977" s="49">
        <v>47446</v>
      </c>
    </row>
    <row r="1978" spans="23:53" ht="16.2" customHeight="1" x14ac:dyDescent="0.4">
      <c r="W1978" s="49">
        <v>47447</v>
      </c>
      <c r="X1978" s="49">
        <v>47447</v>
      </c>
      <c r="Y1978" s="49">
        <v>47447</v>
      </c>
      <c r="AY1978" s="49">
        <v>47447</v>
      </c>
      <c r="AZ1978" s="49">
        <v>47447</v>
      </c>
      <c r="BA1978" s="49">
        <v>47447</v>
      </c>
    </row>
    <row r="1979" spans="23:53" ht="16.2" customHeight="1" x14ac:dyDescent="0.4">
      <c r="W1979" s="49">
        <v>47453</v>
      </c>
      <c r="X1979" s="49">
        <v>47453</v>
      </c>
      <c r="Y1979" s="49">
        <v>47453</v>
      </c>
      <c r="AY1979" s="49">
        <v>47453</v>
      </c>
      <c r="AZ1979" s="49">
        <v>47453</v>
      </c>
      <c r="BA1979" s="49">
        <v>47453</v>
      </c>
    </row>
    <row r="1980" spans="23:53" ht="16.2" customHeight="1" x14ac:dyDescent="0.4">
      <c r="W1980" s="49">
        <v>47454</v>
      </c>
      <c r="X1980" s="49">
        <v>47454</v>
      </c>
      <c r="Y1980" s="49">
        <v>47454</v>
      </c>
      <c r="AY1980" s="49">
        <v>47454</v>
      </c>
      <c r="AZ1980" s="49">
        <v>47454</v>
      </c>
      <c r="BA1980" s="49">
        <v>47454</v>
      </c>
    </row>
    <row r="1981" spans="23:53" ht="16.2" customHeight="1" x14ac:dyDescent="0.4">
      <c r="W1981" s="49">
        <v>47460</v>
      </c>
      <c r="X1981" s="49">
        <v>47460</v>
      </c>
      <c r="Y1981" s="49">
        <v>47460</v>
      </c>
      <c r="AY1981" s="49">
        <v>47460</v>
      </c>
      <c r="AZ1981" s="49">
        <v>47460</v>
      </c>
      <c r="BA1981" s="49">
        <v>47460</v>
      </c>
    </row>
    <row r="1982" spans="23:53" ht="16.2" customHeight="1" x14ac:dyDescent="0.4">
      <c r="W1982" s="49">
        <v>47461</v>
      </c>
      <c r="X1982" s="49">
        <v>47461</v>
      </c>
      <c r="Y1982" s="49">
        <v>47461</v>
      </c>
      <c r="AY1982" s="49">
        <v>47461</v>
      </c>
      <c r="AZ1982" s="49">
        <v>47461</v>
      </c>
      <c r="BA1982" s="49">
        <v>47461</v>
      </c>
    </row>
    <row r="1983" spans="23:53" ht="16.2" customHeight="1" x14ac:dyDescent="0.4">
      <c r="W1983" s="49">
        <v>47467</v>
      </c>
      <c r="X1983" s="49">
        <v>47467</v>
      </c>
      <c r="Y1983" s="49">
        <v>47467</v>
      </c>
      <c r="AY1983" s="49">
        <v>47467</v>
      </c>
      <c r="AZ1983" s="49">
        <v>47467</v>
      </c>
      <c r="BA1983" s="49">
        <v>47467</v>
      </c>
    </row>
    <row r="1984" spans="23:53" ht="16.2" customHeight="1" x14ac:dyDescent="0.4">
      <c r="W1984" s="49">
        <v>47468</v>
      </c>
      <c r="X1984" s="49">
        <v>47468</v>
      </c>
      <c r="Y1984" s="49">
        <v>47468</v>
      </c>
      <c r="AY1984" s="49">
        <v>47468</v>
      </c>
      <c r="AZ1984" s="49">
        <v>47468</v>
      </c>
      <c r="BA1984" s="49">
        <v>47468</v>
      </c>
    </row>
    <row r="1985" spans="23:53" ht="16.2" customHeight="1" x14ac:dyDescent="0.4">
      <c r="W1985" s="49">
        <v>47474</v>
      </c>
      <c r="X1985" s="49">
        <v>47474</v>
      </c>
      <c r="Y1985" s="49">
        <v>47474</v>
      </c>
      <c r="AY1985" s="49">
        <v>47474</v>
      </c>
      <c r="AZ1985" s="49">
        <v>47474</v>
      </c>
      <c r="BA1985" s="49">
        <v>47474</v>
      </c>
    </row>
    <row r="1986" spans="23:53" ht="16.2" customHeight="1" x14ac:dyDescent="0.4">
      <c r="W1986" s="49">
        <v>47475</v>
      </c>
      <c r="X1986" s="49">
        <v>47475</v>
      </c>
      <c r="Y1986" s="49">
        <v>47475</v>
      </c>
      <c r="AY1986" s="49">
        <v>47475</v>
      </c>
      <c r="AZ1986" s="49">
        <v>47475</v>
      </c>
      <c r="BA1986" s="49">
        <v>47475</v>
      </c>
    </row>
    <row r="1987" spans="23:53" ht="16.2" customHeight="1" x14ac:dyDescent="0.4">
      <c r="W1987" s="49">
        <v>47477</v>
      </c>
      <c r="X1987" s="49">
        <v>47477</v>
      </c>
      <c r="Y1987" s="49">
        <v>47477</v>
      </c>
      <c r="AY1987" s="49">
        <v>47477</v>
      </c>
      <c r="AZ1987" s="49">
        <v>47477</v>
      </c>
      <c r="BA1987" s="49">
        <v>47477</v>
      </c>
    </row>
    <row r="1988" spans="23:53" ht="16.2" customHeight="1" x14ac:dyDescent="0.4">
      <c r="W1988" s="49">
        <v>47481</v>
      </c>
      <c r="X1988" s="49">
        <v>47481</v>
      </c>
      <c r="Y1988" s="49">
        <v>47481</v>
      </c>
      <c r="AY1988" s="49">
        <v>47481</v>
      </c>
      <c r="AZ1988" s="49">
        <v>47481</v>
      </c>
      <c r="BA1988" s="49">
        <v>47481</v>
      </c>
    </row>
    <row r="1989" spans="23:53" ht="16.2" customHeight="1" x14ac:dyDescent="0.4">
      <c r="W1989" s="49">
        <v>47482</v>
      </c>
      <c r="X1989" s="49">
        <v>47482</v>
      </c>
      <c r="Y1989" s="49">
        <v>47482</v>
      </c>
      <c r="AY1989" s="49">
        <v>47482</v>
      </c>
      <c r="AZ1989" s="49">
        <v>47482</v>
      </c>
      <c r="BA1989" s="49">
        <v>47482</v>
      </c>
    </row>
    <row r="1990" spans="23:53" ht="16.2" customHeight="1" x14ac:dyDescent="0.4">
      <c r="W1990" s="49">
        <v>47484</v>
      </c>
      <c r="X1990" s="49">
        <v>47484</v>
      </c>
      <c r="Y1990" s="49">
        <v>47484</v>
      </c>
      <c r="AY1990" s="49">
        <v>47484</v>
      </c>
      <c r="AZ1990" s="49">
        <v>47484</v>
      </c>
      <c r="BA1990" s="49">
        <v>47484</v>
      </c>
    </row>
    <row r="1991" spans="23:53" ht="16.2" customHeight="1" x14ac:dyDescent="0.4">
      <c r="W1991" s="49">
        <v>47488</v>
      </c>
      <c r="X1991" s="49">
        <v>47488</v>
      </c>
      <c r="Y1991" s="49">
        <v>47488</v>
      </c>
      <c r="AY1991" s="49">
        <v>47488</v>
      </c>
      <c r="AZ1991" s="49">
        <v>47488</v>
      </c>
      <c r="BA1991" s="49">
        <v>47488</v>
      </c>
    </row>
    <row r="1992" spans="23:53" ht="16.2" customHeight="1" x14ac:dyDescent="0.4">
      <c r="W1992" s="49">
        <v>47489</v>
      </c>
      <c r="X1992" s="49">
        <v>47489</v>
      </c>
      <c r="Y1992" s="49">
        <v>47489</v>
      </c>
      <c r="AY1992" s="49">
        <v>47489</v>
      </c>
      <c r="AZ1992" s="49">
        <v>47489</v>
      </c>
      <c r="BA1992" s="49">
        <v>47489</v>
      </c>
    </row>
    <row r="1993" spans="23:53" ht="16.2" customHeight="1" x14ac:dyDescent="0.4">
      <c r="W1993" s="49">
        <v>47495</v>
      </c>
      <c r="X1993" s="49">
        <v>47495</v>
      </c>
      <c r="Y1993" s="49">
        <v>47495</v>
      </c>
      <c r="AY1993" s="49">
        <v>47495</v>
      </c>
      <c r="AZ1993" s="49">
        <v>47495</v>
      </c>
      <c r="BA1993" s="49">
        <v>47495</v>
      </c>
    </row>
    <row r="1994" spans="23:53" ht="16.2" customHeight="1" x14ac:dyDescent="0.4">
      <c r="W1994" s="49">
        <v>47496</v>
      </c>
      <c r="X1994" s="49">
        <v>47496</v>
      </c>
      <c r="Y1994" s="49">
        <v>47496</v>
      </c>
      <c r="AY1994" s="49">
        <v>47496</v>
      </c>
      <c r="AZ1994" s="49">
        <v>47496</v>
      </c>
      <c r="BA1994" s="49">
        <v>47496</v>
      </c>
    </row>
    <row r="1995" spans="23:53" ht="16.2" customHeight="1" x14ac:dyDescent="0.4">
      <c r="W1995" s="49">
        <v>47502</v>
      </c>
      <c r="X1995" s="49">
        <v>47502</v>
      </c>
      <c r="Y1995" s="49">
        <v>47502</v>
      </c>
      <c r="AY1995" s="49">
        <v>47502</v>
      </c>
      <c r="AZ1995" s="49">
        <v>47502</v>
      </c>
      <c r="BA1995" s="49">
        <v>47502</v>
      </c>
    </row>
    <row r="1996" spans="23:53" ht="16.2" customHeight="1" x14ac:dyDescent="0.4">
      <c r="W1996" s="49">
        <v>47503</v>
      </c>
      <c r="X1996" s="49">
        <v>47503</v>
      </c>
      <c r="Y1996" s="49">
        <v>47503</v>
      </c>
      <c r="AY1996" s="49">
        <v>47503</v>
      </c>
      <c r="AZ1996" s="49">
        <v>47503</v>
      </c>
      <c r="BA1996" s="49">
        <v>47503</v>
      </c>
    </row>
    <row r="1997" spans="23:53" ht="16.2" customHeight="1" x14ac:dyDescent="0.4">
      <c r="W1997" s="49">
        <v>47509</v>
      </c>
      <c r="X1997" s="49">
        <v>47509</v>
      </c>
      <c r="Y1997" s="49">
        <v>47509</v>
      </c>
      <c r="AY1997" s="49">
        <v>47509</v>
      </c>
      <c r="AZ1997" s="49">
        <v>47509</v>
      </c>
      <c r="BA1997" s="49">
        <v>47509</v>
      </c>
    </row>
    <row r="1998" spans="23:53" ht="16.2" customHeight="1" x14ac:dyDescent="0.4">
      <c r="W1998" s="49">
        <v>47510</v>
      </c>
      <c r="X1998" s="49">
        <v>47510</v>
      </c>
      <c r="Y1998" s="49">
        <v>47510</v>
      </c>
      <c r="AY1998" s="49">
        <v>47510</v>
      </c>
      <c r="AZ1998" s="49">
        <v>47510</v>
      </c>
      <c r="BA1998" s="49">
        <v>47510</v>
      </c>
    </row>
    <row r="1999" spans="23:53" ht="16.2" customHeight="1" x14ac:dyDescent="0.4">
      <c r="W1999" s="49">
        <v>47517</v>
      </c>
      <c r="X1999" s="49">
        <v>47517</v>
      </c>
      <c r="Y1999" s="49">
        <v>47517</v>
      </c>
      <c r="AY1999" s="49">
        <v>47517</v>
      </c>
      <c r="AZ1999" s="49">
        <v>47517</v>
      </c>
      <c r="BA1999" s="49">
        <v>47517</v>
      </c>
    </row>
    <row r="2000" spans="23:53" ht="16.2" customHeight="1" x14ac:dyDescent="0.4">
      <c r="W2000" s="49">
        <v>47518</v>
      </c>
      <c r="X2000" s="49">
        <v>47518</v>
      </c>
      <c r="Y2000" s="49">
        <v>47518</v>
      </c>
      <c r="AY2000" s="49">
        <v>47518</v>
      </c>
      <c r="AZ2000" s="49">
        <v>47518</v>
      </c>
      <c r="BA2000" s="49">
        <v>47518</v>
      </c>
    </row>
    <row r="2001" spans="23:53" ht="16.2" customHeight="1" x14ac:dyDescent="0.4">
      <c r="W2001" s="49">
        <v>47523</v>
      </c>
      <c r="X2001" s="49">
        <v>47523</v>
      </c>
      <c r="Y2001" s="49">
        <v>47523</v>
      </c>
      <c r="AY2001" s="49">
        <v>47523</v>
      </c>
      <c r="AZ2001" s="49">
        <v>47523</v>
      </c>
      <c r="BA2001" s="49">
        <v>47523</v>
      </c>
    </row>
    <row r="2002" spans="23:53" ht="16.2" customHeight="1" x14ac:dyDescent="0.4">
      <c r="W2002" s="49">
        <v>47524</v>
      </c>
      <c r="X2002" s="49">
        <v>47524</v>
      </c>
      <c r="Y2002" s="49">
        <v>47524</v>
      </c>
      <c r="AY2002" s="49">
        <v>47524</v>
      </c>
      <c r="AZ2002" s="49">
        <v>47524</v>
      </c>
      <c r="BA2002" s="49">
        <v>47524</v>
      </c>
    </row>
    <row r="2003" spans="23:53" ht="16.2" customHeight="1" x14ac:dyDescent="0.4">
      <c r="W2003" s="49">
        <v>47530</v>
      </c>
      <c r="X2003" s="49">
        <v>47530</v>
      </c>
      <c r="Y2003" s="49">
        <v>47530</v>
      </c>
      <c r="AY2003" s="49">
        <v>47530</v>
      </c>
      <c r="AZ2003" s="49">
        <v>47530</v>
      </c>
      <c r="BA2003" s="49">
        <v>47530</v>
      </c>
    </row>
    <row r="2004" spans="23:53" ht="16.2" customHeight="1" x14ac:dyDescent="0.4">
      <c r="W2004" s="49">
        <v>47531</v>
      </c>
      <c r="X2004" s="49">
        <v>47531</v>
      </c>
      <c r="Y2004" s="49">
        <v>47531</v>
      </c>
      <c r="AY2004" s="49">
        <v>47531</v>
      </c>
      <c r="AZ2004" s="49">
        <v>47531</v>
      </c>
      <c r="BA2004" s="49">
        <v>47531</v>
      </c>
    </row>
    <row r="2005" spans="23:53" ht="16.2" customHeight="1" x14ac:dyDescent="0.4">
      <c r="W2005" s="49">
        <v>47537</v>
      </c>
      <c r="X2005" s="49">
        <v>47537</v>
      </c>
      <c r="Y2005" s="49">
        <v>47537</v>
      </c>
      <c r="AY2005" s="49">
        <v>47537</v>
      </c>
      <c r="AZ2005" s="49">
        <v>47537</v>
      </c>
      <c r="BA2005" s="49">
        <v>47537</v>
      </c>
    </row>
    <row r="2006" spans="23:53" ht="16.2" customHeight="1" x14ac:dyDescent="0.4">
      <c r="W2006" s="49">
        <v>47538</v>
      </c>
      <c r="X2006" s="49">
        <v>47538</v>
      </c>
      <c r="Y2006" s="49">
        <v>47538</v>
      </c>
      <c r="AY2006" s="49">
        <v>47538</v>
      </c>
      <c r="AZ2006" s="49">
        <v>47538</v>
      </c>
      <c r="BA2006" s="49">
        <v>47538</v>
      </c>
    </row>
    <row r="2007" spans="23:53" ht="16.2" customHeight="1" x14ac:dyDescent="0.4">
      <c r="W2007" s="49">
        <v>47543</v>
      </c>
      <c r="X2007" s="49">
        <v>47543</v>
      </c>
      <c r="Y2007" s="49">
        <v>47543</v>
      </c>
      <c r="AY2007" s="49">
        <v>47543</v>
      </c>
      <c r="AZ2007" s="49">
        <v>47543</v>
      </c>
      <c r="BA2007" s="49">
        <v>47543</v>
      </c>
    </row>
    <row r="2008" spans="23:53" ht="16.2" customHeight="1" x14ac:dyDescent="0.4">
      <c r="W2008" s="49">
        <v>47544</v>
      </c>
      <c r="X2008" s="49">
        <v>47544</v>
      </c>
      <c r="Y2008" s="49">
        <v>47544</v>
      </c>
      <c r="AY2008" s="49">
        <v>47544</v>
      </c>
      <c r="AZ2008" s="49">
        <v>47544</v>
      </c>
      <c r="BA2008" s="49">
        <v>47544</v>
      </c>
    </row>
    <row r="2009" spans="23:53" ht="16.2" customHeight="1" x14ac:dyDescent="0.4">
      <c r="W2009" s="49">
        <v>47545</v>
      </c>
      <c r="X2009" s="49">
        <v>47545</v>
      </c>
      <c r="Y2009" s="49">
        <v>47545</v>
      </c>
      <c r="AY2009" s="49">
        <v>47545</v>
      </c>
      <c r="AZ2009" s="49">
        <v>47545</v>
      </c>
      <c r="BA2009" s="49">
        <v>47545</v>
      </c>
    </row>
    <row r="2010" spans="23:53" ht="16.2" customHeight="1" x14ac:dyDescent="0.4">
      <c r="W2010" s="49">
        <v>47551</v>
      </c>
      <c r="X2010" s="49">
        <v>47551</v>
      </c>
      <c r="Y2010" s="49">
        <v>47551</v>
      </c>
      <c r="AY2010" s="49">
        <v>47551</v>
      </c>
      <c r="AZ2010" s="49">
        <v>47551</v>
      </c>
      <c r="BA2010" s="49">
        <v>47551</v>
      </c>
    </row>
    <row r="2011" spans="23:53" ht="16.2" customHeight="1" x14ac:dyDescent="0.4">
      <c r="W2011" s="49">
        <v>47552</v>
      </c>
      <c r="X2011" s="49">
        <v>47552</v>
      </c>
      <c r="Y2011" s="49">
        <v>47552</v>
      </c>
      <c r="AY2011" s="49">
        <v>47552</v>
      </c>
      <c r="AZ2011" s="49">
        <v>47552</v>
      </c>
      <c r="BA2011" s="49">
        <v>47552</v>
      </c>
    </row>
    <row r="2012" spans="23:53" ht="16.2" customHeight="1" x14ac:dyDescent="0.4">
      <c r="W2012" s="49">
        <v>47558</v>
      </c>
      <c r="X2012" s="49">
        <v>47558</v>
      </c>
      <c r="Y2012" s="49">
        <v>47558</v>
      </c>
      <c r="AY2012" s="49">
        <v>47558</v>
      </c>
      <c r="AZ2012" s="49">
        <v>47558</v>
      </c>
      <c r="BA2012" s="49">
        <v>47558</v>
      </c>
    </row>
    <row r="2013" spans="23:53" ht="16.2" customHeight="1" x14ac:dyDescent="0.4">
      <c r="W2013" s="49">
        <v>47559</v>
      </c>
      <c r="X2013" s="49">
        <v>47559</v>
      </c>
      <c r="Y2013" s="49">
        <v>47559</v>
      </c>
      <c r="AY2013" s="49">
        <v>47559</v>
      </c>
      <c r="AZ2013" s="49">
        <v>47559</v>
      </c>
      <c r="BA2013" s="49">
        <v>47559</v>
      </c>
    </row>
    <row r="2014" spans="23:53" ht="16.2" customHeight="1" x14ac:dyDescent="0.4">
      <c r="W2014" s="49">
        <v>47565</v>
      </c>
      <c r="X2014" s="49">
        <v>47565</v>
      </c>
      <c r="Y2014" s="49">
        <v>47565</v>
      </c>
      <c r="AY2014" s="49">
        <v>47565</v>
      </c>
      <c r="AZ2014" s="49">
        <v>47565</v>
      </c>
      <c r="BA2014" s="49">
        <v>47565</v>
      </c>
    </row>
    <row r="2015" spans="23:53" ht="16.2" customHeight="1" x14ac:dyDescent="0.4">
      <c r="W2015" s="49">
        <v>47566</v>
      </c>
      <c r="X2015" s="49">
        <v>47566</v>
      </c>
      <c r="Y2015" s="49">
        <v>47566</v>
      </c>
      <c r="AY2015" s="49">
        <v>47566</v>
      </c>
      <c r="AZ2015" s="49">
        <v>47566</v>
      </c>
      <c r="BA2015" s="49">
        <v>47566</v>
      </c>
    </row>
    <row r="2016" spans="23:53" ht="16.2" customHeight="1" x14ac:dyDescent="0.4">
      <c r="W2016" s="49">
        <v>47572</v>
      </c>
      <c r="X2016" s="49">
        <v>47572</v>
      </c>
      <c r="Y2016" s="49">
        <v>47572</v>
      </c>
      <c r="AY2016" s="49">
        <v>47572</v>
      </c>
      <c r="AZ2016" s="49">
        <v>47572</v>
      </c>
      <c r="BA2016" s="49">
        <v>47572</v>
      </c>
    </row>
    <row r="2017" spans="23:53" ht="16.2" customHeight="1" x14ac:dyDescent="0.4">
      <c r="W2017" s="49">
        <v>47573</v>
      </c>
      <c r="X2017" s="49">
        <v>47573</v>
      </c>
      <c r="Y2017" s="49">
        <v>47573</v>
      </c>
      <c r="AY2017" s="49">
        <v>47573</v>
      </c>
      <c r="AZ2017" s="49">
        <v>47573</v>
      </c>
      <c r="BA2017" s="49">
        <v>47573</v>
      </c>
    </row>
    <row r="2018" spans="23:53" ht="16.2" customHeight="1" x14ac:dyDescent="0.4">
      <c r="W2018" s="49">
        <v>47579</v>
      </c>
      <c r="X2018" s="49">
        <v>47579</v>
      </c>
      <c r="Y2018" s="49">
        <v>47579</v>
      </c>
      <c r="AY2018" s="49">
        <v>47579</v>
      </c>
      <c r="AZ2018" s="49">
        <v>47579</v>
      </c>
      <c r="BA2018" s="49">
        <v>47579</v>
      </c>
    </row>
    <row r="2019" spans="23:53" ht="16.2" customHeight="1" x14ac:dyDescent="0.4">
      <c r="W2019" s="49">
        <v>47580</v>
      </c>
      <c r="X2019" s="49">
        <v>47580</v>
      </c>
      <c r="Y2019" s="49">
        <v>47580</v>
      </c>
      <c r="AY2019" s="49">
        <v>47580</v>
      </c>
      <c r="AZ2019" s="49">
        <v>47580</v>
      </c>
      <c r="BA2019" s="49">
        <v>47580</v>
      </c>
    </row>
    <row r="2020" spans="23:53" ht="16.2" customHeight="1" x14ac:dyDescent="0.4">
      <c r="W2020" s="49">
        <v>47586</v>
      </c>
      <c r="X2020" s="49">
        <v>47586</v>
      </c>
      <c r="Y2020" s="49">
        <v>47586</v>
      </c>
      <c r="AY2020" s="49">
        <v>47586</v>
      </c>
      <c r="AZ2020" s="49">
        <v>47586</v>
      </c>
      <c r="BA2020" s="49">
        <v>47586</v>
      </c>
    </row>
    <row r="2021" spans="23:53" ht="16.2" customHeight="1" x14ac:dyDescent="0.4">
      <c r="W2021" s="49">
        <v>47587</v>
      </c>
      <c r="X2021" s="49">
        <v>47587</v>
      </c>
      <c r="Y2021" s="49">
        <v>47587</v>
      </c>
      <c r="AY2021" s="49">
        <v>47587</v>
      </c>
      <c r="AZ2021" s="49">
        <v>47587</v>
      </c>
      <c r="BA2021" s="49">
        <v>47587</v>
      </c>
    </row>
    <row r="2022" spans="23:53" ht="16.2" customHeight="1" x14ac:dyDescent="0.4">
      <c r="W2022" s="49">
        <v>47593</v>
      </c>
      <c r="X2022" s="49">
        <v>47593</v>
      </c>
      <c r="Y2022" s="49">
        <v>47593</v>
      </c>
      <c r="AY2022" s="49">
        <v>47593</v>
      </c>
      <c r="AZ2022" s="49">
        <v>47593</v>
      </c>
      <c r="BA2022" s="49">
        <v>47593</v>
      </c>
    </row>
    <row r="2023" spans="23:53" ht="16.2" customHeight="1" x14ac:dyDescent="0.4">
      <c r="W2023" s="49">
        <v>47594</v>
      </c>
      <c r="X2023" s="49">
        <v>47594</v>
      </c>
      <c r="Y2023" s="49">
        <v>47594</v>
      </c>
      <c r="AY2023" s="49">
        <v>47594</v>
      </c>
      <c r="AZ2023" s="49">
        <v>47594</v>
      </c>
      <c r="BA2023" s="49">
        <v>47594</v>
      </c>
    </row>
    <row r="2024" spans="23:53" ht="16.2" customHeight="1" x14ac:dyDescent="0.4">
      <c r="W2024" s="49">
        <v>47600</v>
      </c>
      <c r="X2024" s="49">
        <v>47600</v>
      </c>
      <c r="Y2024" s="49">
        <v>47600</v>
      </c>
      <c r="AY2024" s="49">
        <v>47600</v>
      </c>
      <c r="AZ2024" s="49">
        <v>47600</v>
      </c>
      <c r="BA2024" s="49">
        <v>47600</v>
      </c>
    </row>
    <row r="2025" spans="23:53" ht="16.2" customHeight="1" x14ac:dyDescent="0.4">
      <c r="W2025" s="49">
        <v>47601</v>
      </c>
      <c r="X2025" s="49">
        <v>47601</v>
      </c>
      <c r="Y2025" s="49">
        <v>47601</v>
      </c>
      <c r="AY2025" s="49">
        <v>47601</v>
      </c>
      <c r="AZ2025" s="49">
        <v>47601</v>
      </c>
      <c r="BA2025" s="49">
        <v>47601</v>
      </c>
    </row>
    <row r="2026" spans="23:53" ht="16.2" customHeight="1" x14ac:dyDescent="0.4">
      <c r="W2026" s="49">
        <v>47604</v>
      </c>
      <c r="X2026" s="49">
        <v>47604</v>
      </c>
      <c r="Y2026" s="49">
        <v>47604</v>
      </c>
      <c r="AY2026" s="49">
        <v>47604</v>
      </c>
      <c r="AZ2026" s="49">
        <v>47604</v>
      </c>
      <c r="BA2026" s="49">
        <v>47604</v>
      </c>
    </row>
    <row r="2027" spans="23:53" ht="16.2" customHeight="1" x14ac:dyDescent="0.4">
      <c r="W2027" s="49">
        <v>47607</v>
      </c>
      <c r="X2027" s="49">
        <v>47607</v>
      </c>
      <c r="Y2027" s="49">
        <v>47607</v>
      </c>
      <c r="AY2027" s="49">
        <v>47607</v>
      </c>
      <c r="AZ2027" s="49">
        <v>47607</v>
      </c>
      <c r="BA2027" s="49">
        <v>47607</v>
      </c>
    </row>
    <row r="2028" spans="23:53" ht="16.2" customHeight="1" x14ac:dyDescent="0.4">
      <c r="W2028" s="49">
        <v>47608</v>
      </c>
      <c r="X2028" s="49">
        <v>47608</v>
      </c>
      <c r="Y2028" s="49">
        <v>47608</v>
      </c>
      <c r="AY2028" s="49">
        <v>47608</v>
      </c>
      <c r="AZ2028" s="49">
        <v>47608</v>
      </c>
      <c r="BA2028" s="49">
        <v>47608</v>
      </c>
    </row>
    <row r="2029" spans="23:53" ht="16.2" customHeight="1" x14ac:dyDescent="0.4">
      <c r="W2029" s="49">
        <v>47612</v>
      </c>
      <c r="X2029" s="49">
        <v>47612</v>
      </c>
      <c r="Y2029" s="49">
        <v>47612</v>
      </c>
      <c r="AY2029" s="49">
        <v>47612</v>
      </c>
      <c r="AZ2029" s="49">
        <v>47612</v>
      </c>
      <c r="BA2029" s="49">
        <v>47612</v>
      </c>
    </row>
    <row r="2030" spans="23:53" ht="16.2" customHeight="1" x14ac:dyDescent="0.4">
      <c r="W2030" s="49">
        <v>47614</v>
      </c>
      <c r="X2030" s="49">
        <v>47614</v>
      </c>
      <c r="Y2030" s="49">
        <v>47614</v>
      </c>
      <c r="AY2030" s="49">
        <v>47614</v>
      </c>
      <c r="AZ2030" s="49">
        <v>47614</v>
      </c>
      <c r="BA2030" s="49">
        <v>47614</v>
      </c>
    </row>
    <row r="2031" spans="23:53" ht="16.2" customHeight="1" x14ac:dyDescent="0.4">
      <c r="W2031" s="49">
        <v>47615</v>
      </c>
      <c r="X2031" s="49">
        <v>47615</v>
      </c>
      <c r="Y2031" s="49">
        <v>47615</v>
      </c>
      <c r="AY2031" s="49">
        <v>47615</v>
      </c>
      <c r="AZ2031" s="49">
        <v>47615</v>
      </c>
      <c r="BA2031" s="49">
        <v>47615</v>
      </c>
    </row>
    <row r="2032" spans="23:53" ht="16.2" customHeight="1" x14ac:dyDescent="0.4">
      <c r="W2032" s="49">
        <v>47621</v>
      </c>
      <c r="X2032" s="49">
        <v>47621</v>
      </c>
      <c r="Y2032" s="49">
        <v>47621</v>
      </c>
      <c r="AY2032" s="49">
        <v>47621</v>
      </c>
      <c r="AZ2032" s="49">
        <v>47621</v>
      </c>
      <c r="BA2032" s="49">
        <v>47621</v>
      </c>
    </row>
    <row r="2033" spans="23:53" ht="16.2" customHeight="1" x14ac:dyDescent="0.4">
      <c r="W2033" s="49">
        <v>47622</v>
      </c>
      <c r="X2033" s="49">
        <v>47622</v>
      </c>
      <c r="Y2033" s="49">
        <v>47622</v>
      </c>
      <c r="AY2033" s="49">
        <v>47622</v>
      </c>
      <c r="AZ2033" s="49">
        <v>47622</v>
      </c>
      <c r="BA2033" s="49">
        <v>47622</v>
      </c>
    </row>
    <row r="2034" spans="23:53" ht="16.2" customHeight="1" x14ac:dyDescent="0.4">
      <c r="W2034" s="49">
        <v>47628</v>
      </c>
      <c r="X2034" s="49">
        <v>47628</v>
      </c>
      <c r="Y2034" s="49">
        <v>47628</v>
      </c>
      <c r="AY2034" s="49">
        <v>47628</v>
      </c>
      <c r="AZ2034" s="49">
        <v>47628</v>
      </c>
      <c r="BA2034" s="49">
        <v>47628</v>
      </c>
    </row>
    <row r="2035" spans="23:53" ht="16.2" customHeight="1" x14ac:dyDescent="0.4">
      <c r="W2035" s="49">
        <v>47629</v>
      </c>
      <c r="X2035" s="49">
        <v>47629</v>
      </c>
      <c r="Y2035" s="49">
        <v>47629</v>
      </c>
      <c r="AY2035" s="49">
        <v>47629</v>
      </c>
      <c r="AZ2035" s="49">
        <v>47629</v>
      </c>
      <c r="BA2035" s="49">
        <v>47629</v>
      </c>
    </row>
    <row r="2036" spans="23:53" ht="16.2" customHeight="1" x14ac:dyDescent="0.4">
      <c r="W2036" s="49">
        <v>47635</v>
      </c>
      <c r="X2036" s="49">
        <v>47635</v>
      </c>
      <c r="Y2036" s="49">
        <v>47635</v>
      </c>
      <c r="AY2036" s="49">
        <v>47635</v>
      </c>
      <c r="AZ2036" s="49">
        <v>47635</v>
      </c>
      <c r="BA2036" s="49">
        <v>47635</v>
      </c>
    </row>
    <row r="2037" spans="23:53" ht="16.2" customHeight="1" x14ac:dyDescent="0.4">
      <c r="W2037" s="49">
        <v>47636</v>
      </c>
      <c r="X2037" s="49">
        <v>47636</v>
      </c>
      <c r="Y2037" s="49">
        <v>47636</v>
      </c>
      <c r="AY2037" s="49">
        <v>47636</v>
      </c>
      <c r="AZ2037" s="49">
        <v>47636</v>
      </c>
      <c r="BA2037" s="49">
        <v>47636</v>
      </c>
    </row>
    <row r="2038" spans="23:53" ht="16.2" customHeight="1" x14ac:dyDescent="0.4">
      <c r="W2038" s="49">
        <v>47640</v>
      </c>
      <c r="X2038" s="49">
        <v>47640</v>
      </c>
      <c r="Y2038" s="49">
        <v>47640</v>
      </c>
      <c r="AY2038" s="49">
        <v>47640</v>
      </c>
      <c r="AZ2038" s="49">
        <v>47640</v>
      </c>
      <c r="BA2038" s="49">
        <v>47640</v>
      </c>
    </row>
    <row r="2039" spans="23:53" ht="16.2" customHeight="1" x14ac:dyDescent="0.4">
      <c r="W2039" s="49">
        <v>47642</v>
      </c>
      <c r="X2039" s="49">
        <v>47642</v>
      </c>
      <c r="Y2039" s="49">
        <v>47642</v>
      </c>
      <c r="AY2039" s="49">
        <v>47642</v>
      </c>
      <c r="AZ2039" s="49">
        <v>47642</v>
      </c>
      <c r="BA2039" s="49">
        <v>47642</v>
      </c>
    </row>
    <row r="2040" spans="23:53" ht="16.2" customHeight="1" x14ac:dyDescent="0.4">
      <c r="W2040" s="49">
        <v>47643</v>
      </c>
      <c r="X2040" s="49">
        <v>47643</v>
      </c>
      <c r="Y2040" s="49">
        <v>47643</v>
      </c>
      <c r="AY2040" s="49">
        <v>47643</v>
      </c>
      <c r="AZ2040" s="49">
        <v>47643</v>
      </c>
      <c r="BA2040" s="49">
        <v>47643</v>
      </c>
    </row>
    <row r="2041" spans="23:53" ht="16.2" customHeight="1" x14ac:dyDescent="0.4">
      <c r="W2041" s="49">
        <v>47649</v>
      </c>
      <c r="X2041" s="49">
        <v>47649</v>
      </c>
      <c r="Y2041" s="49">
        <v>47649</v>
      </c>
      <c r="AY2041" s="49">
        <v>47649</v>
      </c>
      <c r="AZ2041" s="49">
        <v>47649</v>
      </c>
      <c r="BA2041" s="49">
        <v>47649</v>
      </c>
    </row>
    <row r="2042" spans="23:53" ht="16.2" customHeight="1" x14ac:dyDescent="0.4">
      <c r="W2042" s="49">
        <v>47650</v>
      </c>
      <c r="X2042" s="49">
        <v>47650</v>
      </c>
      <c r="Y2042" s="49">
        <v>47650</v>
      </c>
      <c r="AY2042" s="49">
        <v>47650</v>
      </c>
      <c r="AZ2042" s="49">
        <v>47650</v>
      </c>
      <c r="BA2042" s="49">
        <v>47650</v>
      </c>
    </row>
    <row r="2043" spans="23:53" ht="16.2" customHeight="1" x14ac:dyDescent="0.4">
      <c r="W2043" s="49">
        <v>47656</v>
      </c>
      <c r="X2043" s="49">
        <v>47656</v>
      </c>
      <c r="Y2043" s="49">
        <v>47656</v>
      </c>
      <c r="AY2043" s="49">
        <v>47656</v>
      </c>
      <c r="AZ2043" s="49">
        <v>47656</v>
      </c>
      <c r="BA2043" s="49">
        <v>47656</v>
      </c>
    </row>
    <row r="2044" spans="23:53" ht="16.2" customHeight="1" x14ac:dyDescent="0.4">
      <c r="W2044" s="49">
        <v>47657</v>
      </c>
      <c r="X2044" s="49">
        <v>47657</v>
      </c>
      <c r="Y2044" s="49">
        <v>47657</v>
      </c>
      <c r="AY2044" s="49">
        <v>47657</v>
      </c>
      <c r="AZ2044" s="49">
        <v>47657</v>
      </c>
      <c r="BA2044" s="49">
        <v>47657</v>
      </c>
    </row>
    <row r="2045" spans="23:53" ht="16.2" customHeight="1" x14ac:dyDescent="0.4">
      <c r="W2045" s="49">
        <v>47663</v>
      </c>
      <c r="X2045" s="49">
        <v>47663</v>
      </c>
      <c r="Y2045" s="49">
        <v>47663</v>
      </c>
      <c r="AY2045" s="49">
        <v>47663</v>
      </c>
      <c r="AZ2045" s="49">
        <v>47663</v>
      </c>
      <c r="BA2045" s="49">
        <v>47663</v>
      </c>
    </row>
    <row r="2046" spans="23:53" ht="16.2" customHeight="1" x14ac:dyDescent="0.4">
      <c r="W2046" s="49">
        <v>47664</v>
      </c>
      <c r="X2046" s="49">
        <v>47664</v>
      </c>
      <c r="Y2046" s="49">
        <v>47664</v>
      </c>
      <c r="AY2046" s="49">
        <v>47664</v>
      </c>
      <c r="AZ2046" s="49">
        <v>47664</v>
      </c>
      <c r="BA2046" s="49">
        <v>47664</v>
      </c>
    </row>
    <row r="2047" spans="23:53" ht="16.2" customHeight="1" x14ac:dyDescent="0.4">
      <c r="W2047" s="49">
        <v>47670</v>
      </c>
      <c r="X2047" s="49">
        <v>47670</v>
      </c>
      <c r="Y2047" s="49">
        <v>47670</v>
      </c>
      <c r="AY2047" s="49">
        <v>47670</v>
      </c>
      <c r="AZ2047" s="49">
        <v>47670</v>
      </c>
      <c r="BA2047" s="49">
        <v>47670</v>
      </c>
    </row>
    <row r="2048" spans="23:53" ht="16.2" customHeight="1" x14ac:dyDescent="0.4">
      <c r="W2048" s="49">
        <v>47671</v>
      </c>
      <c r="X2048" s="49">
        <v>47671</v>
      </c>
      <c r="Y2048" s="49">
        <v>47671</v>
      </c>
      <c r="AY2048" s="49">
        <v>47671</v>
      </c>
      <c r="AZ2048" s="49">
        <v>47671</v>
      </c>
      <c r="BA2048" s="49">
        <v>47671</v>
      </c>
    </row>
    <row r="2049" spans="23:53" ht="16.2" customHeight="1" x14ac:dyDescent="0.4">
      <c r="W2049" s="49">
        <v>47677</v>
      </c>
      <c r="X2049" s="49">
        <v>47677</v>
      </c>
      <c r="Y2049" s="49">
        <v>47677</v>
      </c>
      <c r="AY2049" s="49">
        <v>47677</v>
      </c>
      <c r="AZ2049" s="49">
        <v>47677</v>
      </c>
      <c r="BA2049" s="49">
        <v>47677</v>
      </c>
    </row>
    <row r="2050" spans="23:53" ht="16.2" customHeight="1" x14ac:dyDescent="0.4">
      <c r="W2050" s="49">
        <v>47678</v>
      </c>
      <c r="X2050" s="49">
        <v>47678</v>
      </c>
      <c r="Y2050" s="49">
        <v>47678</v>
      </c>
      <c r="AY2050" s="49">
        <v>47678</v>
      </c>
      <c r="AZ2050" s="49">
        <v>47678</v>
      </c>
      <c r="BA2050" s="49">
        <v>47678</v>
      </c>
    </row>
    <row r="2051" spans="23:53" ht="16.2" customHeight="1" x14ac:dyDescent="0.4">
      <c r="W2051" s="49">
        <v>47684</v>
      </c>
      <c r="X2051" s="49">
        <v>47684</v>
      </c>
      <c r="Y2051" s="49">
        <v>47684</v>
      </c>
      <c r="AY2051" s="49">
        <v>47684</v>
      </c>
      <c r="AZ2051" s="49">
        <v>47684</v>
      </c>
      <c r="BA2051" s="49">
        <v>47684</v>
      </c>
    </row>
    <row r="2052" spans="23:53" ht="16.2" customHeight="1" x14ac:dyDescent="0.4">
      <c r="W2052" s="49">
        <v>47685</v>
      </c>
      <c r="X2052" s="49">
        <v>47685</v>
      </c>
      <c r="Y2052" s="49">
        <v>47685</v>
      </c>
      <c r="AY2052" s="49">
        <v>47685</v>
      </c>
      <c r="AZ2052" s="49">
        <v>47685</v>
      </c>
      <c r="BA2052" s="49">
        <v>47685</v>
      </c>
    </row>
    <row r="2053" spans="23:53" ht="16.2" customHeight="1" x14ac:dyDescent="0.4">
      <c r="W2053" s="49">
        <v>47691</v>
      </c>
      <c r="X2053" s="49">
        <v>47691</v>
      </c>
      <c r="Y2053" s="49">
        <v>47691</v>
      </c>
      <c r="AY2053" s="49">
        <v>47691</v>
      </c>
      <c r="AZ2053" s="49">
        <v>47691</v>
      </c>
      <c r="BA2053" s="49">
        <v>47691</v>
      </c>
    </row>
    <row r="2054" spans="23:53" ht="16.2" customHeight="1" x14ac:dyDescent="0.4">
      <c r="W2054" s="49">
        <v>47692</v>
      </c>
      <c r="X2054" s="49">
        <v>47692</v>
      </c>
      <c r="Y2054" s="49">
        <v>47692</v>
      </c>
      <c r="AY2054" s="49">
        <v>47692</v>
      </c>
      <c r="AZ2054" s="49">
        <v>47692</v>
      </c>
      <c r="BA2054" s="49">
        <v>47692</v>
      </c>
    </row>
    <row r="2055" spans="23:53" ht="16.2" customHeight="1" x14ac:dyDescent="0.4">
      <c r="W2055" s="49">
        <v>47698</v>
      </c>
      <c r="X2055" s="49">
        <v>47698</v>
      </c>
      <c r="Y2055" s="49">
        <v>47698</v>
      </c>
      <c r="AY2055" s="49">
        <v>47698</v>
      </c>
      <c r="AZ2055" s="49">
        <v>47698</v>
      </c>
      <c r="BA2055" s="49">
        <v>47698</v>
      </c>
    </row>
    <row r="2056" spans="23:53" ht="16.2" customHeight="1" x14ac:dyDescent="0.4">
      <c r="W2056" s="49">
        <v>47699</v>
      </c>
      <c r="X2056" s="49">
        <v>47699</v>
      </c>
      <c r="Y2056" s="49">
        <v>47699</v>
      </c>
      <c r="AY2056" s="49">
        <v>47699</v>
      </c>
      <c r="AZ2056" s="49">
        <v>47699</v>
      </c>
      <c r="BA2056" s="49">
        <v>47699</v>
      </c>
    </row>
    <row r="2057" spans="23:53" ht="16.2" customHeight="1" x14ac:dyDescent="0.4">
      <c r="W2057" s="49">
        <v>47705</v>
      </c>
      <c r="X2057" s="49">
        <v>47705</v>
      </c>
      <c r="Y2057" s="49">
        <v>47705</v>
      </c>
      <c r="AY2057" s="49">
        <v>47705</v>
      </c>
      <c r="AZ2057" s="49">
        <v>47705</v>
      </c>
      <c r="BA2057" s="49">
        <v>47705</v>
      </c>
    </row>
    <row r="2058" spans="23:53" ht="16.2" customHeight="1" x14ac:dyDescent="0.4">
      <c r="W2058" s="49">
        <v>47706</v>
      </c>
      <c r="X2058" s="49">
        <v>47706</v>
      </c>
      <c r="Y2058" s="49">
        <v>47706</v>
      </c>
      <c r="AY2058" s="49">
        <v>47706</v>
      </c>
      <c r="AZ2058" s="49">
        <v>47706</v>
      </c>
      <c r="BA2058" s="49">
        <v>47706</v>
      </c>
    </row>
    <row r="2059" spans="23:53" ht="16.2" customHeight="1" x14ac:dyDescent="0.4">
      <c r="W2059" s="49">
        <v>47710</v>
      </c>
      <c r="X2059" s="49">
        <v>47710</v>
      </c>
      <c r="Y2059" s="49">
        <v>47710</v>
      </c>
      <c r="AY2059" s="49">
        <v>47710</v>
      </c>
      <c r="AZ2059" s="49">
        <v>47710</v>
      </c>
      <c r="BA2059" s="49">
        <v>47710</v>
      </c>
    </row>
    <row r="2060" spans="23:53" ht="16.2" customHeight="1" x14ac:dyDescent="0.4">
      <c r="W2060" s="49">
        <v>47712</v>
      </c>
      <c r="X2060" s="49">
        <v>47712</v>
      </c>
      <c r="Y2060" s="49">
        <v>47712</v>
      </c>
      <c r="AY2060" s="49">
        <v>47712</v>
      </c>
      <c r="AZ2060" s="49">
        <v>47712</v>
      </c>
      <c r="BA2060" s="49">
        <v>47712</v>
      </c>
    </row>
    <row r="2061" spans="23:53" ht="16.2" customHeight="1" x14ac:dyDescent="0.4">
      <c r="W2061" s="49">
        <v>47713</v>
      </c>
      <c r="X2061" s="49">
        <v>47713</v>
      </c>
      <c r="Y2061" s="49">
        <v>47713</v>
      </c>
      <c r="AY2061" s="49">
        <v>47713</v>
      </c>
      <c r="AZ2061" s="49">
        <v>47713</v>
      </c>
      <c r="BA2061" s="49">
        <v>47713</v>
      </c>
    </row>
    <row r="2062" spans="23:53" ht="16.2" customHeight="1" x14ac:dyDescent="0.4">
      <c r="W2062" s="49">
        <v>47719</v>
      </c>
      <c r="X2062" s="49">
        <v>47719</v>
      </c>
      <c r="Y2062" s="49">
        <v>47719</v>
      </c>
      <c r="AY2062" s="49">
        <v>47719</v>
      </c>
      <c r="AZ2062" s="49">
        <v>47719</v>
      </c>
      <c r="BA2062" s="49">
        <v>47719</v>
      </c>
    </row>
    <row r="2063" spans="23:53" ht="16.2" customHeight="1" x14ac:dyDescent="0.4">
      <c r="W2063" s="49">
        <v>47720</v>
      </c>
      <c r="X2063" s="49">
        <v>47720</v>
      </c>
      <c r="Y2063" s="49">
        <v>47720</v>
      </c>
      <c r="AY2063" s="49">
        <v>47720</v>
      </c>
      <c r="AZ2063" s="49">
        <v>47720</v>
      </c>
      <c r="BA2063" s="49">
        <v>47720</v>
      </c>
    </row>
    <row r="2064" spans="23:53" ht="16.2" customHeight="1" x14ac:dyDescent="0.4">
      <c r="W2064" s="49">
        <v>47726</v>
      </c>
      <c r="X2064" s="49">
        <v>47726</v>
      </c>
      <c r="Y2064" s="49">
        <v>47726</v>
      </c>
      <c r="AY2064" s="49">
        <v>47726</v>
      </c>
      <c r="AZ2064" s="49">
        <v>47726</v>
      </c>
      <c r="BA2064" s="49">
        <v>47726</v>
      </c>
    </row>
    <row r="2065" spans="23:53" ht="16.2" customHeight="1" x14ac:dyDescent="0.4">
      <c r="W2065" s="49">
        <v>47727</v>
      </c>
      <c r="X2065" s="49">
        <v>47727</v>
      </c>
      <c r="Y2065" s="49">
        <v>47727</v>
      </c>
      <c r="AY2065" s="49">
        <v>47727</v>
      </c>
      <c r="AZ2065" s="49">
        <v>47727</v>
      </c>
      <c r="BA2065" s="49">
        <v>47727</v>
      </c>
    </row>
    <row r="2066" spans="23:53" ht="16.2" customHeight="1" x14ac:dyDescent="0.4">
      <c r="W2066" s="49">
        <v>47733</v>
      </c>
      <c r="X2066" s="49">
        <v>47733</v>
      </c>
      <c r="Y2066" s="49">
        <v>47733</v>
      </c>
      <c r="AY2066" s="49">
        <v>47733</v>
      </c>
      <c r="AZ2066" s="49">
        <v>47733</v>
      </c>
      <c r="BA2066" s="49">
        <v>47733</v>
      </c>
    </row>
    <row r="2067" spans="23:53" ht="16.2" customHeight="1" x14ac:dyDescent="0.4">
      <c r="W2067" s="49">
        <v>47734</v>
      </c>
      <c r="X2067" s="49">
        <v>47734</v>
      </c>
      <c r="Y2067" s="49">
        <v>47734</v>
      </c>
      <c r="AY2067" s="49">
        <v>47734</v>
      </c>
      <c r="AZ2067" s="49">
        <v>47734</v>
      </c>
      <c r="BA2067" s="49">
        <v>47734</v>
      </c>
    </row>
    <row r="2068" spans="23:53" ht="16.2" customHeight="1" x14ac:dyDescent="0.4">
      <c r="W2068" s="49">
        <v>47737</v>
      </c>
      <c r="X2068" s="49">
        <v>47737</v>
      </c>
      <c r="Y2068" s="49">
        <v>47737</v>
      </c>
      <c r="AY2068" s="49">
        <v>47737</v>
      </c>
      <c r="AZ2068" s="49">
        <v>47737</v>
      </c>
      <c r="BA2068" s="49">
        <v>47737</v>
      </c>
    </row>
    <row r="2069" spans="23:53" ht="16.2" customHeight="1" x14ac:dyDescent="0.4">
      <c r="W2069" s="49">
        <v>47738</v>
      </c>
      <c r="X2069" s="49">
        <v>47738</v>
      </c>
      <c r="Y2069" s="49">
        <v>47738</v>
      </c>
      <c r="AY2069" s="49">
        <v>47738</v>
      </c>
      <c r="AZ2069" s="49">
        <v>47738</v>
      </c>
      <c r="BA2069" s="49">
        <v>47738</v>
      </c>
    </row>
    <row r="2070" spans="23:53" ht="16.2" customHeight="1" x14ac:dyDescent="0.4">
      <c r="W2070" s="49">
        <v>47739</v>
      </c>
      <c r="X2070" s="49">
        <v>47739</v>
      </c>
      <c r="Y2070" s="49">
        <v>47739</v>
      </c>
      <c r="AY2070" s="49">
        <v>47739</v>
      </c>
      <c r="AZ2070" s="49">
        <v>47739</v>
      </c>
      <c r="BA2070" s="49">
        <v>47739</v>
      </c>
    </row>
    <row r="2071" spans="23:53" ht="16.2" customHeight="1" x14ac:dyDescent="0.4">
      <c r="W2071" s="49">
        <v>47740</v>
      </c>
      <c r="X2071" s="49">
        <v>47740</v>
      </c>
      <c r="Y2071" s="49">
        <v>47740</v>
      </c>
      <c r="AY2071" s="49">
        <v>47740</v>
      </c>
      <c r="AZ2071" s="49">
        <v>47740</v>
      </c>
      <c r="BA2071" s="49">
        <v>47740</v>
      </c>
    </row>
    <row r="2072" spans="23:53" ht="16.2" customHeight="1" x14ac:dyDescent="0.4">
      <c r="W2072" s="49">
        <v>47741</v>
      </c>
      <c r="X2072" s="49">
        <v>47741</v>
      </c>
      <c r="Y2072" s="49">
        <v>47741</v>
      </c>
      <c r="AY2072" s="49">
        <v>47741</v>
      </c>
      <c r="AZ2072" s="49">
        <v>47741</v>
      </c>
      <c r="BA2072" s="49">
        <v>47741</v>
      </c>
    </row>
    <row r="2073" spans="23:53" ht="16.2" customHeight="1" x14ac:dyDescent="0.4">
      <c r="W2073" s="49">
        <v>47747</v>
      </c>
      <c r="X2073" s="49">
        <v>47747</v>
      </c>
      <c r="Y2073" s="49">
        <v>47747</v>
      </c>
      <c r="AY2073" s="49">
        <v>47747</v>
      </c>
      <c r="AZ2073" s="49">
        <v>47747</v>
      </c>
      <c r="BA2073" s="49">
        <v>47747</v>
      </c>
    </row>
    <row r="2074" spans="23:53" ht="16.2" customHeight="1" x14ac:dyDescent="0.4">
      <c r="W2074" s="49">
        <v>47748</v>
      </c>
      <c r="X2074" s="49">
        <v>47748</v>
      </c>
      <c r="Y2074" s="49">
        <v>47748</v>
      </c>
      <c r="AY2074" s="49">
        <v>47748</v>
      </c>
      <c r="AZ2074" s="49">
        <v>47748</v>
      </c>
      <c r="BA2074" s="49">
        <v>47748</v>
      </c>
    </row>
    <row r="2075" spans="23:53" ht="16.2" customHeight="1" x14ac:dyDescent="0.4">
      <c r="W2075" s="49">
        <v>47754</v>
      </c>
      <c r="X2075" s="49">
        <v>47754</v>
      </c>
      <c r="Y2075" s="49">
        <v>47754</v>
      </c>
      <c r="AY2075" s="49">
        <v>47754</v>
      </c>
      <c r="AZ2075" s="49">
        <v>47754</v>
      </c>
      <c r="BA2075" s="49">
        <v>47754</v>
      </c>
    </row>
    <row r="2076" spans="23:53" ht="16.2" customHeight="1" x14ac:dyDescent="0.4">
      <c r="W2076" s="49">
        <v>47755</v>
      </c>
      <c r="X2076" s="49">
        <v>47755</v>
      </c>
      <c r="Y2076" s="49">
        <v>47755</v>
      </c>
      <c r="AY2076" s="49">
        <v>47755</v>
      </c>
      <c r="AZ2076" s="49">
        <v>47755</v>
      </c>
      <c r="BA2076" s="49">
        <v>47755</v>
      </c>
    </row>
    <row r="2077" spans="23:53" ht="16.2" customHeight="1" x14ac:dyDescent="0.4">
      <c r="W2077" s="49">
        <v>47759</v>
      </c>
      <c r="X2077" s="49">
        <v>47759</v>
      </c>
      <c r="Y2077" s="49">
        <v>47759</v>
      </c>
      <c r="AY2077" s="49">
        <v>47759</v>
      </c>
      <c r="AZ2077" s="49">
        <v>47759</v>
      </c>
      <c r="BA2077" s="49">
        <v>47759</v>
      </c>
    </row>
    <row r="2078" spans="23:53" ht="16.2" customHeight="1" x14ac:dyDescent="0.4">
      <c r="W2078" s="49">
        <v>47761</v>
      </c>
      <c r="X2078" s="49">
        <v>47761</v>
      </c>
      <c r="Y2078" s="49">
        <v>47761</v>
      </c>
      <c r="AY2078" s="49">
        <v>47761</v>
      </c>
      <c r="AZ2078" s="49">
        <v>47761</v>
      </c>
      <c r="BA2078" s="49">
        <v>47761</v>
      </c>
    </row>
    <row r="2079" spans="23:53" ht="16.2" customHeight="1" x14ac:dyDescent="0.4">
      <c r="W2079" s="49">
        <v>47762</v>
      </c>
      <c r="X2079" s="49">
        <v>47762</v>
      </c>
      <c r="Y2079" s="49">
        <v>47762</v>
      </c>
      <c r="AY2079" s="49">
        <v>47762</v>
      </c>
      <c r="AZ2079" s="49">
        <v>47762</v>
      </c>
      <c r="BA2079" s="49">
        <v>47762</v>
      </c>
    </row>
    <row r="2080" spans="23:53" ht="16.2" customHeight="1" x14ac:dyDescent="0.4">
      <c r="W2080" s="49">
        <v>47765</v>
      </c>
      <c r="X2080" s="49">
        <v>47765</v>
      </c>
      <c r="Y2080" s="49">
        <v>47765</v>
      </c>
      <c r="AY2080" s="49">
        <v>47765</v>
      </c>
      <c r="AZ2080" s="49">
        <v>47765</v>
      </c>
      <c r="BA2080" s="49">
        <v>47765</v>
      </c>
    </row>
    <row r="2081" spans="23:53" ht="16.2" customHeight="1" x14ac:dyDescent="0.4">
      <c r="W2081" s="49">
        <v>47768</v>
      </c>
      <c r="X2081" s="49">
        <v>47768</v>
      </c>
      <c r="Y2081" s="49">
        <v>47768</v>
      </c>
      <c r="AY2081" s="49">
        <v>47768</v>
      </c>
      <c r="AZ2081" s="49">
        <v>47768</v>
      </c>
      <c r="BA2081" s="49">
        <v>47768</v>
      </c>
    </row>
    <row r="2082" spans="23:53" ht="16.2" customHeight="1" x14ac:dyDescent="0.4">
      <c r="W2082" s="49">
        <v>47769</v>
      </c>
      <c r="X2082" s="49">
        <v>47769</v>
      </c>
      <c r="Y2082" s="49">
        <v>47769</v>
      </c>
      <c r="AY2082" s="49">
        <v>47769</v>
      </c>
      <c r="AZ2082" s="49">
        <v>47769</v>
      </c>
      <c r="BA2082" s="49">
        <v>47769</v>
      </c>
    </row>
    <row r="2083" spans="23:53" ht="16.2" customHeight="1" x14ac:dyDescent="0.4">
      <c r="W2083" s="49">
        <v>47775</v>
      </c>
      <c r="X2083" s="49">
        <v>47775</v>
      </c>
      <c r="Y2083" s="49">
        <v>47775</v>
      </c>
      <c r="AY2083" s="49">
        <v>47775</v>
      </c>
      <c r="AZ2083" s="49">
        <v>47775</v>
      </c>
      <c r="BA2083" s="49">
        <v>47775</v>
      </c>
    </row>
    <row r="2084" spans="23:53" ht="16.2" customHeight="1" x14ac:dyDescent="0.4">
      <c r="W2084" s="49">
        <v>47776</v>
      </c>
      <c r="X2084" s="49">
        <v>47776</v>
      </c>
      <c r="Y2084" s="49">
        <v>47776</v>
      </c>
      <c r="AY2084" s="49">
        <v>47776</v>
      </c>
      <c r="AZ2084" s="49">
        <v>47776</v>
      </c>
      <c r="BA2084" s="49">
        <v>47776</v>
      </c>
    </row>
    <row r="2085" spans="23:53" ht="16.2" customHeight="1" x14ac:dyDescent="0.4">
      <c r="W2085" s="49">
        <v>47782</v>
      </c>
      <c r="X2085" s="49">
        <v>47782</v>
      </c>
      <c r="Y2085" s="49">
        <v>47782</v>
      </c>
      <c r="AY2085" s="49">
        <v>47782</v>
      </c>
      <c r="AZ2085" s="49">
        <v>47782</v>
      </c>
      <c r="BA2085" s="49">
        <v>47782</v>
      </c>
    </row>
    <row r="2086" spans="23:53" ht="16.2" customHeight="1" x14ac:dyDescent="0.4">
      <c r="W2086" s="49">
        <v>47783</v>
      </c>
      <c r="X2086" s="49">
        <v>47783</v>
      </c>
      <c r="Y2086" s="49">
        <v>47783</v>
      </c>
      <c r="AY2086" s="49">
        <v>47783</v>
      </c>
      <c r="AZ2086" s="49">
        <v>47783</v>
      </c>
      <c r="BA2086" s="49">
        <v>47783</v>
      </c>
    </row>
    <row r="2087" spans="23:53" ht="16.2" customHeight="1" x14ac:dyDescent="0.4">
      <c r="W2087" s="49">
        <v>47789</v>
      </c>
      <c r="X2087" s="49">
        <v>47789</v>
      </c>
      <c r="Y2087" s="49">
        <v>47789</v>
      </c>
      <c r="AY2087" s="49">
        <v>47789</v>
      </c>
      <c r="AZ2087" s="49">
        <v>47789</v>
      </c>
      <c r="BA2087" s="49">
        <v>47789</v>
      </c>
    </row>
    <row r="2088" spans="23:53" ht="16.2" customHeight="1" x14ac:dyDescent="0.4">
      <c r="W2088" s="49">
        <v>47790</v>
      </c>
      <c r="X2088" s="49">
        <v>47790</v>
      </c>
      <c r="Y2088" s="49">
        <v>47790</v>
      </c>
      <c r="AY2088" s="49">
        <v>47790</v>
      </c>
      <c r="AZ2088" s="49">
        <v>47790</v>
      </c>
      <c r="BA2088" s="49">
        <v>47790</v>
      </c>
    </row>
    <row r="2089" spans="23:53" ht="16.2" customHeight="1" x14ac:dyDescent="0.4">
      <c r="W2089" s="49">
        <v>47796</v>
      </c>
      <c r="X2089" s="49">
        <v>47796</v>
      </c>
      <c r="Y2089" s="49">
        <v>47796</v>
      </c>
      <c r="AY2089" s="49">
        <v>47796</v>
      </c>
      <c r="AZ2089" s="49">
        <v>47796</v>
      </c>
      <c r="BA2089" s="49">
        <v>47796</v>
      </c>
    </row>
    <row r="2090" spans="23:53" ht="16.2" customHeight="1" x14ac:dyDescent="0.4">
      <c r="W2090" s="49">
        <v>47797</v>
      </c>
      <c r="X2090" s="49">
        <v>47797</v>
      </c>
      <c r="Y2090" s="49">
        <v>47797</v>
      </c>
      <c r="AY2090" s="49">
        <v>47797</v>
      </c>
      <c r="AZ2090" s="49">
        <v>47797</v>
      </c>
      <c r="BA2090" s="49">
        <v>47797</v>
      </c>
    </row>
    <row r="2091" spans="23:53" ht="16.2" customHeight="1" x14ac:dyDescent="0.4">
      <c r="W2091" s="49">
        <v>47803</v>
      </c>
      <c r="X2091" s="49">
        <v>47803</v>
      </c>
      <c r="Y2091" s="49">
        <v>47803</v>
      </c>
      <c r="AY2091" s="49">
        <v>47803</v>
      </c>
      <c r="AZ2091" s="49">
        <v>47803</v>
      </c>
      <c r="BA2091" s="49">
        <v>47803</v>
      </c>
    </row>
    <row r="2092" spans="23:53" ht="16.2" customHeight="1" x14ac:dyDescent="0.4">
      <c r="W2092" s="49">
        <v>47804</v>
      </c>
      <c r="X2092" s="49">
        <v>47804</v>
      </c>
      <c r="Y2092" s="49">
        <v>47804</v>
      </c>
      <c r="AY2092" s="49">
        <v>47804</v>
      </c>
      <c r="AZ2092" s="49">
        <v>47804</v>
      </c>
      <c r="BA2092" s="49">
        <v>47804</v>
      </c>
    </row>
    <row r="2093" spans="23:53" ht="16.2" customHeight="1" x14ac:dyDescent="0.4">
      <c r="W2093" s="49">
        <v>47810</v>
      </c>
      <c r="X2093" s="49">
        <v>47810</v>
      </c>
      <c r="Y2093" s="49">
        <v>47810</v>
      </c>
      <c r="AY2093" s="49">
        <v>47810</v>
      </c>
      <c r="AZ2093" s="49">
        <v>47810</v>
      </c>
      <c r="BA2093" s="49">
        <v>47810</v>
      </c>
    </row>
    <row r="2094" spans="23:53" ht="16.2" customHeight="1" x14ac:dyDescent="0.4">
      <c r="W2094" s="49">
        <v>47811</v>
      </c>
      <c r="X2094" s="49">
        <v>47811</v>
      </c>
      <c r="Y2094" s="49">
        <v>47811</v>
      </c>
      <c r="AY2094" s="49">
        <v>47811</v>
      </c>
      <c r="AZ2094" s="49">
        <v>47811</v>
      </c>
      <c r="BA2094" s="49">
        <v>47811</v>
      </c>
    </row>
    <row r="2095" spans="23:53" ht="16.2" customHeight="1" x14ac:dyDescent="0.4">
      <c r="W2095" s="49">
        <v>47817</v>
      </c>
      <c r="X2095" s="49">
        <v>47817</v>
      </c>
      <c r="Y2095" s="49">
        <v>47817</v>
      </c>
      <c r="AY2095" s="49">
        <v>47817</v>
      </c>
      <c r="AZ2095" s="49">
        <v>47817</v>
      </c>
      <c r="BA2095" s="49">
        <v>47817</v>
      </c>
    </row>
    <row r="2096" spans="23:53" ht="16.2" customHeight="1" x14ac:dyDescent="0.4">
      <c r="W2096" s="49">
        <v>47818</v>
      </c>
      <c r="X2096" s="49">
        <v>47818</v>
      </c>
      <c r="Y2096" s="49">
        <v>47818</v>
      </c>
      <c r="AY2096" s="49">
        <v>47818</v>
      </c>
      <c r="AZ2096" s="49">
        <v>47818</v>
      </c>
      <c r="BA2096" s="49">
        <v>47818</v>
      </c>
    </row>
    <row r="2097" spans="23:53" ht="16.2" customHeight="1" x14ac:dyDescent="0.4">
      <c r="W2097" s="49">
        <v>47824</v>
      </c>
      <c r="X2097" s="49">
        <v>47824</v>
      </c>
      <c r="Y2097" s="49">
        <v>47824</v>
      </c>
      <c r="AY2097" s="49">
        <v>47824</v>
      </c>
      <c r="AZ2097" s="49">
        <v>47824</v>
      </c>
      <c r="BA2097" s="49">
        <v>47824</v>
      </c>
    </row>
    <row r="2098" spans="23:53" ht="16.2" customHeight="1" x14ac:dyDescent="0.4">
      <c r="W2098" s="49">
        <v>47825</v>
      </c>
      <c r="X2098" s="49">
        <v>47825</v>
      </c>
      <c r="Y2098" s="49">
        <v>47825</v>
      </c>
      <c r="AY2098" s="49">
        <v>47825</v>
      </c>
      <c r="AZ2098" s="49">
        <v>47825</v>
      </c>
      <c r="BA2098" s="49">
        <v>47825</v>
      </c>
    </row>
    <row r="2099" spans="23:53" ht="16.2" customHeight="1" x14ac:dyDescent="0.4">
      <c r="W2099" s="49">
        <v>47831</v>
      </c>
      <c r="X2099" s="49">
        <v>47831</v>
      </c>
      <c r="Y2099" s="49">
        <v>47831</v>
      </c>
      <c r="AY2099" s="49">
        <v>47831</v>
      </c>
      <c r="AZ2099" s="49">
        <v>47831</v>
      </c>
      <c r="BA2099" s="49">
        <v>47831</v>
      </c>
    </row>
    <row r="2100" spans="23:53" ht="16.2" customHeight="1" x14ac:dyDescent="0.4">
      <c r="W2100" s="49">
        <v>47832</v>
      </c>
      <c r="X2100" s="49">
        <v>47832</v>
      </c>
      <c r="Y2100" s="49">
        <v>47832</v>
      </c>
      <c r="AY2100" s="49">
        <v>47832</v>
      </c>
      <c r="AZ2100" s="49">
        <v>47832</v>
      </c>
      <c r="BA2100" s="49">
        <v>47832</v>
      </c>
    </row>
    <row r="2101" spans="23:53" ht="16.2" customHeight="1" x14ac:dyDescent="0.4">
      <c r="W2101" s="49">
        <v>47838</v>
      </c>
      <c r="X2101" s="49">
        <v>47838</v>
      </c>
      <c r="Y2101" s="49">
        <v>47838</v>
      </c>
      <c r="AY2101" s="49">
        <v>47838</v>
      </c>
      <c r="AZ2101" s="49">
        <v>47838</v>
      </c>
      <c r="BA2101" s="49">
        <v>47838</v>
      </c>
    </row>
    <row r="2102" spans="23:53" ht="16.2" customHeight="1" x14ac:dyDescent="0.4">
      <c r="W2102" s="49">
        <v>47839</v>
      </c>
      <c r="X2102" s="49">
        <v>47839</v>
      </c>
      <c r="Y2102" s="49">
        <v>47839</v>
      </c>
      <c r="AY2102" s="49">
        <v>47839</v>
      </c>
      <c r="AZ2102" s="49">
        <v>47839</v>
      </c>
      <c r="BA2102" s="49">
        <v>47839</v>
      </c>
    </row>
    <row r="2103" spans="23:53" ht="16.2" customHeight="1" x14ac:dyDescent="0.4">
      <c r="W2103" s="49">
        <v>47842</v>
      </c>
      <c r="X2103" s="49">
        <v>47842</v>
      </c>
      <c r="Y2103" s="49">
        <v>47842</v>
      </c>
      <c r="AY2103" s="49">
        <v>47842</v>
      </c>
      <c r="AZ2103" s="49">
        <v>47842</v>
      </c>
      <c r="BA2103" s="49">
        <v>47842</v>
      </c>
    </row>
    <row r="2104" spans="23:53" ht="16.2" customHeight="1" x14ac:dyDescent="0.4">
      <c r="W2104" s="49">
        <v>47845</v>
      </c>
      <c r="X2104" s="49">
        <v>47845</v>
      </c>
      <c r="Y2104" s="49">
        <v>47845</v>
      </c>
      <c r="AY2104" s="49">
        <v>47845</v>
      </c>
      <c r="AZ2104" s="49">
        <v>47845</v>
      </c>
      <c r="BA2104" s="49">
        <v>47845</v>
      </c>
    </row>
    <row r="2105" spans="23:53" ht="16.2" customHeight="1" x14ac:dyDescent="0.4">
      <c r="W2105" s="49">
        <v>47846</v>
      </c>
      <c r="X2105" s="49">
        <v>47846</v>
      </c>
      <c r="Y2105" s="49">
        <v>47846</v>
      </c>
      <c r="AY2105" s="49">
        <v>47846</v>
      </c>
      <c r="AZ2105" s="49">
        <v>47846</v>
      </c>
      <c r="BA2105" s="49">
        <v>47846</v>
      </c>
    </row>
    <row r="2106" spans="23:53" ht="16.2" customHeight="1" x14ac:dyDescent="0.4">
      <c r="W2106" s="49">
        <v>47849</v>
      </c>
      <c r="X2106" s="49">
        <v>47849</v>
      </c>
      <c r="Y2106" s="49">
        <v>47849</v>
      </c>
      <c r="AY2106" s="49">
        <v>47849</v>
      </c>
      <c r="AZ2106" s="49">
        <v>47849</v>
      </c>
      <c r="BA2106" s="49">
        <v>47849</v>
      </c>
    </row>
    <row r="2107" spans="23:53" ht="16.2" customHeight="1" x14ac:dyDescent="0.4">
      <c r="W2107" s="49">
        <v>47852</v>
      </c>
      <c r="X2107" s="49">
        <v>47852</v>
      </c>
      <c r="Y2107" s="49">
        <v>47852</v>
      </c>
      <c r="AY2107" s="49">
        <v>47852</v>
      </c>
      <c r="AZ2107" s="49">
        <v>47852</v>
      </c>
      <c r="BA2107" s="49">
        <v>47852</v>
      </c>
    </row>
    <row r="2108" spans="23:53" ht="16.2" customHeight="1" x14ac:dyDescent="0.4">
      <c r="W2108" s="49">
        <v>47853</v>
      </c>
      <c r="X2108" s="49">
        <v>47853</v>
      </c>
      <c r="Y2108" s="49">
        <v>47853</v>
      </c>
      <c r="AY2108" s="49">
        <v>47853</v>
      </c>
      <c r="AZ2108" s="49">
        <v>47853</v>
      </c>
      <c r="BA2108" s="49">
        <v>47853</v>
      </c>
    </row>
    <row r="2109" spans="23:53" ht="16.2" customHeight="1" x14ac:dyDescent="0.4">
      <c r="W2109" s="49">
        <v>47859</v>
      </c>
      <c r="X2109" s="49">
        <v>47859</v>
      </c>
      <c r="Y2109" s="49">
        <v>47859</v>
      </c>
      <c r="AY2109" s="49">
        <v>47859</v>
      </c>
      <c r="AZ2109" s="49">
        <v>47859</v>
      </c>
      <c r="BA2109" s="49">
        <v>47859</v>
      </c>
    </row>
    <row r="2110" spans="23:53" ht="16.2" customHeight="1" x14ac:dyDescent="0.4">
      <c r="W2110" s="49">
        <v>47860</v>
      </c>
      <c r="X2110" s="49">
        <v>47860</v>
      </c>
      <c r="Y2110" s="49">
        <v>47860</v>
      </c>
      <c r="AY2110" s="49">
        <v>47860</v>
      </c>
      <c r="AZ2110" s="49">
        <v>47860</v>
      </c>
      <c r="BA2110" s="49">
        <v>47860</v>
      </c>
    </row>
    <row r="2111" spans="23:53" ht="16.2" customHeight="1" x14ac:dyDescent="0.4">
      <c r="W2111" s="49">
        <v>47866</v>
      </c>
      <c r="X2111" s="49">
        <v>47866</v>
      </c>
      <c r="Y2111" s="49">
        <v>47866</v>
      </c>
      <c r="AY2111" s="49">
        <v>47866</v>
      </c>
      <c r="AZ2111" s="49">
        <v>47866</v>
      </c>
      <c r="BA2111" s="49">
        <v>47866</v>
      </c>
    </row>
    <row r="2112" spans="23:53" ht="16.2" customHeight="1" x14ac:dyDescent="0.4">
      <c r="W2112" s="49">
        <v>47867</v>
      </c>
      <c r="X2112" s="49">
        <v>47867</v>
      </c>
      <c r="Y2112" s="49">
        <v>47867</v>
      </c>
      <c r="AY2112" s="49">
        <v>47867</v>
      </c>
      <c r="AZ2112" s="49">
        <v>47867</v>
      </c>
      <c r="BA2112" s="49">
        <v>47867</v>
      </c>
    </row>
    <row r="2113" spans="23:53" ht="16.2" customHeight="1" x14ac:dyDescent="0.4">
      <c r="W2113" s="49">
        <v>47870</v>
      </c>
      <c r="X2113" s="49">
        <v>47870</v>
      </c>
      <c r="Y2113" s="49">
        <v>47870</v>
      </c>
      <c r="AY2113" s="49">
        <v>47870</v>
      </c>
      <c r="AZ2113" s="49">
        <v>47870</v>
      </c>
      <c r="BA2113" s="49">
        <v>47870</v>
      </c>
    </row>
    <row r="2114" spans="23:53" ht="16.2" customHeight="1" x14ac:dyDescent="0.4">
      <c r="W2114" s="49">
        <v>47871</v>
      </c>
      <c r="X2114" s="49">
        <v>47871</v>
      </c>
      <c r="Y2114" s="49">
        <v>47871</v>
      </c>
      <c r="AY2114" s="49">
        <v>47871</v>
      </c>
      <c r="AZ2114" s="49">
        <v>47871</v>
      </c>
      <c r="BA2114" s="49">
        <v>47871</v>
      </c>
    </row>
    <row r="2115" spans="23:53" ht="16.2" customHeight="1" x14ac:dyDescent="0.4">
      <c r="W2115" s="49">
        <v>47872</v>
      </c>
      <c r="X2115" s="49">
        <v>47872</v>
      </c>
      <c r="Y2115" s="49">
        <v>47872</v>
      </c>
      <c r="AY2115" s="49">
        <v>47872</v>
      </c>
      <c r="AZ2115" s="49">
        <v>47872</v>
      </c>
      <c r="BA2115" s="49">
        <v>47872</v>
      </c>
    </row>
    <row r="2116" spans="23:53" ht="16.2" customHeight="1" x14ac:dyDescent="0.4">
      <c r="W2116" s="49">
        <v>47873</v>
      </c>
      <c r="X2116" s="49">
        <v>47873</v>
      </c>
      <c r="Y2116" s="49">
        <v>47873</v>
      </c>
      <c r="AY2116" s="49">
        <v>47873</v>
      </c>
      <c r="AZ2116" s="49">
        <v>47873</v>
      </c>
      <c r="BA2116" s="49">
        <v>47873</v>
      </c>
    </row>
    <row r="2117" spans="23:53" ht="16.2" customHeight="1" x14ac:dyDescent="0.4">
      <c r="W2117" s="49">
        <v>47874</v>
      </c>
      <c r="X2117" s="49">
        <v>47874</v>
      </c>
      <c r="Y2117" s="49">
        <v>47874</v>
      </c>
      <c r="AY2117" s="49">
        <v>47874</v>
      </c>
      <c r="AZ2117" s="49">
        <v>47874</v>
      </c>
      <c r="BA2117" s="49">
        <v>47874</v>
      </c>
    </row>
    <row r="2118" spans="23:53" ht="16.2" customHeight="1" x14ac:dyDescent="0.4">
      <c r="W2118" s="49">
        <v>47880</v>
      </c>
      <c r="X2118" s="49">
        <v>47880</v>
      </c>
      <c r="Y2118" s="49">
        <v>47880</v>
      </c>
      <c r="AY2118" s="49">
        <v>47880</v>
      </c>
      <c r="AZ2118" s="49">
        <v>47880</v>
      </c>
      <c r="BA2118" s="49">
        <v>47880</v>
      </c>
    </row>
    <row r="2119" spans="23:53" ht="16.2" customHeight="1" x14ac:dyDescent="0.4">
      <c r="W2119" s="49">
        <v>47881</v>
      </c>
      <c r="X2119" s="49">
        <v>47881</v>
      </c>
      <c r="Y2119" s="49">
        <v>47881</v>
      </c>
      <c r="AY2119" s="49">
        <v>47881</v>
      </c>
      <c r="AZ2119" s="49">
        <v>47881</v>
      </c>
      <c r="BA2119" s="49">
        <v>47881</v>
      </c>
    </row>
    <row r="2120" spans="23:53" ht="16.2" customHeight="1" x14ac:dyDescent="0.4">
      <c r="W2120" s="49">
        <v>47887</v>
      </c>
      <c r="X2120" s="49">
        <v>47887</v>
      </c>
      <c r="Y2120" s="49">
        <v>47887</v>
      </c>
      <c r="AY2120" s="49">
        <v>47887</v>
      </c>
      <c r="AZ2120" s="49">
        <v>47887</v>
      </c>
      <c r="BA2120" s="49">
        <v>47887</v>
      </c>
    </row>
    <row r="2121" spans="23:53" ht="16.2" customHeight="1" x14ac:dyDescent="0.4">
      <c r="W2121" s="49">
        <v>47888</v>
      </c>
      <c r="X2121" s="49">
        <v>47888</v>
      </c>
      <c r="Y2121" s="49">
        <v>47888</v>
      </c>
      <c r="AY2121" s="49">
        <v>47888</v>
      </c>
      <c r="AZ2121" s="49">
        <v>47888</v>
      </c>
      <c r="BA2121" s="49">
        <v>47888</v>
      </c>
    </row>
    <row r="2122" spans="23:53" ht="16.2" customHeight="1" x14ac:dyDescent="0.4">
      <c r="W2122" s="49">
        <v>47894</v>
      </c>
      <c r="X2122" s="49">
        <v>47894</v>
      </c>
      <c r="Y2122" s="49">
        <v>47894</v>
      </c>
      <c r="AY2122" s="49">
        <v>47894</v>
      </c>
      <c r="AZ2122" s="49">
        <v>47894</v>
      </c>
      <c r="BA2122" s="49">
        <v>47894</v>
      </c>
    </row>
    <row r="2123" spans="23:53" ht="16.2" customHeight="1" x14ac:dyDescent="0.4">
      <c r="W2123" s="49">
        <v>47895</v>
      </c>
      <c r="X2123" s="49">
        <v>47895</v>
      </c>
      <c r="Y2123" s="49">
        <v>47895</v>
      </c>
      <c r="AY2123" s="49">
        <v>47895</v>
      </c>
      <c r="AZ2123" s="49">
        <v>47895</v>
      </c>
      <c r="BA2123" s="49">
        <v>47895</v>
      </c>
    </row>
    <row r="2124" spans="23:53" ht="16.2" customHeight="1" x14ac:dyDescent="0.4">
      <c r="W2124" s="49">
        <v>47901</v>
      </c>
      <c r="X2124" s="49">
        <v>47901</v>
      </c>
      <c r="Y2124" s="49">
        <v>47901</v>
      </c>
      <c r="AY2124" s="49">
        <v>47901</v>
      </c>
      <c r="AZ2124" s="49">
        <v>47901</v>
      </c>
      <c r="BA2124" s="49">
        <v>47901</v>
      </c>
    </row>
    <row r="2125" spans="23:53" ht="16.2" customHeight="1" x14ac:dyDescent="0.4">
      <c r="W2125" s="49">
        <v>47902</v>
      </c>
      <c r="X2125" s="49">
        <v>47902</v>
      </c>
      <c r="Y2125" s="49">
        <v>47902</v>
      </c>
      <c r="AY2125" s="49">
        <v>47902</v>
      </c>
      <c r="AZ2125" s="49">
        <v>47902</v>
      </c>
      <c r="BA2125" s="49">
        <v>47902</v>
      </c>
    </row>
    <row r="2126" spans="23:53" ht="16.2" customHeight="1" x14ac:dyDescent="0.4">
      <c r="W2126" s="49">
        <v>47909</v>
      </c>
      <c r="X2126" s="49">
        <v>47909</v>
      </c>
      <c r="Y2126" s="49">
        <v>47909</v>
      </c>
      <c r="AY2126" s="49">
        <v>47909</v>
      </c>
      <c r="AZ2126" s="49">
        <v>47909</v>
      </c>
      <c r="BA2126" s="49">
        <v>47909</v>
      </c>
    </row>
    <row r="2127" spans="23:53" ht="16.2" customHeight="1" x14ac:dyDescent="0.4">
      <c r="W2127" s="49">
        <v>47915</v>
      </c>
      <c r="X2127" s="49">
        <v>47915</v>
      </c>
      <c r="Y2127" s="49">
        <v>47915</v>
      </c>
      <c r="AY2127" s="49">
        <v>47915</v>
      </c>
      <c r="AZ2127" s="49">
        <v>47915</v>
      </c>
      <c r="BA2127" s="49">
        <v>47915</v>
      </c>
    </row>
    <row r="2128" spans="23:53" ht="16.2" customHeight="1" x14ac:dyDescent="0.4">
      <c r="W2128" s="49">
        <v>47916</v>
      </c>
      <c r="X2128" s="49">
        <v>47916</v>
      </c>
      <c r="Y2128" s="49">
        <v>47916</v>
      </c>
      <c r="AY2128" s="49">
        <v>47916</v>
      </c>
      <c r="AZ2128" s="49">
        <v>47916</v>
      </c>
      <c r="BA2128" s="49">
        <v>47916</v>
      </c>
    </row>
    <row r="2129" spans="23:53" ht="16.2" customHeight="1" x14ac:dyDescent="0.4">
      <c r="W2129" s="49">
        <v>47922</v>
      </c>
      <c r="X2129" s="49">
        <v>47922</v>
      </c>
      <c r="Y2129" s="49">
        <v>47922</v>
      </c>
      <c r="AY2129" s="49">
        <v>47922</v>
      </c>
      <c r="AZ2129" s="49">
        <v>47922</v>
      </c>
      <c r="BA2129" s="49">
        <v>47922</v>
      </c>
    </row>
    <row r="2130" spans="23:53" ht="16.2" customHeight="1" x14ac:dyDescent="0.4">
      <c r="W2130" s="49">
        <v>47923</v>
      </c>
      <c r="X2130" s="49">
        <v>47923</v>
      </c>
      <c r="Y2130" s="49">
        <v>47923</v>
      </c>
      <c r="AY2130" s="49">
        <v>47923</v>
      </c>
      <c r="AZ2130" s="49">
        <v>47923</v>
      </c>
      <c r="BA2130" s="49">
        <v>47923</v>
      </c>
    </row>
    <row r="2131" spans="23:53" ht="16.2" customHeight="1" x14ac:dyDescent="0.4">
      <c r="W2131" s="49">
        <v>47929</v>
      </c>
      <c r="X2131" s="49">
        <v>47929</v>
      </c>
      <c r="Y2131" s="49">
        <v>47929</v>
      </c>
      <c r="AY2131" s="49">
        <v>47929</v>
      </c>
      <c r="AZ2131" s="49">
        <v>47929</v>
      </c>
      <c r="BA2131" s="49">
        <v>47929</v>
      </c>
    </row>
    <row r="2132" spans="23:53" ht="16.2" customHeight="1" x14ac:dyDescent="0.4">
      <c r="W2132" s="49">
        <v>47930</v>
      </c>
      <c r="X2132" s="49">
        <v>47930</v>
      </c>
      <c r="Y2132" s="49">
        <v>47930</v>
      </c>
      <c r="AY2132" s="49">
        <v>47930</v>
      </c>
      <c r="AZ2132" s="49">
        <v>47930</v>
      </c>
      <c r="BA2132" s="49">
        <v>47930</v>
      </c>
    </row>
    <row r="2133" spans="23:53" ht="16.2" customHeight="1" x14ac:dyDescent="0.4">
      <c r="W2133" s="49">
        <v>47936</v>
      </c>
      <c r="X2133" s="49">
        <v>47936</v>
      </c>
      <c r="Y2133" s="49">
        <v>47936</v>
      </c>
      <c r="AY2133" s="49">
        <v>47936</v>
      </c>
      <c r="AZ2133" s="49">
        <v>47936</v>
      </c>
      <c r="BA2133" s="49">
        <v>47936</v>
      </c>
    </row>
    <row r="2134" spans="23:53" ht="16.2" customHeight="1" x14ac:dyDescent="0.4">
      <c r="W2134" s="49">
        <v>47937</v>
      </c>
      <c r="X2134" s="49">
        <v>47937</v>
      </c>
      <c r="Y2134" s="49">
        <v>47937</v>
      </c>
      <c r="AY2134" s="49">
        <v>47937</v>
      </c>
      <c r="AZ2134" s="49">
        <v>47937</v>
      </c>
      <c r="BA2134" s="49">
        <v>47937</v>
      </c>
    </row>
    <row r="2135" spans="23:53" ht="16.2" customHeight="1" x14ac:dyDescent="0.4">
      <c r="W2135" s="49">
        <v>47943</v>
      </c>
      <c r="X2135" s="49">
        <v>47943</v>
      </c>
      <c r="Y2135" s="49">
        <v>47943</v>
      </c>
      <c r="AY2135" s="49">
        <v>47943</v>
      </c>
      <c r="AZ2135" s="49">
        <v>47943</v>
      </c>
      <c r="BA2135" s="49">
        <v>47943</v>
      </c>
    </row>
    <row r="2136" spans="23:53" ht="16.2" customHeight="1" x14ac:dyDescent="0.4">
      <c r="W2136" s="49">
        <v>47944</v>
      </c>
      <c r="X2136" s="49">
        <v>47944</v>
      </c>
      <c r="Y2136" s="49">
        <v>47944</v>
      </c>
      <c r="AY2136" s="49">
        <v>47944</v>
      </c>
      <c r="AZ2136" s="49">
        <v>47944</v>
      </c>
      <c r="BA2136" s="49">
        <v>47944</v>
      </c>
    </row>
    <row r="2137" spans="23:53" ht="16.2" customHeight="1" x14ac:dyDescent="0.4">
      <c r="W2137" s="49">
        <v>47950</v>
      </c>
      <c r="X2137" s="49">
        <v>47950</v>
      </c>
      <c r="Y2137" s="49">
        <v>47950</v>
      </c>
      <c r="AY2137" s="49">
        <v>47950</v>
      </c>
      <c r="AZ2137" s="49">
        <v>47950</v>
      </c>
      <c r="BA2137" s="49">
        <v>47950</v>
      </c>
    </row>
    <row r="2138" spans="23:53" ht="16.2" customHeight="1" x14ac:dyDescent="0.4">
      <c r="W2138" s="49">
        <v>47951</v>
      </c>
      <c r="X2138" s="49">
        <v>47951</v>
      </c>
      <c r="Y2138" s="49">
        <v>47951</v>
      </c>
      <c r="AY2138" s="49">
        <v>47951</v>
      </c>
      <c r="AZ2138" s="49">
        <v>47951</v>
      </c>
      <c r="BA2138" s="49">
        <v>47951</v>
      </c>
    </row>
    <row r="2139" spans="23:53" ht="16.2" customHeight="1" x14ac:dyDescent="0.4">
      <c r="W2139" s="49">
        <v>47957</v>
      </c>
      <c r="X2139" s="49">
        <v>47957</v>
      </c>
      <c r="Y2139" s="49">
        <v>47957</v>
      </c>
      <c r="AY2139" s="49">
        <v>47957</v>
      </c>
      <c r="AZ2139" s="49">
        <v>47957</v>
      </c>
      <c r="BA2139" s="49">
        <v>47957</v>
      </c>
    </row>
    <row r="2140" spans="23:53" ht="16.2" customHeight="1" x14ac:dyDescent="0.4">
      <c r="W2140" s="49">
        <v>47958</v>
      </c>
      <c r="X2140" s="49">
        <v>47958</v>
      </c>
      <c r="Y2140" s="49">
        <v>47958</v>
      </c>
      <c r="AY2140" s="49">
        <v>47958</v>
      </c>
      <c r="AZ2140" s="49">
        <v>47958</v>
      </c>
      <c r="BA2140" s="49">
        <v>47958</v>
      </c>
    </row>
    <row r="2141" spans="23:53" ht="16.2" customHeight="1" x14ac:dyDescent="0.4">
      <c r="W2141" s="49">
        <v>47964</v>
      </c>
      <c r="X2141" s="49">
        <v>47964</v>
      </c>
      <c r="Y2141" s="49">
        <v>47964</v>
      </c>
      <c r="AY2141" s="49">
        <v>47964</v>
      </c>
      <c r="AZ2141" s="49">
        <v>47964</v>
      </c>
      <c r="BA2141" s="49">
        <v>47964</v>
      </c>
    </row>
    <row r="2142" spans="23:53" ht="16.2" customHeight="1" x14ac:dyDescent="0.4">
      <c r="W2142" s="49">
        <v>47965</v>
      </c>
      <c r="X2142" s="49">
        <v>47965</v>
      </c>
      <c r="Y2142" s="49">
        <v>47965</v>
      </c>
      <c r="AY2142" s="49">
        <v>47965</v>
      </c>
      <c r="AZ2142" s="49">
        <v>47965</v>
      </c>
      <c r="BA2142" s="49">
        <v>47965</v>
      </c>
    </row>
    <row r="2143" spans="23:53" ht="16.2" customHeight="1" x14ac:dyDescent="0.4">
      <c r="W2143" s="49">
        <v>47969</v>
      </c>
      <c r="X2143" s="49">
        <v>47969</v>
      </c>
      <c r="Y2143" s="49">
        <v>47969</v>
      </c>
      <c r="AY2143" s="49">
        <v>47969</v>
      </c>
      <c r="AZ2143" s="49">
        <v>47969</v>
      </c>
      <c r="BA2143" s="49">
        <v>47969</v>
      </c>
    </row>
    <row r="2144" spans="23:53" ht="16.2" customHeight="1" x14ac:dyDescent="0.4">
      <c r="W2144" s="49">
        <v>47971</v>
      </c>
      <c r="X2144" s="49">
        <v>47971</v>
      </c>
      <c r="Y2144" s="49">
        <v>47971</v>
      </c>
      <c r="AY2144" s="49">
        <v>47971</v>
      </c>
      <c r="AZ2144" s="49">
        <v>47971</v>
      </c>
      <c r="BA2144" s="49">
        <v>47971</v>
      </c>
    </row>
    <row r="2145" spans="23:53" ht="16.2" customHeight="1" x14ac:dyDescent="0.4">
      <c r="W2145" s="49">
        <v>47972</v>
      </c>
      <c r="X2145" s="49">
        <v>47972</v>
      </c>
      <c r="Y2145" s="49">
        <v>47972</v>
      </c>
      <c r="AY2145" s="49">
        <v>47972</v>
      </c>
      <c r="AZ2145" s="49">
        <v>47972</v>
      </c>
      <c r="BA2145" s="49">
        <v>47972</v>
      </c>
    </row>
    <row r="2146" spans="23:53" ht="16.2" customHeight="1" x14ac:dyDescent="0.4">
      <c r="W2146" s="49">
        <v>47973</v>
      </c>
      <c r="X2146" s="49">
        <v>47973</v>
      </c>
      <c r="Y2146" s="49">
        <v>47973</v>
      </c>
      <c r="AY2146" s="49">
        <v>47973</v>
      </c>
      <c r="AZ2146" s="49">
        <v>47973</v>
      </c>
      <c r="BA2146" s="49">
        <v>47973</v>
      </c>
    </row>
    <row r="2147" spans="23:53" ht="16.2" customHeight="1" x14ac:dyDescent="0.4">
      <c r="W2147" s="49">
        <v>47978</v>
      </c>
      <c r="X2147" s="49">
        <v>47978</v>
      </c>
      <c r="Y2147" s="49">
        <v>47978</v>
      </c>
      <c r="AY2147" s="49">
        <v>47978</v>
      </c>
      <c r="AZ2147" s="49">
        <v>47978</v>
      </c>
      <c r="BA2147" s="49">
        <v>47978</v>
      </c>
    </row>
    <row r="2148" spans="23:53" ht="16.2" customHeight="1" x14ac:dyDescent="0.4">
      <c r="W2148" s="49">
        <v>47979</v>
      </c>
      <c r="X2148" s="49">
        <v>47979</v>
      </c>
      <c r="Y2148" s="49">
        <v>47979</v>
      </c>
      <c r="AY2148" s="49">
        <v>47979</v>
      </c>
      <c r="AZ2148" s="49">
        <v>47979</v>
      </c>
      <c r="BA2148" s="49">
        <v>47979</v>
      </c>
    </row>
    <row r="2149" spans="23:53" ht="16.2" customHeight="1" x14ac:dyDescent="0.4">
      <c r="W2149" s="49">
        <v>47985</v>
      </c>
      <c r="X2149" s="49">
        <v>47985</v>
      </c>
      <c r="Y2149" s="49">
        <v>47985</v>
      </c>
      <c r="AY2149" s="49">
        <v>47985</v>
      </c>
      <c r="AZ2149" s="49">
        <v>47985</v>
      </c>
      <c r="BA2149" s="49">
        <v>47985</v>
      </c>
    </row>
    <row r="2150" spans="23:53" ht="16.2" customHeight="1" x14ac:dyDescent="0.4">
      <c r="W2150" s="49">
        <v>47986</v>
      </c>
      <c r="X2150" s="49">
        <v>47986</v>
      </c>
      <c r="Y2150" s="49">
        <v>47986</v>
      </c>
      <c r="AY2150" s="49">
        <v>47986</v>
      </c>
      <c r="AZ2150" s="49">
        <v>47986</v>
      </c>
      <c r="BA2150" s="49">
        <v>47986</v>
      </c>
    </row>
    <row r="2151" spans="23:53" ht="16.2" customHeight="1" x14ac:dyDescent="0.4">
      <c r="W2151" s="49">
        <v>47992</v>
      </c>
      <c r="X2151" s="49">
        <v>47992</v>
      </c>
      <c r="Y2151" s="49">
        <v>47992</v>
      </c>
      <c r="AY2151" s="49">
        <v>47992</v>
      </c>
      <c r="AZ2151" s="49">
        <v>47992</v>
      </c>
      <c r="BA2151" s="49">
        <v>47992</v>
      </c>
    </row>
    <row r="2152" spans="23:53" ht="16.2" customHeight="1" x14ac:dyDescent="0.4">
      <c r="W2152" s="49">
        <v>47993</v>
      </c>
      <c r="X2152" s="49">
        <v>47993</v>
      </c>
      <c r="Y2152" s="49">
        <v>47993</v>
      </c>
      <c r="AY2152" s="49">
        <v>47993</v>
      </c>
      <c r="AZ2152" s="49">
        <v>47993</v>
      </c>
      <c r="BA2152" s="49">
        <v>47993</v>
      </c>
    </row>
    <row r="2153" spans="23:53" ht="16.2" customHeight="1" x14ac:dyDescent="0.4">
      <c r="W2153" s="49">
        <v>47996</v>
      </c>
      <c r="X2153" s="49">
        <v>47996</v>
      </c>
      <c r="Y2153" s="49">
        <v>47996</v>
      </c>
      <c r="AY2153" s="49">
        <v>47996</v>
      </c>
      <c r="AZ2153" s="49">
        <v>47996</v>
      </c>
      <c r="BA2153" s="49">
        <v>47996</v>
      </c>
    </row>
    <row r="2154" spans="23:53" ht="16.2" customHeight="1" x14ac:dyDescent="0.4">
      <c r="W2154" s="49">
        <v>47999</v>
      </c>
      <c r="X2154" s="49">
        <v>47999</v>
      </c>
      <c r="Y2154" s="49">
        <v>47999</v>
      </c>
      <c r="AY2154" s="49">
        <v>47999</v>
      </c>
      <c r="AZ2154" s="49">
        <v>47999</v>
      </c>
      <c r="BA2154" s="49">
        <v>47999</v>
      </c>
    </row>
    <row r="2155" spans="23:53" ht="16.2" customHeight="1" x14ac:dyDescent="0.4">
      <c r="W2155" s="49">
        <v>48000</v>
      </c>
      <c r="X2155" s="49">
        <v>48000</v>
      </c>
      <c r="Y2155" s="49">
        <v>48000</v>
      </c>
      <c r="AY2155" s="49">
        <v>48000</v>
      </c>
      <c r="AZ2155" s="49">
        <v>48000</v>
      </c>
      <c r="BA2155" s="49">
        <v>48000</v>
      </c>
    </row>
    <row r="2156" spans="23:53" ht="16.2" customHeight="1" x14ac:dyDescent="0.4">
      <c r="W2156" s="49">
        <v>48005</v>
      </c>
      <c r="X2156" s="49">
        <v>48005</v>
      </c>
      <c r="Y2156" s="49">
        <v>48005</v>
      </c>
      <c r="AY2156" s="49">
        <v>48005</v>
      </c>
      <c r="AZ2156" s="49">
        <v>48005</v>
      </c>
      <c r="BA2156" s="49">
        <v>48005</v>
      </c>
    </row>
    <row r="2157" spans="23:53" ht="16.2" customHeight="1" x14ac:dyDescent="0.4">
      <c r="W2157" s="49">
        <v>48006</v>
      </c>
      <c r="X2157" s="49">
        <v>48006</v>
      </c>
      <c r="Y2157" s="49">
        <v>48006</v>
      </c>
      <c r="AY2157" s="49">
        <v>48006</v>
      </c>
      <c r="AZ2157" s="49">
        <v>48006</v>
      </c>
      <c r="BA2157" s="49">
        <v>48006</v>
      </c>
    </row>
    <row r="2158" spans="23:53" ht="16.2" customHeight="1" x14ac:dyDescent="0.4">
      <c r="W2158" s="49">
        <v>48007</v>
      </c>
      <c r="X2158" s="49">
        <v>48007</v>
      </c>
      <c r="Y2158" s="49">
        <v>48007</v>
      </c>
      <c r="AY2158" s="49">
        <v>48007</v>
      </c>
      <c r="AZ2158" s="49">
        <v>48007</v>
      </c>
      <c r="BA2158" s="49">
        <v>48007</v>
      </c>
    </row>
    <row r="2159" spans="23:53" ht="16.2" customHeight="1" x14ac:dyDescent="0.4">
      <c r="W2159" s="49">
        <v>48013</v>
      </c>
      <c r="X2159" s="49">
        <v>48013</v>
      </c>
      <c r="Y2159" s="49">
        <v>48013</v>
      </c>
      <c r="AY2159" s="49">
        <v>48013</v>
      </c>
      <c r="AZ2159" s="49">
        <v>48013</v>
      </c>
      <c r="BA2159" s="49">
        <v>48013</v>
      </c>
    </row>
    <row r="2160" spans="23:53" ht="16.2" customHeight="1" x14ac:dyDescent="0.4">
      <c r="W2160" s="49">
        <v>48014</v>
      </c>
      <c r="X2160" s="49">
        <v>48014</v>
      </c>
      <c r="Y2160" s="49">
        <v>48014</v>
      </c>
      <c r="AY2160" s="49">
        <v>48014</v>
      </c>
      <c r="AZ2160" s="49">
        <v>48014</v>
      </c>
      <c r="BA2160" s="49">
        <v>48014</v>
      </c>
    </row>
    <row r="2161" spans="23:53" ht="16.2" customHeight="1" x14ac:dyDescent="0.4">
      <c r="W2161" s="49">
        <v>48020</v>
      </c>
      <c r="X2161" s="49">
        <v>48020</v>
      </c>
      <c r="Y2161" s="49">
        <v>48020</v>
      </c>
      <c r="AY2161" s="49">
        <v>48020</v>
      </c>
      <c r="AZ2161" s="49">
        <v>48020</v>
      </c>
      <c r="BA2161" s="49">
        <v>48020</v>
      </c>
    </row>
    <row r="2162" spans="23:53" ht="16.2" customHeight="1" x14ac:dyDescent="0.4">
      <c r="W2162" s="49">
        <v>48021</v>
      </c>
      <c r="X2162" s="49">
        <v>48021</v>
      </c>
      <c r="Y2162" s="49">
        <v>48021</v>
      </c>
      <c r="AY2162" s="49">
        <v>48021</v>
      </c>
      <c r="AZ2162" s="49">
        <v>48021</v>
      </c>
      <c r="BA2162" s="49">
        <v>48021</v>
      </c>
    </row>
    <row r="2163" spans="23:53" ht="16.2" customHeight="1" x14ac:dyDescent="0.4">
      <c r="W2163" s="49">
        <v>48027</v>
      </c>
      <c r="X2163" s="49">
        <v>48027</v>
      </c>
      <c r="Y2163" s="49">
        <v>48027</v>
      </c>
      <c r="AY2163" s="49">
        <v>48027</v>
      </c>
      <c r="AZ2163" s="49">
        <v>48027</v>
      </c>
      <c r="BA2163" s="49">
        <v>48027</v>
      </c>
    </row>
    <row r="2164" spans="23:53" ht="16.2" customHeight="1" x14ac:dyDescent="0.4">
      <c r="W2164" s="49">
        <v>48028</v>
      </c>
      <c r="X2164" s="49">
        <v>48028</v>
      </c>
      <c r="Y2164" s="49">
        <v>48028</v>
      </c>
      <c r="AY2164" s="49">
        <v>48028</v>
      </c>
      <c r="AZ2164" s="49">
        <v>48028</v>
      </c>
      <c r="BA2164" s="49">
        <v>48028</v>
      </c>
    </row>
    <row r="2165" spans="23:53" ht="16.2" customHeight="1" x14ac:dyDescent="0.4">
      <c r="W2165" s="49">
        <v>48034</v>
      </c>
      <c r="X2165" s="49">
        <v>48034</v>
      </c>
      <c r="Y2165" s="49">
        <v>48034</v>
      </c>
      <c r="AY2165" s="49">
        <v>48034</v>
      </c>
      <c r="AZ2165" s="49">
        <v>48034</v>
      </c>
      <c r="BA2165" s="49">
        <v>48034</v>
      </c>
    </row>
    <row r="2166" spans="23:53" ht="16.2" customHeight="1" x14ac:dyDescent="0.4">
      <c r="W2166" s="49">
        <v>48035</v>
      </c>
      <c r="X2166" s="49">
        <v>48035</v>
      </c>
      <c r="Y2166" s="49">
        <v>48035</v>
      </c>
      <c r="AY2166" s="49">
        <v>48035</v>
      </c>
      <c r="AZ2166" s="49">
        <v>48035</v>
      </c>
      <c r="BA2166" s="49">
        <v>48035</v>
      </c>
    </row>
    <row r="2167" spans="23:53" ht="16.2" customHeight="1" x14ac:dyDescent="0.4">
      <c r="W2167" s="49">
        <v>48041</v>
      </c>
      <c r="X2167" s="49">
        <v>48041</v>
      </c>
      <c r="Y2167" s="49">
        <v>48041</v>
      </c>
      <c r="AY2167" s="49">
        <v>48041</v>
      </c>
      <c r="AZ2167" s="49">
        <v>48041</v>
      </c>
      <c r="BA2167" s="49">
        <v>48041</v>
      </c>
    </row>
    <row r="2168" spans="23:53" ht="16.2" customHeight="1" x14ac:dyDescent="0.4">
      <c r="W2168" s="49">
        <v>48042</v>
      </c>
      <c r="X2168" s="49">
        <v>48042</v>
      </c>
      <c r="Y2168" s="49">
        <v>48042</v>
      </c>
      <c r="AY2168" s="49">
        <v>48042</v>
      </c>
      <c r="AZ2168" s="49">
        <v>48042</v>
      </c>
      <c r="BA2168" s="49">
        <v>48042</v>
      </c>
    </row>
    <row r="2169" spans="23:53" ht="16.2" customHeight="1" x14ac:dyDescent="0.4">
      <c r="W2169" s="49">
        <v>48048</v>
      </c>
      <c r="X2169" s="49">
        <v>48048</v>
      </c>
      <c r="Y2169" s="49">
        <v>48048</v>
      </c>
      <c r="AY2169" s="49">
        <v>48048</v>
      </c>
      <c r="AZ2169" s="49">
        <v>48048</v>
      </c>
      <c r="BA2169" s="49">
        <v>48048</v>
      </c>
    </row>
    <row r="2170" spans="23:53" ht="16.2" customHeight="1" x14ac:dyDescent="0.4">
      <c r="W2170" s="49">
        <v>48049</v>
      </c>
      <c r="X2170" s="49">
        <v>48049</v>
      </c>
      <c r="Y2170" s="49">
        <v>48049</v>
      </c>
      <c r="AY2170" s="49">
        <v>48049</v>
      </c>
      <c r="AZ2170" s="49">
        <v>48049</v>
      </c>
      <c r="BA2170" s="49">
        <v>48049</v>
      </c>
    </row>
    <row r="2171" spans="23:53" ht="16.2" customHeight="1" x14ac:dyDescent="0.4">
      <c r="W2171" s="49">
        <v>48055</v>
      </c>
      <c r="X2171" s="49">
        <v>48055</v>
      </c>
      <c r="Y2171" s="49">
        <v>48055</v>
      </c>
      <c r="AY2171" s="49">
        <v>48055</v>
      </c>
      <c r="AZ2171" s="49">
        <v>48055</v>
      </c>
      <c r="BA2171" s="49">
        <v>48055</v>
      </c>
    </row>
    <row r="2172" spans="23:53" ht="16.2" customHeight="1" x14ac:dyDescent="0.4">
      <c r="W2172" s="49">
        <v>48056</v>
      </c>
      <c r="X2172" s="49">
        <v>48056</v>
      </c>
      <c r="Y2172" s="49">
        <v>48056</v>
      </c>
      <c r="AY2172" s="49">
        <v>48056</v>
      </c>
      <c r="AZ2172" s="49">
        <v>48056</v>
      </c>
      <c r="BA2172" s="49">
        <v>48056</v>
      </c>
    </row>
    <row r="2173" spans="23:53" ht="16.2" customHeight="1" x14ac:dyDescent="0.4">
      <c r="W2173" s="49">
        <v>48062</v>
      </c>
      <c r="X2173" s="49">
        <v>48062</v>
      </c>
      <c r="Y2173" s="49">
        <v>48062</v>
      </c>
      <c r="AY2173" s="49">
        <v>48062</v>
      </c>
      <c r="AZ2173" s="49">
        <v>48062</v>
      </c>
      <c r="BA2173" s="49">
        <v>48062</v>
      </c>
    </row>
    <row r="2174" spans="23:53" ht="16.2" customHeight="1" x14ac:dyDescent="0.4">
      <c r="W2174" s="49">
        <v>48063</v>
      </c>
      <c r="X2174" s="49">
        <v>48063</v>
      </c>
      <c r="Y2174" s="49">
        <v>48063</v>
      </c>
      <c r="AY2174" s="49">
        <v>48063</v>
      </c>
      <c r="AZ2174" s="49">
        <v>48063</v>
      </c>
      <c r="BA2174" s="49">
        <v>48063</v>
      </c>
    </row>
    <row r="2175" spans="23:53" ht="16.2" customHeight="1" x14ac:dyDescent="0.4">
      <c r="W2175" s="49">
        <v>48069</v>
      </c>
      <c r="X2175" s="49">
        <v>48069</v>
      </c>
      <c r="Y2175" s="49">
        <v>48069</v>
      </c>
      <c r="AY2175" s="49">
        <v>48069</v>
      </c>
      <c r="AZ2175" s="49">
        <v>48069</v>
      </c>
      <c r="BA2175" s="49">
        <v>48069</v>
      </c>
    </row>
    <row r="2176" spans="23:53" ht="16.2" customHeight="1" x14ac:dyDescent="0.4">
      <c r="W2176" s="49">
        <v>48070</v>
      </c>
      <c r="X2176" s="49">
        <v>48070</v>
      </c>
      <c r="Y2176" s="49">
        <v>48070</v>
      </c>
      <c r="AY2176" s="49">
        <v>48070</v>
      </c>
      <c r="AZ2176" s="49">
        <v>48070</v>
      </c>
      <c r="BA2176" s="49">
        <v>48070</v>
      </c>
    </row>
    <row r="2177" spans="23:53" ht="16.2" customHeight="1" x14ac:dyDescent="0.4">
      <c r="W2177" s="49">
        <v>48075</v>
      </c>
      <c r="X2177" s="49">
        <v>48075</v>
      </c>
      <c r="Y2177" s="49">
        <v>48075</v>
      </c>
      <c r="AY2177" s="49">
        <v>48075</v>
      </c>
      <c r="AZ2177" s="49">
        <v>48075</v>
      </c>
      <c r="BA2177" s="49">
        <v>48075</v>
      </c>
    </row>
    <row r="2178" spans="23:53" ht="16.2" customHeight="1" x14ac:dyDescent="0.4">
      <c r="W2178" s="49">
        <v>48076</v>
      </c>
      <c r="X2178" s="49">
        <v>48076</v>
      </c>
      <c r="Y2178" s="49">
        <v>48076</v>
      </c>
      <c r="AY2178" s="49">
        <v>48076</v>
      </c>
      <c r="AZ2178" s="49">
        <v>48076</v>
      </c>
      <c r="BA2178" s="49">
        <v>48076</v>
      </c>
    </row>
    <row r="2179" spans="23:53" ht="16.2" customHeight="1" x14ac:dyDescent="0.4">
      <c r="W2179" s="49">
        <v>48077</v>
      </c>
      <c r="X2179" s="49">
        <v>48077</v>
      </c>
      <c r="Y2179" s="49">
        <v>48077</v>
      </c>
      <c r="AY2179" s="49">
        <v>48077</v>
      </c>
      <c r="AZ2179" s="49">
        <v>48077</v>
      </c>
      <c r="BA2179" s="49">
        <v>48077</v>
      </c>
    </row>
    <row r="2180" spans="23:53" ht="16.2" customHeight="1" x14ac:dyDescent="0.4">
      <c r="W2180" s="49">
        <v>48083</v>
      </c>
      <c r="X2180" s="49">
        <v>48083</v>
      </c>
      <c r="Y2180" s="49">
        <v>48083</v>
      </c>
      <c r="AY2180" s="49">
        <v>48083</v>
      </c>
      <c r="AZ2180" s="49">
        <v>48083</v>
      </c>
      <c r="BA2180" s="49">
        <v>48083</v>
      </c>
    </row>
    <row r="2181" spans="23:53" ht="16.2" customHeight="1" x14ac:dyDescent="0.4">
      <c r="W2181" s="49">
        <v>48084</v>
      </c>
      <c r="X2181" s="49">
        <v>48084</v>
      </c>
      <c r="Y2181" s="49">
        <v>48084</v>
      </c>
      <c r="AY2181" s="49">
        <v>48084</v>
      </c>
      <c r="AZ2181" s="49">
        <v>48084</v>
      </c>
      <c r="BA2181" s="49">
        <v>48084</v>
      </c>
    </row>
    <row r="2182" spans="23:53" ht="16.2" customHeight="1" x14ac:dyDescent="0.4">
      <c r="W2182" s="49">
        <v>48090</v>
      </c>
      <c r="X2182" s="49">
        <v>48090</v>
      </c>
      <c r="Y2182" s="49">
        <v>48090</v>
      </c>
      <c r="AY2182" s="49">
        <v>48090</v>
      </c>
      <c r="AZ2182" s="49">
        <v>48090</v>
      </c>
      <c r="BA2182" s="49">
        <v>48090</v>
      </c>
    </row>
    <row r="2183" spans="23:53" ht="16.2" customHeight="1" x14ac:dyDescent="0.4">
      <c r="W2183" s="49">
        <v>48091</v>
      </c>
      <c r="X2183" s="49">
        <v>48091</v>
      </c>
      <c r="Y2183" s="49">
        <v>48091</v>
      </c>
      <c r="AY2183" s="49">
        <v>48091</v>
      </c>
      <c r="AZ2183" s="49">
        <v>48091</v>
      </c>
      <c r="BA2183" s="49">
        <v>48091</v>
      </c>
    </row>
    <row r="2184" spans="23:53" ht="16.2" customHeight="1" x14ac:dyDescent="0.4">
      <c r="W2184" s="49">
        <v>48097</v>
      </c>
      <c r="X2184" s="49">
        <v>48097</v>
      </c>
      <c r="Y2184" s="49">
        <v>48097</v>
      </c>
      <c r="AY2184" s="49">
        <v>48097</v>
      </c>
      <c r="AZ2184" s="49">
        <v>48097</v>
      </c>
      <c r="BA2184" s="49">
        <v>48097</v>
      </c>
    </row>
    <row r="2185" spans="23:53" ht="16.2" customHeight="1" x14ac:dyDescent="0.4">
      <c r="W2185" s="49">
        <v>48098</v>
      </c>
      <c r="X2185" s="49">
        <v>48098</v>
      </c>
      <c r="Y2185" s="49">
        <v>48098</v>
      </c>
      <c r="AY2185" s="49">
        <v>48098</v>
      </c>
      <c r="AZ2185" s="49">
        <v>48098</v>
      </c>
      <c r="BA2185" s="49">
        <v>48098</v>
      </c>
    </row>
    <row r="2186" spans="23:53" ht="16.2" customHeight="1" x14ac:dyDescent="0.4">
      <c r="W2186" s="49">
        <v>48104</v>
      </c>
      <c r="X2186" s="49">
        <v>48104</v>
      </c>
      <c r="Y2186" s="49">
        <v>48104</v>
      </c>
      <c r="AY2186" s="49">
        <v>48104</v>
      </c>
      <c r="AZ2186" s="49">
        <v>48104</v>
      </c>
      <c r="BA2186" s="49">
        <v>48104</v>
      </c>
    </row>
    <row r="2187" spans="23:53" ht="16.2" customHeight="1" x14ac:dyDescent="0.4">
      <c r="W2187" s="49">
        <v>48105</v>
      </c>
      <c r="X2187" s="49">
        <v>48105</v>
      </c>
      <c r="Y2187" s="49">
        <v>48105</v>
      </c>
      <c r="AY2187" s="49">
        <v>48105</v>
      </c>
      <c r="AZ2187" s="49">
        <v>48105</v>
      </c>
      <c r="BA2187" s="49">
        <v>48105</v>
      </c>
    </row>
    <row r="2188" spans="23:53" ht="16.2" customHeight="1" x14ac:dyDescent="0.4">
      <c r="W2188" s="49">
        <v>48111</v>
      </c>
      <c r="X2188" s="49">
        <v>48111</v>
      </c>
      <c r="Y2188" s="49">
        <v>48111</v>
      </c>
      <c r="AY2188" s="49">
        <v>48111</v>
      </c>
      <c r="AZ2188" s="49">
        <v>48111</v>
      </c>
      <c r="BA2188" s="49">
        <v>48111</v>
      </c>
    </row>
    <row r="2189" spans="23:53" ht="16.2" customHeight="1" x14ac:dyDescent="0.4">
      <c r="W2189" s="49">
        <v>48112</v>
      </c>
      <c r="X2189" s="49">
        <v>48112</v>
      </c>
      <c r="Y2189" s="49">
        <v>48112</v>
      </c>
      <c r="AY2189" s="49">
        <v>48112</v>
      </c>
      <c r="AZ2189" s="49">
        <v>48112</v>
      </c>
      <c r="BA2189" s="49">
        <v>48112</v>
      </c>
    </row>
    <row r="2190" spans="23:53" ht="16.2" customHeight="1" x14ac:dyDescent="0.4">
      <c r="W2190" s="49">
        <v>48118</v>
      </c>
      <c r="X2190" s="49">
        <v>48118</v>
      </c>
      <c r="Y2190" s="49">
        <v>48118</v>
      </c>
      <c r="AY2190" s="49">
        <v>48118</v>
      </c>
      <c r="AZ2190" s="49">
        <v>48118</v>
      </c>
      <c r="BA2190" s="49">
        <v>48118</v>
      </c>
    </row>
    <row r="2191" spans="23:53" ht="16.2" customHeight="1" x14ac:dyDescent="0.4">
      <c r="W2191" s="49">
        <v>48119</v>
      </c>
      <c r="X2191" s="49">
        <v>48119</v>
      </c>
      <c r="Y2191" s="49">
        <v>48119</v>
      </c>
      <c r="AY2191" s="49">
        <v>48119</v>
      </c>
      <c r="AZ2191" s="49">
        <v>48119</v>
      </c>
      <c r="BA2191" s="49">
        <v>48119</v>
      </c>
    </row>
    <row r="2192" spans="23:53" ht="16.2" customHeight="1" x14ac:dyDescent="0.4">
      <c r="W2192" s="49">
        <v>48121</v>
      </c>
      <c r="X2192" s="49">
        <v>48121</v>
      </c>
      <c r="Y2192" s="49">
        <v>48121</v>
      </c>
      <c r="AY2192" s="49">
        <v>48121</v>
      </c>
      <c r="AZ2192" s="49">
        <v>48121</v>
      </c>
      <c r="BA2192" s="49">
        <v>48121</v>
      </c>
    </row>
    <row r="2193" spans="23:53" ht="16.2" customHeight="1" x14ac:dyDescent="0.4">
      <c r="W2193" s="49">
        <v>48122</v>
      </c>
      <c r="X2193" s="49">
        <v>48122</v>
      </c>
      <c r="Y2193" s="49">
        <v>48122</v>
      </c>
      <c r="AY2193" s="49">
        <v>48122</v>
      </c>
      <c r="AZ2193" s="49">
        <v>48122</v>
      </c>
      <c r="BA2193" s="49">
        <v>48122</v>
      </c>
    </row>
    <row r="2194" spans="23:53" ht="16.2" customHeight="1" x14ac:dyDescent="0.4">
      <c r="W2194" s="49">
        <v>48123</v>
      </c>
      <c r="X2194" s="49">
        <v>48123</v>
      </c>
      <c r="Y2194" s="49">
        <v>48123</v>
      </c>
      <c r="AY2194" s="49">
        <v>48123</v>
      </c>
      <c r="AZ2194" s="49">
        <v>48123</v>
      </c>
      <c r="BA2194" s="49">
        <v>48123</v>
      </c>
    </row>
    <row r="2195" spans="23:53" ht="16.2" customHeight="1" x14ac:dyDescent="0.4">
      <c r="W2195" s="49">
        <v>48124</v>
      </c>
      <c r="X2195" s="49">
        <v>48124</v>
      </c>
      <c r="Y2195" s="49">
        <v>48124</v>
      </c>
      <c r="AY2195" s="49">
        <v>48124</v>
      </c>
      <c r="AZ2195" s="49">
        <v>48124</v>
      </c>
      <c r="BA2195" s="49">
        <v>48124</v>
      </c>
    </row>
    <row r="2196" spans="23:53" ht="16.2" customHeight="1" x14ac:dyDescent="0.4">
      <c r="W2196" s="49">
        <v>48125</v>
      </c>
      <c r="X2196" s="49">
        <v>48125</v>
      </c>
      <c r="Y2196" s="49">
        <v>48125</v>
      </c>
      <c r="AY2196" s="49">
        <v>48125</v>
      </c>
      <c r="AZ2196" s="49">
        <v>48125</v>
      </c>
      <c r="BA2196" s="49">
        <v>48125</v>
      </c>
    </row>
    <row r="2197" spans="23:53" ht="16.2" customHeight="1" x14ac:dyDescent="0.4">
      <c r="W2197" s="49">
        <v>48126</v>
      </c>
      <c r="X2197" s="49">
        <v>48126</v>
      </c>
      <c r="Y2197" s="49">
        <v>48126</v>
      </c>
      <c r="AY2197" s="49">
        <v>48126</v>
      </c>
      <c r="AZ2197" s="49">
        <v>48126</v>
      </c>
      <c r="BA2197" s="49">
        <v>48126</v>
      </c>
    </row>
    <row r="2198" spans="23:53" ht="16.2" customHeight="1" x14ac:dyDescent="0.4">
      <c r="W2198" s="49">
        <v>48130</v>
      </c>
      <c r="X2198" s="49">
        <v>48130</v>
      </c>
      <c r="Y2198" s="49">
        <v>48130</v>
      </c>
      <c r="AY2198" s="49">
        <v>48130</v>
      </c>
      <c r="AZ2198" s="49">
        <v>48130</v>
      </c>
      <c r="BA2198" s="49">
        <v>48130</v>
      </c>
    </row>
    <row r="2199" spans="23:53" ht="16.2" customHeight="1" x14ac:dyDescent="0.4">
      <c r="W2199" s="49">
        <v>48132</v>
      </c>
      <c r="X2199" s="49">
        <v>48132</v>
      </c>
      <c r="Y2199" s="49">
        <v>48132</v>
      </c>
      <c r="AY2199" s="49">
        <v>48132</v>
      </c>
      <c r="AZ2199" s="49">
        <v>48132</v>
      </c>
      <c r="BA2199" s="49">
        <v>48132</v>
      </c>
    </row>
    <row r="2200" spans="23:53" ht="16.2" customHeight="1" x14ac:dyDescent="0.4">
      <c r="W2200" s="49">
        <v>48133</v>
      </c>
      <c r="X2200" s="49">
        <v>48133</v>
      </c>
      <c r="Y2200" s="49">
        <v>48133</v>
      </c>
      <c r="AY2200" s="49">
        <v>48133</v>
      </c>
      <c r="AZ2200" s="49">
        <v>48133</v>
      </c>
      <c r="BA2200" s="49">
        <v>48133</v>
      </c>
    </row>
    <row r="2201" spans="23:53" ht="16.2" customHeight="1" x14ac:dyDescent="0.4">
      <c r="W2201" s="49">
        <v>48139</v>
      </c>
      <c r="X2201" s="49">
        <v>48139</v>
      </c>
      <c r="Y2201" s="49">
        <v>48139</v>
      </c>
      <c r="AY2201" s="49">
        <v>48139</v>
      </c>
      <c r="AZ2201" s="49">
        <v>48139</v>
      </c>
      <c r="BA2201" s="49">
        <v>48139</v>
      </c>
    </row>
    <row r="2202" spans="23:53" ht="16.2" customHeight="1" x14ac:dyDescent="0.4">
      <c r="W2202" s="49">
        <v>48140</v>
      </c>
      <c r="X2202" s="49">
        <v>48140</v>
      </c>
      <c r="Y2202" s="49">
        <v>48140</v>
      </c>
      <c r="AY2202" s="49">
        <v>48140</v>
      </c>
      <c r="AZ2202" s="49">
        <v>48140</v>
      </c>
      <c r="BA2202" s="49">
        <v>48140</v>
      </c>
    </row>
    <row r="2203" spans="23:53" ht="16.2" customHeight="1" x14ac:dyDescent="0.4">
      <c r="W2203" s="49">
        <v>48146</v>
      </c>
      <c r="X2203" s="49">
        <v>48146</v>
      </c>
      <c r="Y2203" s="49">
        <v>48146</v>
      </c>
      <c r="AY2203" s="49">
        <v>48146</v>
      </c>
      <c r="AZ2203" s="49">
        <v>48146</v>
      </c>
      <c r="BA2203" s="49">
        <v>48146</v>
      </c>
    </row>
    <row r="2204" spans="23:53" ht="16.2" customHeight="1" x14ac:dyDescent="0.4">
      <c r="W2204" s="49">
        <v>48147</v>
      </c>
      <c r="X2204" s="49">
        <v>48147</v>
      </c>
      <c r="Y2204" s="49">
        <v>48147</v>
      </c>
      <c r="AY2204" s="49">
        <v>48147</v>
      </c>
      <c r="AZ2204" s="49">
        <v>48147</v>
      </c>
      <c r="BA2204" s="49">
        <v>48147</v>
      </c>
    </row>
    <row r="2205" spans="23:53" ht="16.2" customHeight="1" x14ac:dyDescent="0.4">
      <c r="W2205" s="49">
        <v>48153</v>
      </c>
      <c r="X2205" s="49">
        <v>48153</v>
      </c>
      <c r="Y2205" s="49">
        <v>48153</v>
      </c>
      <c r="AY2205" s="49">
        <v>48153</v>
      </c>
      <c r="AZ2205" s="49">
        <v>48153</v>
      </c>
      <c r="BA2205" s="49">
        <v>48153</v>
      </c>
    </row>
    <row r="2206" spans="23:53" ht="16.2" customHeight="1" x14ac:dyDescent="0.4">
      <c r="W2206" s="49">
        <v>48154</v>
      </c>
      <c r="X2206" s="49">
        <v>48154</v>
      </c>
      <c r="Y2206" s="49">
        <v>48154</v>
      </c>
      <c r="AY2206" s="49">
        <v>48154</v>
      </c>
      <c r="AZ2206" s="49">
        <v>48154</v>
      </c>
      <c r="BA2206" s="49">
        <v>48154</v>
      </c>
    </row>
    <row r="2207" spans="23:53" ht="16.2" customHeight="1" x14ac:dyDescent="0.4">
      <c r="W2207" s="49">
        <v>48160</v>
      </c>
      <c r="X2207" s="49">
        <v>48160</v>
      </c>
      <c r="Y2207" s="49">
        <v>48160</v>
      </c>
      <c r="AY2207" s="49">
        <v>48160</v>
      </c>
      <c r="AZ2207" s="49">
        <v>48160</v>
      </c>
      <c r="BA2207" s="49">
        <v>48160</v>
      </c>
    </row>
    <row r="2208" spans="23:53" ht="16.2" customHeight="1" x14ac:dyDescent="0.4">
      <c r="W2208" s="49">
        <v>48161</v>
      </c>
      <c r="X2208" s="49">
        <v>48161</v>
      </c>
      <c r="Y2208" s="49">
        <v>48161</v>
      </c>
      <c r="AY2208" s="49">
        <v>48161</v>
      </c>
      <c r="AZ2208" s="49">
        <v>48161</v>
      </c>
      <c r="BA2208" s="49">
        <v>48161</v>
      </c>
    </row>
    <row r="2209" spans="23:53" ht="16.2" customHeight="1" x14ac:dyDescent="0.4">
      <c r="W2209" s="49">
        <v>48167</v>
      </c>
      <c r="X2209" s="49">
        <v>48167</v>
      </c>
      <c r="Y2209" s="49">
        <v>48167</v>
      </c>
      <c r="AY2209" s="49">
        <v>48167</v>
      </c>
      <c r="AZ2209" s="49">
        <v>48167</v>
      </c>
      <c r="BA2209" s="49">
        <v>48167</v>
      </c>
    </row>
    <row r="2210" spans="23:53" ht="16.2" customHeight="1" x14ac:dyDescent="0.4">
      <c r="W2210" s="49">
        <v>48168</v>
      </c>
      <c r="X2210" s="49">
        <v>48168</v>
      </c>
      <c r="Y2210" s="49">
        <v>48168</v>
      </c>
      <c r="AY2210" s="49">
        <v>48168</v>
      </c>
      <c r="AZ2210" s="49">
        <v>48168</v>
      </c>
      <c r="BA2210" s="49">
        <v>48168</v>
      </c>
    </row>
    <row r="2211" spans="23:53" ht="16.2" customHeight="1" x14ac:dyDescent="0.4">
      <c r="W2211" s="49">
        <v>48174</v>
      </c>
      <c r="X2211" s="49">
        <v>48174</v>
      </c>
      <c r="Y2211" s="49">
        <v>48174</v>
      </c>
      <c r="AY2211" s="49">
        <v>48174</v>
      </c>
      <c r="AZ2211" s="49">
        <v>48174</v>
      </c>
      <c r="BA2211" s="49">
        <v>48174</v>
      </c>
    </row>
    <row r="2212" spans="23:53" ht="16.2" customHeight="1" x14ac:dyDescent="0.4">
      <c r="W2212" s="49">
        <v>48175</v>
      </c>
      <c r="X2212" s="49">
        <v>48175</v>
      </c>
      <c r="Y2212" s="49">
        <v>48175</v>
      </c>
      <c r="AY2212" s="49">
        <v>48175</v>
      </c>
      <c r="AZ2212" s="49">
        <v>48175</v>
      </c>
      <c r="BA2212" s="49">
        <v>48175</v>
      </c>
    </row>
    <row r="2213" spans="23:53" ht="16.2" customHeight="1" x14ac:dyDescent="0.4">
      <c r="W2213" s="49">
        <v>48181</v>
      </c>
      <c r="X2213" s="49">
        <v>48181</v>
      </c>
      <c r="Y2213" s="49">
        <v>48181</v>
      </c>
      <c r="AY2213" s="49">
        <v>48181</v>
      </c>
      <c r="AZ2213" s="49">
        <v>48181</v>
      </c>
      <c r="BA2213" s="49">
        <v>48181</v>
      </c>
    </row>
    <row r="2214" spans="23:53" ht="16.2" customHeight="1" x14ac:dyDescent="0.4">
      <c r="W2214" s="49">
        <v>48182</v>
      </c>
      <c r="X2214" s="49">
        <v>48182</v>
      </c>
      <c r="Y2214" s="49">
        <v>48182</v>
      </c>
      <c r="AY2214" s="49">
        <v>48182</v>
      </c>
      <c r="AZ2214" s="49">
        <v>48182</v>
      </c>
      <c r="BA2214" s="49">
        <v>48182</v>
      </c>
    </row>
    <row r="2215" spans="23:53" ht="16.2" customHeight="1" x14ac:dyDescent="0.4">
      <c r="W2215" s="49">
        <v>48188</v>
      </c>
      <c r="X2215" s="49">
        <v>48188</v>
      </c>
      <c r="Y2215" s="49">
        <v>48188</v>
      </c>
      <c r="AY2215" s="49">
        <v>48188</v>
      </c>
      <c r="AZ2215" s="49">
        <v>48188</v>
      </c>
      <c r="BA2215" s="49">
        <v>48188</v>
      </c>
    </row>
    <row r="2216" spans="23:53" ht="16.2" customHeight="1" x14ac:dyDescent="0.4">
      <c r="W2216" s="49">
        <v>48189</v>
      </c>
      <c r="X2216" s="49">
        <v>48189</v>
      </c>
      <c r="Y2216" s="49">
        <v>48189</v>
      </c>
      <c r="AY2216" s="49">
        <v>48189</v>
      </c>
      <c r="AZ2216" s="49">
        <v>48189</v>
      </c>
      <c r="BA2216" s="49">
        <v>48189</v>
      </c>
    </row>
    <row r="2217" spans="23:53" ht="16.2" customHeight="1" x14ac:dyDescent="0.4">
      <c r="W2217" s="49">
        <v>48195</v>
      </c>
      <c r="X2217" s="49">
        <v>48195</v>
      </c>
      <c r="Y2217" s="49">
        <v>48195</v>
      </c>
      <c r="AY2217" s="49">
        <v>48195</v>
      </c>
      <c r="AZ2217" s="49">
        <v>48195</v>
      </c>
      <c r="BA2217" s="49">
        <v>48195</v>
      </c>
    </row>
    <row r="2218" spans="23:53" ht="16.2" customHeight="1" x14ac:dyDescent="0.4">
      <c r="W2218" s="49">
        <v>48196</v>
      </c>
      <c r="X2218" s="49">
        <v>48196</v>
      </c>
      <c r="Y2218" s="49">
        <v>48196</v>
      </c>
      <c r="AY2218" s="49">
        <v>48196</v>
      </c>
      <c r="AZ2218" s="49">
        <v>48196</v>
      </c>
      <c r="BA2218" s="49">
        <v>48196</v>
      </c>
    </row>
    <row r="2219" spans="23:53" ht="16.2" customHeight="1" x14ac:dyDescent="0.4">
      <c r="W2219" s="49">
        <v>48202</v>
      </c>
      <c r="X2219" s="49">
        <v>48202</v>
      </c>
      <c r="Y2219" s="49">
        <v>48202</v>
      </c>
      <c r="AY2219" s="49">
        <v>48202</v>
      </c>
      <c r="AZ2219" s="49">
        <v>48202</v>
      </c>
      <c r="BA2219" s="49">
        <v>48202</v>
      </c>
    </row>
    <row r="2220" spans="23:53" ht="16.2" customHeight="1" x14ac:dyDescent="0.4">
      <c r="W2220" s="49">
        <v>48203</v>
      </c>
      <c r="X2220" s="49">
        <v>48203</v>
      </c>
      <c r="Y2220" s="49">
        <v>48203</v>
      </c>
      <c r="AY2220" s="49">
        <v>48203</v>
      </c>
      <c r="AZ2220" s="49">
        <v>48203</v>
      </c>
      <c r="BA2220" s="49">
        <v>48203</v>
      </c>
    </row>
    <row r="2221" spans="23:53" ht="16.2" customHeight="1" x14ac:dyDescent="0.4">
      <c r="W2221" s="49">
        <v>48207</v>
      </c>
      <c r="X2221" s="49">
        <v>48207</v>
      </c>
      <c r="Y2221" s="49">
        <v>48207</v>
      </c>
      <c r="AY2221" s="49">
        <v>48207</v>
      </c>
      <c r="AZ2221" s="49">
        <v>48207</v>
      </c>
      <c r="BA2221" s="49">
        <v>48207</v>
      </c>
    </row>
    <row r="2222" spans="23:53" ht="16.2" customHeight="1" x14ac:dyDescent="0.4">
      <c r="W2222" s="49">
        <v>48209</v>
      </c>
      <c r="X2222" s="49">
        <v>48209</v>
      </c>
      <c r="Y2222" s="49">
        <v>48209</v>
      </c>
      <c r="AY2222" s="49">
        <v>48209</v>
      </c>
      <c r="AZ2222" s="49">
        <v>48209</v>
      </c>
      <c r="BA2222" s="49">
        <v>48209</v>
      </c>
    </row>
    <row r="2223" spans="23:53" ht="16.2" customHeight="1" x14ac:dyDescent="0.4">
      <c r="W2223" s="49">
        <v>48210</v>
      </c>
      <c r="X2223" s="49">
        <v>48210</v>
      </c>
      <c r="Y2223" s="49">
        <v>48210</v>
      </c>
      <c r="AY2223" s="49">
        <v>48210</v>
      </c>
      <c r="AZ2223" s="49">
        <v>48210</v>
      </c>
      <c r="BA2223" s="49">
        <v>48210</v>
      </c>
    </row>
    <row r="2224" spans="23:53" ht="16.2" customHeight="1" x14ac:dyDescent="0.4">
      <c r="W2224" s="49">
        <v>48214</v>
      </c>
      <c r="X2224" s="49">
        <v>48214</v>
      </c>
      <c r="Y2224" s="49">
        <v>48214</v>
      </c>
      <c r="AY2224" s="49">
        <v>48214</v>
      </c>
      <c r="AZ2224" s="49">
        <v>48214</v>
      </c>
      <c r="BA2224" s="49">
        <v>48214</v>
      </c>
    </row>
    <row r="2225" spans="23:53" ht="16.2" customHeight="1" x14ac:dyDescent="0.4">
      <c r="W2225" s="49">
        <v>48216</v>
      </c>
      <c r="X2225" s="49">
        <v>48216</v>
      </c>
      <c r="Y2225" s="49">
        <v>48216</v>
      </c>
      <c r="AY2225" s="49">
        <v>48216</v>
      </c>
      <c r="AZ2225" s="49">
        <v>48216</v>
      </c>
      <c r="BA2225" s="49">
        <v>48216</v>
      </c>
    </row>
    <row r="2226" spans="23:53" ht="16.2" customHeight="1" x14ac:dyDescent="0.4">
      <c r="W2226" s="49">
        <v>48217</v>
      </c>
      <c r="X2226" s="49">
        <v>48217</v>
      </c>
      <c r="Y2226" s="49">
        <v>48217</v>
      </c>
      <c r="AY2226" s="49">
        <v>48217</v>
      </c>
      <c r="AZ2226" s="49">
        <v>48217</v>
      </c>
      <c r="BA2226" s="49">
        <v>48217</v>
      </c>
    </row>
    <row r="2227" spans="23:53" ht="16.2" customHeight="1" x14ac:dyDescent="0.4">
      <c r="W2227" s="49">
        <v>48223</v>
      </c>
      <c r="X2227" s="49">
        <v>48223</v>
      </c>
      <c r="Y2227" s="49">
        <v>48223</v>
      </c>
      <c r="AY2227" s="49">
        <v>48223</v>
      </c>
      <c r="AZ2227" s="49">
        <v>48223</v>
      </c>
      <c r="BA2227" s="49">
        <v>48223</v>
      </c>
    </row>
    <row r="2228" spans="23:53" ht="16.2" customHeight="1" x14ac:dyDescent="0.4">
      <c r="W2228" s="49">
        <v>48224</v>
      </c>
      <c r="X2228" s="49">
        <v>48224</v>
      </c>
      <c r="Y2228" s="49">
        <v>48224</v>
      </c>
      <c r="AY2228" s="49">
        <v>48224</v>
      </c>
      <c r="AZ2228" s="49">
        <v>48224</v>
      </c>
      <c r="BA2228" s="49">
        <v>48224</v>
      </c>
    </row>
    <row r="2229" spans="23:53" ht="16.2" customHeight="1" x14ac:dyDescent="0.4">
      <c r="W2229" s="49">
        <v>48230</v>
      </c>
      <c r="X2229" s="49">
        <v>48230</v>
      </c>
      <c r="Y2229" s="49">
        <v>48230</v>
      </c>
      <c r="AY2229" s="49">
        <v>48230</v>
      </c>
      <c r="AZ2229" s="49">
        <v>48230</v>
      </c>
      <c r="BA2229" s="49">
        <v>48230</v>
      </c>
    </row>
    <row r="2230" spans="23:53" ht="16.2" customHeight="1" x14ac:dyDescent="0.4">
      <c r="W2230" s="49">
        <v>48231</v>
      </c>
      <c r="X2230" s="49">
        <v>48231</v>
      </c>
      <c r="Y2230" s="49">
        <v>48231</v>
      </c>
      <c r="AY2230" s="49">
        <v>48231</v>
      </c>
      <c r="AZ2230" s="49">
        <v>48231</v>
      </c>
      <c r="BA2230" s="49">
        <v>48231</v>
      </c>
    </row>
    <row r="2231" spans="23:53" ht="16.2" customHeight="1" x14ac:dyDescent="0.4">
      <c r="W2231" s="49">
        <v>48237</v>
      </c>
      <c r="X2231" s="49">
        <v>48237</v>
      </c>
      <c r="Y2231" s="49">
        <v>48237</v>
      </c>
      <c r="AY2231" s="49">
        <v>48237</v>
      </c>
      <c r="AZ2231" s="49">
        <v>48237</v>
      </c>
      <c r="BA2231" s="49">
        <v>48237</v>
      </c>
    </row>
    <row r="2232" spans="23:53" ht="16.2" customHeight="1" x14ac:dyDescent="0.4">
      <c r="W2232" s="49">
        <v>48238</v>
      </c>
      <c r="X2232" s="49">
        <v>48238</v>
      </c>
      <c r="Y2232" s="49">
        <v>48238</v>
      </c>
      <c r="AY2232" s="49">
        <v>48238</v>
      </c>
      <c r="AZ2232" s="49">
        <v>48238</v>
      </c>
      <c r="BA2232" s="49">
        <v>48238</v>
      </c>
    </row>
    <row r="2233" spans="23:53" ht="16.2" customHeight="1" x14ac:dyDescent="0.4">
      <c r="W2233" s="49">
        <v>48244</v>
      </c>
      <c r="X2233" s="49">
        <v>48244</v>
      </c>
      <c r="Y2233" s="49">
        <v>48244</v>
      </c>
      <c r="AY2233" s="49">
        <v>48244</v>
      </c>
      <c r="AZ2233" s="49">
        <v>48244</v>
      </c>
      <c r="BA2233" s="49">
        <v>48244</v>
      </c>
    </row>
    <row r="2234" spans="23:53" ht="16.2" customHeight="1" x14ac:dyDescent="0.4">
      <c r="W2234" s="49">
        <v>48245</v>
      </c>
      <c r="X2234" s="49">
        <v>48245</v>
      </c>
      <c r="Y2234" s="49">
        <v>48245</v>
      </c>
      <c r="AY2234" s="49">
        <v>48245</v>
      </c>
      <c r="AZ2234" s="49">
        <v>48245</v>
      </c>
      <c r="BA2234" s="49">
        <v>48245</v>
      </c>
    </row>
    <row r="2235" spans="23:53" ht="16.2" customHeight="1" x14ac:dyDescent="0.4">
      <c r="W2235" s="49">
        <v>48251</v>
      </c>
      <c r="X2235" s="49">
        <v>48251</v>
      </c>
      <c r="Y2235" s="49">
        <v>48251</v>
      </c>
      <c r="AY2235" s="49">
        <v>48251</v>
      </c>
      <c r="AZ2235" s="49">
        <v>48251</v>
      </c>
      <c r="BA2235" s="49">
        <v>48251</v>
      </c>
    </row>
    <row r="2236" spans="23:53" ht="16.2" customHeight="1" x14ac:dyDescent="0.4">
      <c r="W2236" s="49">
        <v>48252</v>
      </c>
      <c r="X2236" s="49">
        <v>48252</v>
      </c>
      <c r="Y2236" s="49">
        <v>48252</v>
      </c>
      <c r="AY2236" s="49">
        <v>48252</v>
      </c>
      <c r="AZ2236" s="49">
        <v>48252</v>
      </c>
      <c r="BA2236" s="49">
        <v>48252</v>
      </c>
    </row>
    <row r="2237" spans="23:53" ht="16.2" customHeight="1" x14ac:dyDescent="0.4">
      <c r="W2237" s="49">
        <v>48254</v>
      </c>
      <c r="X2237" s="49">
        <v>48254</v>
      </c>
      <c r="Y2237" s="49">
        <v>48254</v>
      </c>
      <c r="AY2237" s="49">
        <v>48254</v>
      </c>
      <c r="AZ2237" s="49">
        <v>48254</v>
      </c>
      <c r="BA2237" s="49">
        <v>48254</v>
      </c>
    </row>
    <row r="2238" spans="23:53" ht="16.2" customHeight="1" x14ac:dyDescent="0.4">
      <c r="W2238" s="49">
        <v>48255</v>
      </c>
      <c r="X2238" s="49">
        <v>48255</v>
      </c>
      <c r="Y2238" s="49">
        <v>48255</v>
      </c>
      <c r="AY2238" s="49">
        <v>48255</v>
      </c>
      <c r="AZ2238" s="49">
        <v>48255</v>
      </c>
      <c r="BA2238" s="49">
        <v>48255</v>
      </c>
    </row>
    <row r="2239" spans="23:53" ht="16.2" customHeight="1" x14ac:dyDescent="0.4">
      <c r="W2239" s="49">
        <v>48256</v>
      </c>
      <c r="X2239" s="49">
        <v>48256</v>
      </c>
      <c r="Y2239" s="49">
        <v>48256</v>
      </c>
      <c r="AY2239" s="49">
        <v>48256</v>
      </c>
      <c r="AZ2239" s="49">
        <v>48256</v>
      </c>
      <c r="BA2239" s="49">
        <v>48256</v>
      </c>
    </row>
    <row r="2240" spans="23:53" ht="16.2" customHeight="1" x14ac:dyDescent="0.4">
      <c r="W2240" s="49">
        <v>48258</v>
      </c>
      <c r="X2240" s="49">
        <v>48258</v>
      </c>
      <c r="Y2240" s="49">
        <v>48258</v>
      </c>
      <c r="AY2240" s="49">
        <v>48258</v>
      </c>
      <c r="AZ2240" s="49">
        <v>48258</v>
      </c>
      <c r="BA2240" s="49">
        <v>48258</v>
      </c>
    </row>
    <row r="2241" spans="23:53" ht="16.2" customHeight="1" x14ac:dyDescent="0.4">
      <c r="W2241" s="49">
        <v>48259</v>
      </c>
      <c r="X2241" s="49">
        <v>48259</v>
      </c>
      <c r="Y2241" s="49">
        <v>48259</v>
      </c>
      <c r="AY2241" s="49">
        <v>48259</v>
      </c>
      <c r="AZ2241" s="49">
        <v>48259</v>
      </c>
      <c r="BA2241" s="49">
        <v>48259</v>
      </c>
    </row>
    <row r="2242" spans="23:53" ht="16.2" customHeight="1" x14ac:dyDescent="0.4">
      <c r="W2242" s="49">
        <v>48265</v>
      </c>
      <c r="X2242" s="49">
        <v>48265</v>
      </c>
      <c r="Y2242" s="49">
        <v>48265</v>
      </c>
      <c r="AY2242" s="49">
        <v>48265</v>
      </c>
      <c r="AZ2242" s="49">
        <v>48265</v>
      </c>
      <c r="BA2242" s="49">
        <v>48265</v>
      </c>
    </row>
    <row r="2243" spans="23:53" ht="16.2" customHeight="1" x14ac:dyDescent="0.4">
      <c r="W2243" s="49">
        <v>48266</v>
      </c>
      <c r="X2243" s="49">
        <v>48266</v>
      </c>
      <c r="Y2243" s="49">
        <v>48266</v>
      </c>
      <c r="AY2243" s="49">
        <v>48266</v>
      </c>
      <c r="AZ2243" s="49">
        <v>48266</v>
      </c>
      <c r="BA2243" s="49">
        <v>48266</v>
      </c>
    </row>
    <row r="2244" spans="23:53" ht="16.2" customHeight="1" x14ac:dyDescent="0.4">
      <c r="W2244" s="49">
        <v>48272</v>
      </c>
      <c r="X2244" s="49">
        <v>48272</v>
      </c>
      <c r="Y2244" s="49">
        <v>48272</v>
      </c>
      <c r="AY2244" s="49">
        <v>48272</v>
      </c>
      <c r="AZ2244" s="49">
        <v>48272</v>
      </c>
      <c r="BA2244" s="49">
        <v>48272</v>
      </c>
    </row>
    <row r="2245" spans="23:53" ht="16.2" customHeight="1" x14ac:dyDescent="0.4">
      <c r="W2245" s="49">
        <v>48273</v>
      </c>
      <c r="X2245" s="49">
        <v>48273</v>
      </c>
      <c r="Y2245" s="49">
        <v>48273</v>
      </c>
      <c r="AY2245" s="49">
        <v>48273</v>
      </c>
      <c r="AZ2245" s="49">
        <v>48273</v>
      </c>
      <c r="BA2245" s="49">
        <v>48273</v>
      </c>
    </row>
    <row r="2246" spans="23:53" ht="16.2" customHeight="1" x14ac:dyDescent="0.4">
      <c r="W2246" s="49">
        <v>48274</v>
      </c>
      <c r="X2246" s="49">
        <v>48274</v>
      </c>
      <c r="Y2246" s="49">
        <v>48274</v>
      </c>
      <c r="AY2246" s="49">
        <v>48274</v>
      </c>
      <c r="AZ2246" s="49">
        <v>48274</v>
      </c>
      <c r="BA2246" s="49">
        <v>48274</v>
      </c>
    </row>
    <row r="2247" spans="23:53" ht="16.2" customHeight="1" x14ac:dyDescent="0.4">
      <c r="W2247" s="49">
        <v>48279</v>
      </c>
      <c r="X2247" s="49">
        <v>48279</v>
      </c>
      <c r="Y2247" s="49">
        <v>48279</v>
      </c>
      <c r="AY2247" s="49">
        <v>48279</v>
      </c>
      <c r="AZ2247" s="49">
        <v>48279</v>
      </c>
      <c r="BA2247" s="49">
        <v>48279</v>
      </c>
    </row>
    <row r="2248" spans="23:53" ht="16.2" customHeight="1" x14ac:dyDescent="0.4">
      <c r="W2248" s="49">
        <v>48280</v>
      </c>
      <c r="X2248" s="49">
        <v>48280</v>
      </c>
      <c r="Y2248" s="49">
        <v>48280</v>
      </c>
      <c r="AY2248" s="49">
        <v>48280</v>
      </c>
      <c r="AZ2248" s="49">
        <v>48280</v>
      </c>
      <c r="BA2248" s="49">
        <v>48280</v>
      </c>
    </row>
    <row r="2249" spans="23:53" ht="16.2" customHeight="1" x14ac:dyDescent="0.4">
      <c r="W2249" s="49">
        <v>48286</v>
      </c>
      <c r="X2249" s="49">
        <v>48286</v>
      </c>
      <c r="Y2249" s="49">
        <v>48286</v>
      </c>
      <c r="AY2249" s="49">
        <v>48286</v>
      </c>
      <c r="AZ2249" s="49">
        <v>48286</v>
      </c>
      <c r="BA2249" s="49">
        <v>48286</v>
      </c>
    </row>
    <row r="2250" spans="23:53" ht="16.2" customHeight="1" x14ac:dyDescent="0.4">
      <c r="W2250" s="49">
        <v>48287</v>
      </c>
      <c r="X2250" s="49">
        <v>48287</v>
      </c>
      <c r="Y2250" s="49">
        <v>48287</v>
      </c>
      <c r="AY2250" s="49">
        <v>48287</v>
      </c>
      <c r="AZ2250" s="49">
        <v>48287</v>
      </c>
      <c r="BA2250" s="49">
        <v>48287</v>
      </c>
    </row>
    <row r="2251" spans="23:53" ht="16.2" customHeight="1" x14ac:dyDescent="0.4">
      <c r="W2251" s="49">
        <v>48293</v>
      </c>
      <c r="X2251" s="49">
        <v>48293</v>
      </c>
      <c r="Y2251" s="49">
        <v>48293</v>
      </c>
      <c r="AY2251" s="49">
        <v>48293</v>
      </c>
      <c r="AZ2251" s="49">
        <v>48293</v>
      </c>
      <c r="BA2251" s="49">
        <v>48293</v>
      </c>
    </row>
    <row r="2252" spans="23:53" ht="16.2" customHeight="1" x14ac:dyDescent="0.4">
      <c r="W2252" s="49">
        <v>48294</v>
      </c>
      <c r="X2252" s="49">
        <v>48294</v>
      </c>
      <c r="Y2252" s="49">
        <v>48294</v>
      </c>
      <c r="AY2252" s="49">
        <v>48294</v>
      </c>
      <c r="AZ2252" s="49">
        <v>48294</v>
      </c>
      <c r="BA2252" s="49">
        <v>48294</v>
      </c>
    </row>
    <row r="2253" spans="23:53" ht="16.2" customHeight="1" x14ac:dyDescent="0.4">
      <c r="W2253" s="49">
        <v>48300</v>
      </c>
      <c r="X2253" s="49">
        <v>48300</v>
      </c>
      <c r="Y2253" s="49">
        <v>48300</v>
      </c>
      <c r="AY2253" s="49">
        <v>48300</v>
      </c>
      <c r="AZ2253" s="49">
        <v>48300</v>
      </c>
      <c r="BA2253" s="49">
        <v>48300</v>
      </c>
    </row>
    <row r="2254" spans="23:53" ht="16.2" customHeight="1" x14ac:dyDescent="0.4">
      <c r="W2254" s="49">
        <v>48301</v>
      </c>
      <c r="X2254" s="49">
        <v>48301</v>
      </c>
      <c r="Y2254" s="49">
        <v>48301</v>
      </c>
      <c r="AY2254" s="49">
        <v>48301</v>
      </c>
      <c r="AZ2254" s="49">
        <v>48301</v>
      </c>
      <c r="BA2254" s="49">
        <v>48301</v>
      </c>
    </row>
    <row r="2255" spans="23:53" ht="16.2" customHeight="1" x14ac:dyDescent="0.4">
      <c r="W2255" s="49">
        <v>48307</v>
      </c>
      <c r="X2255" s="49">
        <v>48307</v>
      </c>
      <c r="Y2255" s="49">
        <v>48307</v>
      </c>
      <c r="AY2255" s="49">
        <v>48307</v>
      </c>
      <c r="AZ2255" s="49">
        <v>48307</v>
      </c>
      <c r="BA2255" s="49">
        <v>48307</v>
      </c>
    </row>
    <row r="2256" spans="23:53" ht="16.2" customHeight="1" x14ac:dyDescent="0.4">
      <c r="W2256" s="49">
        <v>48308</v>
      </c>
      <c r="X2256" s="49">
        <v>48308</v>
      </c>
      <c r="Y2256" s="49">
        <v>48308</v>
      </c>
      <c r="AY2256" s="49">
        <v>48308</v>
      </c>
      <c r="AZ2256" s="49">
        <v>48308</v>
      </c>
      <c r="BA2256" s="49">
        <v>48308</v>
      </c>
    </row>
    <row r="2257" spans="23:53" ht="16.2" customHeight="1" x14ac:dyDescent="0.4">
      <c r="W2257" s="49">
        <v>48314</v>
      </c>
      <c r="X2257" s="49">
        <v>48314</v>
      </c>
      <c r="Y2257" s="49">
        <v>48314</v>
      </c>
      <c r="AY2257" s="49">
        <v>48314</v>
      </c>
      <c r="AZ2257" s="49">
        <v>48314</v>
      </c>
      <c r="BA2257" s="49">
        <v>48314</v>
      </c>
    </row>
    <row r="2258" spans="23:53" ht="16.2" customHeight="1" x14ac:dyDescent="0.4">
      <c r="W2258" s="49">
        <v>48315</v>
      </c>
      <c r="X2258" s="49">
        <v>48315</v>
      </c>
      <c r="Y2258" s="49">
        <v>48315</v>
      </c>
      <c r="AY2258" s="49">
        <v>48315</v>
      </c>
      <c r="AZ2258" s="49">
        <v>48315</v>
      </c>
      <c r="BA2258" s="49">
        <v>48315</v>
      </c>
    </row>
    <row r="2259" spans="23:53" ht="16.2" customHeight="1" x14ac:dyDescent="0.4">
      <c r="W2259" s="49">
        <v>48321</v>
      </c>
      <c r="X2259" s="49">
        <v>48321</v>
      </c>
      <c r="Y2259" s="49">
        <v>48321</v>
      </c>
      <c r="AY2259" s="49">
        <v>48321</v>
      </c>
      <c r="AZ2259" s="49">
        <v>48321</v>
      </c>
      <c r="BA2259" s="49">
        <v>48321</v>
      </c>
    </row>
    <row r="2260" spans="23:53" ht="16.2" customHeight="1" x14ac:dyDescent="0.4">
      <c r="W2260" s="49">
        <v>48322</v>
      </c>
      <c r="X2260" s="49">
        <v>48322</v>
      </c>
      <c r="Y2260" s="49">
        <v>48322</v>
      </c>
      <c r="AY2260" s="49">
        <v>48322</v>
      </c>
      <c r="AZ2260" s="49">
        <v>48322</v>
      </c>
      <c r="BA2260" s="49">
        <v>48322</v>
      </c>
    </row>
    <row r="2261" spans="23:53" ht="16.2" customHeight="1" x14ac:dyDescent="0.4">
      <c r="W2261" s="49">
        <v>48328</v>
      </c>
      <c r="X2261" s="49">
        <v>48328</v>
      </c>
      <c r="Y2261" s="49">
        <v>48328</v>
      </c>
      <c r="AY2261" s="49">
        <v>48328</v>
      </c>
      <c r="AZ2261" s="49">
        <v>48328</v>
      </c>
      <c r="BA2261" s="49">
        <v>48328</v>
      </c>
    </row>
    <row r="2262" spans="23:53" ht="16.2" customHeight="1" x14ac:dyDescent="0.4">
      <c r="W2262" s="49">
        <v>48329</v>
      </c>
      <c r="X2262" s="49">
        <v>48329</v>
      </c>
      <c r="Y2262" s="49">
        <v>48329</v>
      </c>
      <c r="AY2262" s="49">
        <v>48329</v>
      </c>
      <c r="AZ2262" s="49">
        <v>48329</v>
      </c>
      <c r="BA2262" s="49">
        <v>48329</v>
      </c>
    </row>
    <row r="2263" spans="23:53" ht="16.2" customHeight="1" x14ac:dyDescent="0.4">
      <c r="W2263" s="49">
        <v>48336</v>
      </c>
      <c r="X2263" s="49">
        <v>48336</v>
      </c>
      <c r="Y2263" s="49">
        <v>48336</v>
      </c>
      <c r="AY2263" s="49">
        <v>48336</v>
      </c>
      <c r="AZ2263" s="49">
        <v>48336</v>
      </c>
      <c r="BA2263" s="49">
        <v>48336</v>
      </c>
    </row>
    <row r="2264" spans="23:53" ht="16.2" customHeight="1" x14ac:dyDescent="0.4">
      <c r="W2264" s="49">
        <v>48339</v>
      </c>
      <c r="X2264" s="49">
        <v>48339</v>
      </c>
      <c r="Y2264" s="49">
        <v>48339</v>
      </c>
      <c r="AY2264" s="49">
        <v>48339</v>
      </c>
      <c r="AZ2264" s="49">
        <v>48339</v>
      </c>
      <c r="BA2264" s="49">
        <v>48339</v>
      </c>
    </row>
    <row r="2265" spans="23:53" ht="16.2" customHeight="1" x14ac:dyDescent="0.4">
      <c r="W2265" s="49">
        <v>48342</v>
      </c>
      <c r="X2265" s="49">
        <v>48342</v>
      </c>
      <c r="Y2265" s="49">
        <v>48342</v>
      </c>
      <c r="AY2265" s="49">
        <v>48342</v>
      </c>
      <c r="AZ2265" s="49">
        <v>48342</v>
      </c>
      <c r="BA2265" s="49">
        <v>48342</v>
      </c>
    </row>
    <row r="2266" spans="23:53" ht="16.2" customHeight="1" x14ac:dyDescent="0.4">
      <c r="W2266" s="49">
        <v>48343</v>
      </c>
      <c r="X2266" s="49">
        <v>48343</v>
      </c>
      <c r="Y2266" s="49">
        <v>48343</v>
      </c>
      <c r="AY2266" s="49">
        <v>48343</v>
      </c>
      <c r="AZ2266" s="49">
        <v>48343</v>
      </c>
      <c r="BA2266" s="49">
        <v>48343</v>
      </c>
    </row>
    <row r="2267" spans="23:53" ht="16.2" customHeight="1" x14ac:dyDescent="0.4">
      <c r="W2267" s="49">
        <v>48349</v>
      </c>
      <c r="X2267" s="49">
        <v>48349</v>
      </c>
      <c r="Y2267" s="49">
        <v>48349</v>
      </c>
      <c r="AY2267" s="49">
        <v>48349</v>
      </c>
      <c r="AZ2267" s="49">
        <v>48349</v>
      </c>
      <c r="BA2267" s="49">
        <v>48349</v>
      </c>
    </row>
    <row r="2268" spans="23:53" ht="16.2" customHeight="1" x14ac:dyDescent="0.4">
      <c r="W2268" s="49">
        <v>48350</v>
      </c>
      <c r="X2268" s="49">
        <v>48350</v>
      </c>
      <c r="Y2268" s="49">
        <v>48350</v>
      </c>
      <c r="AY2268" s="49">
        <v>48350</v>
      </c>
      <c r="AZ2268" s="49">
        <v>48350</v>
      </c>
      <c r="BA2268" s="49">
        <v>48350</v>
      </c>
    </row>
    <row r="2269" spans="23:53" ht="16.2" customHeight="1" x14ac:dyDescent="0.4">
      <c r="W2269" s="49">
        <v>48356</v>
      </c>
      <c r="X2269" s="49">
        <v>48356</v>
      </c>
      <c r="Y2269" s="49">
        <v>48356</v>
      </c>
      <c r="AY2269" s="49">
        <v>48356</v>
      </c>
      <c r="AZ2269" s="49">
        <v>48356</v>
      </c>
      <c r="BA2269" s="49">
        <v>48356</v>
      </c>
    </row>
    <row r="2270" spans="23:53" ht="16.2" customHeight="1" x14ac:dyDescent="0.4">
      <c r="W2270" s="49">
        <v>48357</v>
      </c>
      <c r="X2270" s="49">
        <v>48357</v>
      </c>
      <c r="Y2270" s="49">
        <v>48357</v>
      </c>
      <c r="AY2270" s="49">
        <v>48357</v>
      </c>
      <c r="AZ2270" s="49">
        <v>48357</v>
      </c>
      <c r="BA2270" s="49">
        <v>48357</v>
      </c>
    </row>
    <row r="2271" spans="23:53" ht="16.2" customHeight="1" x14ac:dyDescent="0.4">
      <c r="W2271" s="49">
        <v>48363</v>
      </c>
      <c r="X2271" s="49">
        <v>48363</v>
      </c>
      <c r="Y2271" s="49">
        <v>48363</v>
      </c>
      <c r="AY2271" s="49">
        <v>48363</v>
      </c>
      <c r="AZ2271" s="49">
        <v>48363</v>
      </c>
      <c r="BA2271" s="49">
        <v>48363</v>
      </c>
    </row>
    <row r="2272" spans="23:53" ht="16.2" customHeight="1" x14ac:dyDescent="0.4">
      <c r="W2272" s="49">
        <v>48364</v>
      </c>
      <c r="X2272" s="49">
        <v>48364</v>
      </c>
      <c r="Y2272" s="49">
        <v>48364</v>
      </c>
      <c r="AY2272" s="49">
        <v>48364</v>
      </c>
      <c r="AZ2272" s="49">
        <v>48364</v>
      </c>
      <c r="BA2272" s="49">
        <v>48364</v>
      </c>
    </row>
    <row r="2273" spans="23:53" ht="16.2" customHeight="1" x14ac:dyDescent="0.4">
      <c r="W2273" s="49">
        <v>48370</v>
      </c>
      <c r="X2273" s="49">
        <v>48370</v>
      </c>
      <c r="Y2273" s="49">
        <v>48370</v>
      </c>
      <c r="AY2273" s="49">
        <v>48370</v>
      </c>
      <c r="AZ2273" s="49">
        <v>48370</v>
      </c>
      <c r="BA2273" s="49">
        <v>48370</v>
      </c>
    </row>
    <row r="2274" spans="23:53" ht="16.2" customHeight="1" x14ac:dyDescent="0.4">
      <c r="W2274" s="49">
        <v>48371</v>
      </c>
      <c r="X2274" s="49">
        <v>48371</v>
      </c>
      <c r="Y2274" s="49">
        <v>48371</v>
      </c>
      <c r="AY2274" s="49">
        <v>48371</v>
      </c>
      <c r="AZ2274" s="49">
        <v>48371</v>
      </c>
      <c r="BA2274" s="49">
        <v>48371</v>
      </c>
    </row>
    <row r="2275" spans="23:53" ht="16.2" customHeight="1" x14ac:dyDescent="0.4">
      <c r="W2275" s="49">
        <v>48377</v>
      </c>
      <c r="X2275" s="49">
        <v>48377</v>
      </c>
      <c r="Y2275" s="49">
        <v>48377</v>
      </c>
      <c r="AY2275" s="49">
        <v>48377</v>
      </c>
      <c r="AZ2275" s="49">
        <v>48377</v>
      </c>
      <c r="BA2275" s="49">
        <v>48377</v>
      </c>
    </row>
    <row r="2276" spans="23:53" ht="16.2" customHeight="1" x14ac:dyDescent="0.4">
      <c r="W2276" s="49">
        <v>48378</v>
      </c>
      <c r="X2276" s="49">
        <v>48378</v>
      </c>
      <c r="Y2276" s="49">
        <v>48378</v>
      </c>
      <c r="AY2276" s="49">
        <v>48378</v>
      </c>
      <c r="AZ2276" s="49">
        <v>48378</v>
      </c>
      <c r="BA2276" s="49">
        <v>48378</v>
      </c>
    </row>
    <row r="2277" spans="23:53" ht="16.2" customHeight="1" x14ac:dyDescent="0.4">
      <c r="W2277" s="49">
        <v>48384</v>
      </c>
      <c r="X2277" s="49">
        <v>48384</v>
      </c>
      <c r="Y2277" s="49">
        <v>48384</v>
      </c>
      <c r="AY2277" s="49">
        <v>48384</v>
      </c>
      <c r="AZ2277" s="49">
        <v>48384</v>
      </c>
      <c r="BA2277" s="49">
        <v>48384</v>
      </c>
    </row>
    <row r="2278" spans="23:53" ht="16.2" customHeight="1" x14ac:dyDescent="0.4">
      <c r="W2278" s="49">
        <v>48385</v>
      </c>
      <c r="X2278" s="49">
        <v>48385</v>
      </c>
      <c r="Y2278" s="49">
        <v>48385</v>
      </c>
      <c r="AY2278" s="49">
        <v>48385</v>
      </c>
      <c r="AZ2278" s="49">
        <v>48385</v>
      </c>
      <c r="BA2278" s="49">
        <v>48385</v>
      </c>
    </row>
    <row r="2279" spans="23:53" ht="16.2" customHeight="1" x14ac:dyDescent="0.4">
      <c r="W2279" s="49">
        <v>48391</v>
      </c>
      <c r="X2279" s="49">
        <v>48391</v>
      </c>
      <c r="Y2279" s="49">
        <v>48391</v>
      </c>
      <c r="AY2279" s="49">
        <v>48391</v>
      </c>
      <c r="AZ2279" s="49">
        <v>48391</v>
      </c>
      <c r="BA2279" s="49">
        <v>48391</v>
      </c>
    </row>
    <row r="2280" spans="23:53" ht="16.2" customHeight="1" x14ac:dyDescent="0.4">
      <c r="W2280" s="49">
        <v>48392</v>
      </c>
      <c r="X2280" s="49">
        <v>48392</v>
      </c>
      <c r="Y2280" s="49">
        <v>48392</v>
      </c>
      <c r="AY2280" s="49">
        <v>48392</v>
      </c>
      <c r="AZ2280" s="49">
        <v>48392</v>
      </c>
      <c r="BA2280" s="49">
        <v>48392</v>
      </c>
    </row>
    <row r="2281" spans="23:53" ht="16.2" customHeight="1" x14ac:dyDescent="0.4">
      <c r="W2281" s="49">
        <v>48398</v>
      </c>
      <c r="X2281" s="49">
        <v>48398</v>
      </c>
      <c r="Y2281" s="49">
        <v>48398</v>
      </c>
      <c r="AY2281" s="49">
        <v>48398</v>
      </c>
      <c r="AZ2281" s="49">
        <v>48398</v>
      </c>
      <c r="BA2281" s="49">
        <v>48398</v>
      </c>
    </row>
    <row r="2282" spans="23:53" ht="16.2" customHeight="1" x14ac:dyDescent="0.4">
      <c r="W2282" s="49">
        <v>48399</v>
      </c>
      <c r="X2282" s="49">
        <v>48399</v>
      </c>
      <c r="Y2282" s="49">
        <v>48399</v>
      </c>
      <c r="AY2282" s="49">
        <v>48399</v>
      </c>
      <c r="AZ2282" s="49">
        <v>48399</v>
      </c>
      <c r="BA2282" s="49">
        <v>48399</v>
      </c>
    </row>
    <row r="2283" spans="23:53" ht="16.2" customHeight="1" x14ac:dyDescent="0.4">
      <c r="W2283" s="49">
        <v>48405</v>
      </c>
      <c r="X2283" s="49">
        <v>48405</v>
      </c>
      <c r="Y2283" s="49">
        <v>48405</v>
      </c>
      <c r="AY2283" s="49">
        <v>48405</v>
      </c>
      <c r="AZ2283" s="49">
        <v>48405</v>
      </c>
      <c r="BA2283" s="49">
        <v>48405</v>
      </c>
    </row>
    <row r="2284" spans="23:53" ht="16.2" customHeight="1" x14ac:dyDescent="0.4">
      <c r="W2284" s="49">
        <v>48406</v>
      </c>
      <c r="X2284" s="49">
        <v>48406</v>
      </c>
      <c r="Y2284" s="49">
        <v>48406</v>
      </c>
      <c r="AY2284" s="49">
        <v>48406</v>
      </c>
      <c r="AZ2284" s="49">
        <v>48406</v>
      </c>
      <c r="BA2284" s="49">
        <v>48406</v>
      </c>
    </row>
    <row r="2285" spans="23:53" ht="16.2" customHeight="1" x14ac:dyDescent="0.4">
      <c r="W2285" s="49">
        <v>48412</v>
      </c>
      <c r="X2285" s="49">
        <v>48412</v>
      </c>
      <c r="Y2285" s="49">
        <v>48412</v>
      </c>
      <c r="AY2285" s="49">
        <v>48412</v>
      </c>
      <c r="AZ2285" s="49">
        <v>48412</v>
      </c>
      <c r="BA2285" s="49">
        <v>48412</v>
      </c>
    </row>
    <row r="2286" spans="23:53" ht="16.2" customHeight="1" x14ac:dyDescent="0.4">
      <c r="W2286" s="49">
        <v>48413</v>
      </c>
      <c r="X2286" s="49">
        <v>48413</v>
      </c>
      <c r="Y2286" s="49">
        <v>48413</v>
      </c>
      <c r="AY2286" s="49">
        <v>48413</v>
      </c>
      <c r="AZ2286" s="49">
        <v>48413</v>
      </c>
      <c r="BA2286" s="49">
        <v>48413</v>
      </c>
    </row>
    <row r="2287" spans="23:53" ht="16.2" customHeight="1" x14ac:dyDescent="0.4">
      <c r="W2287" s="49">
        <v>48419</v>
      </c>
      <c r="X2287" s="49">
        <v>48419</v>
      </c>
      <c r="Y2287" s="49">
        <v>48419</v>
      </c>
      <c r="AY2287" s="49">
        <v>48419</v>
      </c>
      <c r="AZ2287" s="49">
        <v>48419</v>
      </c>
      <c r="BA2287" s="49">
        <v>48419</v>
      </c>
    </row>
    <row r="2288" spans="23:53" ht="16.2" customHeight="1" x14ac:dyDescent="0.4">
      <c r="W2288" s="49">
        <v>48420</v>
      </c>
      <c r="X2288" s="49">
        <v>48420</v>
      </c>
      <c r="Y2288" s="49">
        <v>48420</v>
      </c>
      <c r="AY2288" s="49">
        <v>48420</v>
      </c>
      <c r="AZ2288" s="49">
        <v>48420</v>
      </c>
      <c r="BA2288" s="49">
        <v>48420</v>
      </c>
    </row>
    <row r="2289" spans="23:53" ht="16.2" customHeight="1" x14ac:dyDescent="0.4">
      <c r="W2289" s="49">
        <v>48426</v>
      </c>
      <c r="X2289" s="49">
        <v>48426</v>
      </c>
      <c r="Y2289" s="49">
        <v>48426</v>
      </c>
      <c r="AY2289" s="49">
        <v>48426</v>
      </c>
      <c r="AZ2289" s="49">
        <v>48426</v>
      </c>
      <c r="BA2289" s="49">
        <v>48426</v>
      </c>
    </row>
    <row r="2290" spans="23:53" ht="16.2" customHeight="1" x14ac:dyDescent="0.4">
      <c r="W2290" s="49">
        <v>48427</v>
      </c>
      <c r="X2290" s="49">
        <v>48427</v>
      </c>
      <c r="Y2290" s="49">
        <v>48427</v>
      </c>
      <c r="AY2290" s="49">
        <v>48427</v>
      </c>
      <c r="AZ2290" s="49">
        <v>48427</v>
      </c>
      <c r="BA2290" s="49">
        <v>48427</v>
      </c>
    </row>
    <row r="2291" spans="23:53" ht="16.2" customHeight="1" x14ac:dyDescent="0.4">
      <c r="W2291" s="49">
        <v>48433</v>
      </c>
      <c r="X2291" s="49">
        <v>48433</v>
      </c>
      <c r="Y2291" s="49">
        <v>48433</v>
      </c>
      <c r="AY2291" s="49">
        <v>48433</v>
      </c>
      <c r="AZ2291" s="49">
        <v>48433</v>
      </c>
      <c r="BA2291" s="49">
        <v>48433</v>
      </c>
    </row>
    <row r="2292" spans="23:53" ht="16.2" customHeight="1" x14ac:dyDescent="0.4">
      <c r="W2292" s="49">
        <v>48434</v>
      </c>
      <c r="X2292" s="49">
        <v>48434</v>
      </c>
      <c r="Y2292" s="49">
        <v>48434</v>
      </c>
      <c r="AY2292" s="49">
        <v>48434</v>
      </c>
      <c r="AZ2292" s="49">
        <v>48434</v>
      </c>
      <c r="BA2292" s="49">
        <v>48434</v>
      </c>
    </row>
    <row r="2293" spans="23:53" ht="16.2" customHeight="1" x14ac:dyDescent="0.4">
      <c r="W2293" s="49">
        <v>48440</v>
      </c>
      <c r="X2293" s="49">
        <v>48440</v>
      </c>
      <c r="Y2293" s="49">
        <v>48440</v>
      </c>
      <c r="AY2293" s="49">
        <v>48440</v>
      </c>
      <c r="AZ2293" s="49">
        <v>48440</v>
      </c>
      <c r="BA2293" s="49">
        <v>48440</v>
      </c>
    </row>
    <row r="2294" spans="23:53" ht="16.2" customHeight="1" x14ac:dyDescent="0.4">
      <c r="W2294" s="49">
        <v>48441</v>
      </c>
      <c r="X2294" s="49">
        <v>48441</v>
      </c>
      <c r="Y2294" s="49">
        <v>48441</v>
      </c>
      <c r="AY2294" s="49">
        <v>48441</v>
      </c>
      <c r="AZ2294" s="49">
        <v>48441</v>
      </c>
      <c r="BA2294" s="49">
        <v>48441</v>
      </c>
    </row>
    <row r="2295" spans="23:53" ht="16.2" customHeight="1" x14ac:dyDescent="0.4">
      <c r="W2295" s="49">
        <v>48447</v>
      </c>
      <c r="X2295" s="49">
        <v>48447</v>
      </c>
      <c r="Y2295" s="49">
        <v>48447</v>
      </c>
      <c r="AY2295" s="49">
        <v>48447</v>
      </c>
      <c r="AZ2295" s="49">
        <v>48447</v>
      </c>
      <c r="BA2295" s="49">
        <v>48447</v>
      </c>
    </row>
    <row r="2296" spans="23:53" ht="16.2" customHeight="1" x14ac:dyDescent="0.4">
      <c r="W2296" s="49">
        <v>48448</v>
      </c>
      <c r="X2296" s="49">
        <v>48448</v>
      </c>
      <c r="Y2296" s="49">
        <v>48448</v>
      </c>
      <c r="AY2296" s="49">
        <v>48448</v>
      </c>
      <c r="AZ2296" s="49">
        <v>48448</v>
      </c>
      <c r="BA2296" s="49">
        <v>48448</v>
      </c>
    </row>
    <row r="2297" spans="23:53" ht="16.2" customHeight="1" x14ac:dyDescent="0.4">
      <c r="W2297" s="49">
        <v>48454</v>
      </c>
      <c r="X2297" s="49">
        <v>48454</v>
      </c>
      <c r="Y2297" s="49">
        <v>48454</v>
      </c>
      <c r="AY2297" s="49">
        <v>48454</v>
      </c>
      <c r="AZ2297" s="49">
        <v>48454</v>
      </c>
      <c r="BA2297" s="49">
        <v>48454</v>
      </c>
    </row>
    <row r="2298" spans="23:53" ht="16.2" customHeight="1" x14ac:dyDescent="0.4">
      <c r="W2298" s="49">
        <v>48455</v>
      </c>
      <c r="X2298" s="49">
        <v>48455</v>
      </c>
      <c r="Y2298" s="49">
        <v>48455</v>
      </c>
      <c r="AY2298" s="49">
        <v>48455</v>
      </c>
      <c r="AZ2298" s="49">
        <v>48455</v>
      </c>
      <c r="BA2298" s="49">
        <v>48455</v>
      </c>
    </row>
    <row r="2299" spans="23:53" ht="16.2" customHeight="1" x14ac:dyDescent="0.4">
      <c r="W2299" s="49">
        <v>48461</v>
      </c>
      <c r="X2299" s="49">
        <v>48461</v>
      </c>
      <c r="Y2299" s="49">
        <v>48461</v>
      </c>
      <c r="AY2299" s="49">
        <v>48461</v>
      </c>
      <c r="AZ2299" s="49">
        <v>48461</v>
      </c>
      <c r="BA2299" s="49">
        <v>48461</v>
      </c>
    </row>
    <row r="2300" spans="23:53" ht="16.2" customHeight="1" x14ac:dyDescent="0.4">
      <c r="W2300" s="49">
        <v>48462</v>
      </c>
      <c r="X2300" s="49">
        <v>48462</v>
      </c>
      <c r="Y2300" s="49">
        <v>48462</v>
      </c>
      <c r="AY2300" s="49">
        <v>48462</v>
      </c>
      <c r="AZ2300" s="49">
        <v>48462</v>
      </c>
      <c r="BA2300" s="49">
        <v>48462</v>
      </c>
    </row>
    <row r="2301" spans="23:53" ht="16.2" customHeight="1" x14ac:dyDescent="0.4">
      <c r="W2301" s="49">
        <v>48468</v>
      </c>
      <c r="X2301" s="49">
        <v>48468</v>
      </c>
      <c r="Y2301" s="49">
        <v>48468</v>
      </c>
      <c r="AY2301" s="49">
        <v>48468</v>
      </c>
      <c r="AZ2301" s="49">
        <v>48468</v>
      </c>
      <c r="BA2301" s="49">
        <v>48468</v>
      </c>
    </row>
    <row r="2302" spans="23:53" ht="16.2" customHeight="1" x14ac:dyDescent="0.4">
      <c r="W2302" s="49">
        <v>48469</v>
      </c>
      <c r="X2302" s="49">
        <v>48469</v>
      </c>
      <c r="Y2302" s="49">
        <v>48469</v>
      </c>
      <c r="AY2302" s="49">
        <v>48469</v>
      </c>
      <c r="AZ2302" s="49">
        <v>48469</v>
      </c>
      <c r="BA2302" s="49">
        <v>48469</v>
      </c>
    </row>
    <row r="2303" spans="23:53" ht="16.2" customHeight="1" x14ac:dyDescent="0.4">
      <c r="W2303" s="49">
        <v>48476</v>
      </c>
      <c r="X2303" s="49">
        <v>48476</v>
      </c>
      <c r="Y2303" s="49">
        <v>48476</v>
      </c>
      <c r="AY2303" s="49">
        <v>48476</v>
      </c>
      <c r="AZ2303" s="49">
        <v>48476</v>
      </c>
      <c r="BA2303" s="49">
        <v>48476</v>
      </c>
    </row>
    <row r="2304" spans="23:53" ht="16.2" customHeight="1" x14ac:dyDescent="0.4">
      <c r="W2304" s="49">
        <v>48477</v>
      </c>
      <c r="X2304" s="49">
        <v>48477</v>
      </c>
      <c r="Y2304" s="49">
        <v>48477</v>
      </c>
      <c r="AY2304" s="49">
        <v>48477</v>
      </c>
      <c r="AZ2304" s="49">
        <v>48477</v>
      </c>
      <c r="BA2304" s="49">
        <v>48477</v>
      </c>
    </row>
    <row r="2305" spans="23:53" ht="16.2" customHeight="1" x14ac:dyDescent="0.4">
      <c r="W2305" s="49">
        <v>48482</v>
      </c>
      <c r="X2305" s="49">
        <v>48482</v>
      </c>
      <c r="Y2305" s="49">
        <v>48482</v>
      </c>
      <c r="AY2305" s="49">
        <v>48482</v>
      </c>
      <c r="AZ2305" s="49">
        <v>48482</v>
      </c>
      <c r="BA2305" s="49">
        <v>48482</v>
      </c>
    </row>
    <row r="2306" spans="23:53" ht="16.2" customHeight="1" x14ac:dyDescent="0.4">
      <c r="W2306" s="49">
        <v>48483</v>
      </c>
      <c r="X2306" s="49">
        <v>48483</v>
      </c>
      <c r="Y2306" s="49">
        <v>48483</v>
      </c>
      <c r="AY2306" s="49">
        <v>48483</v>
      </c>
      <c r="AZ2306" s="49">
        <v>48483</v>
      </c>
      <c r="BA2306" s="49">
        <v>48483</v>
      </c>
    </row>
    <row r="2307" spans="23:53" ht="16.2" customHeight="1" x14ac:dyDescent="0.4">
      <c r="W2307" s="49">
        <v>48489</v>
      </c>
      <c r="X2307" s="49">
        <v>48489</v>
      </c>
      <c r="Y2307" s="49">
        <v>48489</v>
      </c>
      <c r="AY2307" s="49">
        <v>48489</v>
      </c>
      <c r="AZ2307" s="49">
        <v>48489</v>
      </c>
      <c r="BA2307" s="49">
        <v>48489</v>
      </c>
    </row>
    <row r="2308" spans="23:53" ht="16.2" customHeight="1" x14ac:dyDescent="0.4">
      <c r="W2308" s="49">
        <v>48490</v>
      </c>
      <c r="X2308" s="49">
        <v>48490</v>
      </c>
      <c r="Y2308" s="49">
        <v>48490</v>
      </c>
      <c r="AY2308" s="49">
        <v>48490</v>
      </c>
      <c r="AZ2308" s="49">
        <v>48490</v>
      </c>
      <c r="BA2308" s="49">
        <v>48490</v>
      </c>
    </row>
    <row r="2309" spans="23:53" ht="16.2" customHeight="1" x14ac:dyDescent="0.4">
      <c r="W2309" s="49">
        <v>48496</v>
      </c>
      <c r="X2309" s="49">
        <v>48496</v>
      </c>
      <c r="Y2309" s="49">
        <v>48496</v>
      </c>
      <c r="AY2309" s="49">
        <v>48496</v>
      </c>
      <c r="AZ2309" s="49">
        <v>48496</v>
      </c>
      <c r="BA2309" s="49">
        <v>48496</v>
      </c>
    </row>
    <row r="2310" spans="23:53" ht="16.2" customHeight="1" x14ac:dyDescent="0.4">
      <c r="W2310" s="49">
        <v>48497</v>
      </c>
      <c r="X2310" s="49">
        <v>48497</v>
      </c>
      <c r="Y2310" s="49">
        <v>48497</v>
      </c>
      <c r="AY2310" s="49">
        <v>48497</v>
      </c>
      <c r="AZ2310" s="49">
        <v>48497</v>
      </c>
      <c r="BA2310" s="49">
        <v>48497</v>
      </c>
    </row>
    <row r="2311" spans="23:53" ht="16.2" customHeight="1" x14ac:dyDescent="0.4">
      <c r="W2311" s="49">
        <v>48503</v>
      </c>
      <c r="X2311" s="49">
        <v>48503</v>
      </c>
      <c r="Y2311" s="49">
        <v>48503</v>
      </c>
      <c r="AY2311" s="49">
        <v>48503</v>
      </c>
      <c r="AZ2311" s="49">
        <v>48503</v>
      </c>
      <c r="BA2311" s="49">
        <v>48503</v>
      </c>
    </row>
    <row r="2312" spans="23:53" ht="16.2" customHeight="1" x14ac:dyDescent="0.4">
      <c r="W2312" s="49">
        <v>48504</v>
      </c>
      <c r="X2312" s="49">
        <v>48504</v>
      </c>
      <c r="Y2312" s="49">
        <v>48504</v>
      </c>
      <c r="AY2312" s="49">
        <v>48504</v>
      </c>
      <c r="AZ2312" s="49">
        <v>48504</v>
      </c>
      <c r="BA2312" s="49">
        <v>48504</v>
      </c>
    </row>
    <row r="2313" spans="23:53" ht="16.2" customHeight="1" x14ac:dyDescent="0.4">
      <c r="W2313" s="49">
        <v>48510</v>
      </c>
      <c r="X2313" s="49">
        <v>48510</v>
      </c>
      <c r="Y2313" s="49">
        <v>48510</v>
      </c>
      <c r="AY2313" s="49">
        <v>48510</v>
      </c>
      <c r="AZ2313" s="49">
        <v>48510</v>
      </c>
      <c r="BA2313" s="49">
        <v>48510</v>
      </c>
    </row>
    <row r="2314" spans="23:53" ht="16.2" customHeight="1" x14ac:dyDescent="0.4">
      <c r="W2314" s="49">
        <v>48511</v>
      </c>
      <c r="X2314" s="49">
        <v>48511</v>
      </c>
      <c r="Y2314" s="49">
        <v>48511</v>
      </c>
      <c r="AY2314" s="49">
        <v>48511</v>
      </c>
      <c r="AZ2314" s="49">
        <v>48511</v>
      </c>
      <c r="BA2314" s="49">
        <v>48511</v>
      </c>
    </row>
    <row r="2315" spans="23:53" ht="16.2" customHeight="1" x14ac:dyDescent="0.4">
      <c r="W2315" s="49">
        <v>48517</v>
      </c>
      <c r="X2315" s="49">
        <v>48517</v>
      </c>
      <c r="Y2315" s="49">
        <v>48517</v>
      </c>
      <c r="AY2315" s="49">
        <v>48517</v>
      </c>
      <c r="AZ2315" s="49">
        <v>48517</v>
      </c>
      <c r="BA2315" s="49">
        <v>48517</v>
      </c>
    </row>
    <row r="2316" spans="23:53" ht="16.2" customHeight="1" x14ac:dyDescent="0.4">
      <c r="W2316" s="49">
        <v>48518</v>
      </c>
      <c r="X2316" s="49">
        <v>48518</v>
      </c>
      <c r="Y2316" s="49">
        <v>48518</v>
      </c>
      <c r="AY2316" s="49">
        <v>48518</v>
      </c>
      <c r="AZ2316" s="49">
        <v>48518</v>
      </c>
      <c r="BA2316" s="49">
        <v>48518</v>
      </c>
    </row>
    <row r="2317" spans="23:53" ht="16.2" customHeight="1" x14ac:dyDescent="0.4">
      <c r="W2317" s="49">
        <v>48524</v>
      </c>
      <c r="X2317" s="49">
        <v>48524</v>
      </c>
      <c r="Y2317" s="49">
        <v>48524</v>
      </c>
      <c r="AY2317" s="49">
        <v>48524</v>
      </c>
      <c r="AZ2317" s="49">
        <v>48524</v>
      </c>
      <c r="BA2317" s="49">
        <v>48524</v>
      </c>
    </row>
    <row r="2318" spans="23:53" ht="16.2" customHeight="1" x14ac:dyDescent="0.4">
      <c r="W2318" s="49">
        <v>48525</v>
      </c>
      <c r="X2318" s="49">
        <v>48525</v>
      </c>
      <c r="Y2318" s="49">
        <v>48525</v>
      </c>
      <c r="AY2318" s="49">
        <v>48525</v>
      </c>
      <c r="AZ2318" s="49">
        <v>48525</v>
      </c>
      <c r="BA2318" s="49">
        <v>48525</v>
      </c>
    </row>
    <row r="2319" spans="23:53" ht="16.2" customHeight="1" x14ac:dyDescent="0.4">
      <c r="W2319" s="49">
        <v>48531</v>
      </c>
      <c r="X2319" s="49">
        <v>48531</v>
      </c>
      <c r="Y2319" s="49">
        <v>48531</v>
      </c>
      <c r="AY2319" s="49">
        <v>48531</v>
      </c>
      <c r="AZ2319" s="49">
        <v>48531</v>
      </c>
      <c r="BA2319" s="49">
        <v>48531</v>
      </c>
    </row>
    <row r="2320" spans="23:53" ht="16.2" customHeight="1" x14ac:dyDescent="0.4">
      <c r="W2320" s="49">
        <v>48532</v>
      </c>
      <c r="X2320" s="49">
        <v>48532</v>
      </c>
      <c r="Y2320" s="49">
        <v>48532</v>
      </c>
      <c r="AY2320" s="49">
        <v>48532</v>
      </c>
      <c r="AZ2320" s="49">
        <v>48532</v>
      </c>
      <c r="BA2320" s="49">
        <v>48532</v>
      </c>
    </row>
    <row r="2321" spans="23:53" ht="16.2" customHeight="1" x14ac:dyDescent="0.4">
      <c r="W2321" s="49">
        <v>48538</v>
      </c>
      <c r="X2321" s="49">
        <v>48538</v>
      </c>
      <c r="Y2321" s="49">
        <v>48538</v>
      </c>
      <c r="AY2321" s="49">
        <v>48538</v>
      </c>
      <c r="AZ2321" s="49">
        <v>48538</v>
      </c>
      <c r="BA2321" s="49">
        <v>48538</v>
      </c>
    </row>
    <row r="2322" spans="23:53" ht="16.2" customHeight="1" x14ac:dyDescent="0.4">
      <c r="W2322" s="49">
        <v>48539</v>
      </c>
      <c r="X2322" s="49">
        <v>48539</v>
      </c>
      <c r="Y2322" s="49">
        <v>48539</v>
      </c>
      <c r="AY2322" s="49">
        <v>48539</v>
      </c>
      <c r="AZ2322" s="49">
        <v>48539</v>
      </c>
      <c r="BA2322" s="49">
        <v>48539</v>
      </c>
    </row>
    <row r="2323" spans="23:53" ht="16.2" customHeight="1" x14ac:dyDescent="0.4">
      <c r="W2323" s="49">
        <v>48545</v>
      </c>
      <c r="X2323" s="49">
        <v>48545</v>
      </c>
      <c r="Y2323" s="49">
        <v>48545</v>
      </c>
      <c r="AY2323" s="49">
        <v>48545</v>
      </c>
      <c r="AZ2323" s="49">
        <v>48545</v>
      </c>
      <c r="BA2323" s="49">
        <v>48545</v>
      </c>
    </row>
    <row r="2324" spans="23:53" ht="16.2" customHeight="1" x14ac:dyDescent="0.4">
      <c r="W2324" s="49">
        <v>48546</v>
      </c>
      <c r="X2324" s="49">
        <v>48546</v>
      </c>
      <c r="Y2324" s="49">
        <v>48546</v>
      </c>
      <c r="AY2324" s="49">
        <v>48546</v>
      </c>
      <c r="AZ2324" s="49">
        <v>48546</v>
      </c>
      <c r="BA2324" s="49">
        <v>48546</v>
      </c>
    </row>
    <row r="2325" spans="23:53" ht="16.2" customHeight="1" x14ac:dyDescent="0.4">
      <c r="W2325" s="49">
        <v>48552</v>
      </c>
      <c r="X2325" s="49">
        <v>48552</v>
      </c>
      <c r="Y2325" s="49">
        <v>48552</v>
      </c>
      <c r="AY2325" s="49">
        <v>48552</v>
      </c>
      <c r="AZ2325" s="49">
        <v>48552</v>
      </c>
      <c r="BA2325" s="49">
        <v>48552</v>
      </c>
    </row>
    <row r="2326" spans="23:53" ht="16.2" customHeight="1" x14ac:dyDescent="0.4">
      <c r="W2326" s="49">
        <v>48553</v>
      </c>
      <c r="X2326" s="49">
        <v>48553</v>
      </c>
      <c r="Y2326" s="49">
        <v>48553</v>
      </c>
      <c r="AY2326" s="49">
        <v>48553</v>
      </c>
      <c r="AZ2326" s="49">
        <v>48553</v>
      </c>
      <c r="BA2326" s="49">
        <v>48553</v>
      </c>
    </row>
    <row r="2327" spans="23:53" ht="16.2" customHeight="1" x14ac:dyDescent="0.4">
      <c r="W2327" s="49">
        <v>48559</v>
      </c>
      <c r="X2327" s="49">
        <v>48559</v>
      </c>
      <c r="Y2327" s="49">
        <v>48559</v>
      </c>
      <c r="AY2327" s="49">
        <v>48559</v>
      </c>
      <c r="AZ2327" s="49">
        <v>48559</v>
      </c>
      <c r="BA2327" s="49">
        <v>48559</v>
      </c>
    </row>
    <row r="2328" spans="23:53" ht="16.2" customHeight="1" x14ac:dyDescent="0.4">
      <c r="W2328" s="49">
        <v>48560</v>
      </c>
      <c r="X2328" s="49">
        <v>48560</v>
      </c>
      <c r="Y2328" s="49">
        <v>48560</v>
      </c>
      <c r="AY2328" s="49">
        <v>48560</v>
      </c>
      <c r="AZ2328" s="49">
        <v>48560</v>
      </c>
      <c r="BA2328" s="49">
        <v>48560</v>
      </c>
    </row>
    <row r="2329" spans="23:53" ht="16.2" customHeight="1" x14ac:dyDescent="0.4">
      <c r="W2329" s="49">
        <v>48566</v>
      </c>
      <c r="X2329" s="49">
        <v>48566</v>
      </c>
      <c r="Y2329" s="49">
        <v>48566</v>
      </c>
      <c r="AY2329" s="49">
        <v>48566</v>
      </c>
      <c r="AZ2329" s="49">
        <v>48566</v>
      </c>
      <c r="BA2329" s="49">
        <v>48566</v>
      </c>
    </row>
    <row r="2330" spans="23:53" ht="16.2" customHeight="1" x14ac:dyDescent="0.4">
      <c r="W2330" s="49">
        <v>48567</v>
      </c>
      <c r="X2330" s="49">
        <v>48567</v>
      </c>
      <c r="Y2330" s="49">
        <v>48567</v>
      </c>
      <c r="AY2330" s="49">
        <v>48567</v>
      </c>
      <c r="AZ2330" s="49">
        <v>48567</v>
      </c>
      <c r="BA2330" s="49">
        <v>48567</v>
      </c>
    </row>
    <row r="2331" spans="23:53" ht="16.2" customHeight="1" x14ac:dyDescent="0.4">
      <c r="W2331" s="49">
        <v>48574</v>
      </c>
      <c r="X2331" s="49">
        <v>48574</v>
      </c>
      <c r="Y2331" s="49">
        <v>48574</v>
      </c>
      <c r="AY2331" s="49">
        <v>48574</v>
      </c>
      <c r="AZ2331" s="49">
        <v>48574</v>
      </c>
      <c r="BA2331" s="49">
        <v>48574</v>
      </c>
    </row>
    <row r="2332" spans="23:53" ht="16.2" customHeight="1" x14ac:dyDescent="0.4">
      <c r="W2332" s="49">
        <v>48581</v>
      </c>
      <c r="X2332" s="49">
        <v>48581</v>
      </c>
      <c r="Y2332" s="49">
        <v>48581</v>
      </c>
      <c r="AY2332" s="49">
        <v>48581</v>
      </c>
      <c r="AZ2332" s="49">
        <v>48581</v>
      </c>
      <c r="BA2332" s="49">
        <v>48581</v>
      </c>
    </row>
    <row r="2333" spans="23:53" ht="16.2" customHeight="1" x14ac:dyDescent="0.4">
      <c r="W2333" s="49">
        <v>48587</v>
      </c>
      <c r="X2333" s="49">
        <v>48587</v>
      </c>
      <c r="Y2333" s="49">
        <v>48587</v>
      </c>
      <c r="AY2333" s="49">
        <v>48587</v>
      </c>
      <c r="AZ2333" s="49">
        <v>48587</v>
      </c>
      <c r="BA2333" s="49">
        <v>48587</v>
      </c>
    </row>
    <row r="2334" spans="23:53" ht="16.2" customHeight="1" x14ac:dyDescent="0.4">
      <c r="W2334" s="49">
        <v>48588</v>
      </c>
      <c r="X2334" s="49">
        <v>48588</v>
      </c>
      <c r="Y2334" s="49">
        <v>48588</v>
      </c>
      <c r="AY2334" s="49">
        <v>48588</v>
      </c>
      <c r="AZ2334" s="49">
        <v>48588</v>
      </c>
      <c r="BA2334" s="49">
        <v>48588</v>
      </c>
    </row>
    <row r="2335" spans="23:53" ht="16.2" customHeight="1" x14ac:dyDescent="0.4">
      <c r="W2335" s="49">
        <v>48594</v>
      </c>
      <c r="X2335" s="49">
        <v>48594</v>
      </c>
      <c r="Y2335" s="49">
        <v>48594</v>
      </c>
      <c r="AY2335" s="49">
        <v>48594</v>
      </c>
      <c r="AZ2335" s="49">
        <v>48594</v>
      </c>
      <c r="BA2335" s="49">
        <v>48594</v>
      </c>
    </row>
    <row r="2336" spans="23:53" ht="16.2" customHeight="1" x14ac:dyDescent="0.4">
      <c r="W2336" s="49">
        <v>48595</v>
      </c>
      <c r="X2336" s="49">
        <v>48595</v>
      </c>
      <c r="Y2336" s="49">
        <v>48595</v>
      </c>
      <c r="AY2336" s="49">
        <v>48595</v>
      </c>
      <c r="AZ2336" s="49">
        <v>48595</v>
      </c>
      <c r="BA2336" s="49">
        <v>48595</v>
      </c>
    </row>
    <row r="2337" spans="23:53" ht="16.2" customHeight="1" x14ac:dyDescent="0.4">
      <c r="W2337" s="49">
        <v>48601</v>
      </c>
      <c r="X2337" s="49">
        <v>48601</v>
      </c>
      <c r="Y2337" s="49">
        <v>48601</v>
      </c>
      <c r="AY2337" s="49">
        <v>48601</v>
      </c>
      <c r="AZ2337" s="49">
        <v>48601</v>
      </c>
      <c r="BA2337" s="49">
        <v>48601</v>
      </c>
    </row>
    <row r="2338" spans="23:53" ht="16.2" customHeight="1" x14ac:dyDescent="0.4">
      <c r="W2338" s="49">
        <v>48602</v>
      </c>
      <c r="X2338" s="49">
        <v>48602</v>
      </c>
      <c r="Y2338" s="49">
        <v>48602</v>
      </c>
      <c r="AY2338" s="49">
        <v>48602</v>
      </c>
      <c r="AZ2338" s="49">
        <v>48602</v>
      </c>
      <c r="BA2338" s="49">
        <v>48602</v>
      </c>
    </row>
    <row r="2339" spans="23:53" ht="16.2" customHeight="1" x14ac:dyDescent="0.4">
      <c r="W2339" s="49">
        <v>48608</v>
      </c>
      <c r="X2339" s="49">
        <v>48608</v>
      </c>
      <c r="Y2339" s="49">
        <v>48608</v>
      </c>
      <c r="AY2339" s="49">
        <v>48608</v>
      </c>
      <c r="AZ2339" s="49">
        <v>48608</v>
      </c>
      <c r="BA2339" s="49">
        <v>48608</v>
      </c>
    </row>
    <row r="2340" spans="23:53" ht="16.2" customHeight="1" x14ac:dyDescent="0.4">
      <c r="W2340" s="49">
        <v>48609</v>
      </c>
      <c r="X2340" s="49">
        <v>48609</v>
      </c>
      <c r="Y2340" s="49">
        <v>48609</v>
      </c>
      <c r="AY2340" s="49">
        <v>48609</v>
      </c>
      <c r="AZ2340" s="49">
        <v>48609</v>
      </c>
      <c r="BA2340" s="49">
        <v>48609</v>
      </c>
    </row>
    <row r="2341" spans="23:53" ht="16.2" customHeight="1" x14ac:dyDescent="0.4">
      <c r="W2341" s="49">
        <v>48610</v>
      </c>
      <c r="X2341" s="49">
        <v>48610</v>
      </c>
      <c r="Y2341" s="49">
        <v>48610</v>
      </c>
      <c r="AY2341" s="49">
        <v>48610</v>
      </c>
      <c r="AZ2341" s="49">
        <v>48610</v>
      </c>
      <c r="BA2341" s="49">
        <v>48610</v>
      </c>
    </row>
    <row r="2342" spans="23:53" ht="16.2" customHeight="1" x14ac:dyDescent="0.4">
      <c r="W2342" s="49">
        <v>48611</v>
      </c>
      <c r="X2342" s="49">
        <v>48611</v>
      </c>
      <c r="Y2342" s="49">
        <v>48611</v>
      </c>
      <c r="AY2342" s="49">
        <v>48611</v>
      </c>
      <c r="AZ2342" s="49">
        <v>48611</v>
      </c>
      <c r="BA2342" s="49">
        <v>48611</v>
      </c>
    </row>
    <row r="2343" spans="23:53" ht="16.2" customHeight="1" x14ac:dyDescent="0.4">
      <c r="W2343" s="49">
        <v>48615</v>
      </c>
      <c r="X2343" s="49">
        <v>48615</v>
      </c>
      <c r="Y2343" s="49">
        <v>48615</v>
      </c>
      <c r="AY2343" s="49">
        <v>48615</v>
      </c>
      <c r="AZ2343" s="49">
        <v>48615</v>
      </c>
      <c r="BA2343" s="49">
        <v>48615</v>
      </c>
    </row>
    <row r="2344" spans="23:53" ht="16.2" customHeight="1" x14ac:dyDescent="0.4">
      <c r="W2344" s="49">
        <v>48616</v>
      </c>
      <c r="X2344" s="49">
        <v>48616</v>
      </c>
      <c r="Y2344" s="49">
        <v>48616</v>
      </c>
      <c r="AY2344" s="49">
        <v>48616</v>
      </c>
      <c r="AZ2344" s="49">
        <v>48616</v>
      </c>
      <c r="BA2344" s="49">
        <v>48616</v>
      </c>
    </row>
    <row r="2345" spans="23:53" ht="16.2" customHeight="1" x14ac:dyDescent="0.4">
      <c r="W2345" s="49">
        <v>48622</v>
      </c>
      <c r="X2345" s="49">
        <v>48622</v>
      </c>
      <c r="Y2345" s="49">
        <v>48622</v>
      </c>
      <c r="AY2345" s="49">
        <v>48622</v>
      </c>
      <c r="AZ2345" s="49">
        <v>48622</v>
      </c>
      <c r="BA2345" s="49">
        <v>48622</v>
      </c>
    </row>
    <row r="2346" spans="23:53" ht="16.2" customHeight="1" x14ac:dyDescent="0.4">
      <c r="W2346" s="49">
        <v>48623</v>
      </c>
      <c r="X2346" s="49">
        <v>48623</v>
      </c>
      <c r="Y2346" s="49">
        <v>48623</v>
      </c>
      <c r="AY2346" s="49">
        <v>48623</v>
      </c>
      <c r="AZ2346" s="49">
        <v>48623</v>
      </c>
      <c r="BA2346" s="49">
        <v>48623</v>
      </c>
    </row>
    <row r="2347" spans="23:53" ht="16.2" customHeight="1" x14ac:dyDescent="0.4">
      <c r="W2347" s="49">
        <v>48629</v>
      </c>
      <c r="X2347" s="49">
        <v>48629</v>
      </c>
      <c r="Y2347" s="49">
        <v>48629</v>
      </c>
      <c r="AY2347" s="49">
        <v>48629</v>
      </c>
      <c r="AZ2347" s="49">
        <v>48629</v>
      </c>
      <c r="BA2347" s="49">
        <v>48629</v>
      </c>
    </row>
    <row r="2348" spans="23:53" ht="16.2" customHeight="1" x14ac:dyDescent="0.4">
      <c r="W2348" s="49">
        <v>48630</v>
      </c>
      <c r="X2348" s="49">
        <v>48630</v>
      </c>
      <c r="Y2348" s="49">
        <v>48630</v>
      </c>
      <c r="AY2348" s="49">
        <v>48630</v>
      </c>
      <c r="AZ2348" s="49">
        <v>48630</v>
      </c>
      <c r="BA2348" s="49">
        <v>48630</v>
      </c>
    </row>
    <row r="2349" spans="23:53" ht="16.2" customHeight="1" x14ac:dyDescent="0.4">
      <c r="W2349" s="49">
        <v>48636</v>
      </c>
      <c r="X2349" s="49">
        <v>48636</v>
      </c>
      <c r="Y2349" s="49">
        <v>48636</v>
      </c>
      <c r="AY2349" s="49">
        <v>48636</v>
      </c>
      <c r="AZ2349" s="49">
        <v>48636</v>
      </c>
      <c r="BA2349" s="49">
        <v>48636</v>
      </c>
    </row>
    <row r="2350" spans="23:53" ht="16.2" customHeight="1" x14ac:dyDescent="0.4">
      <c r="W2350" s="49">
        <v>48637</v>
      </c>
      <c r="X2350" s="49">
        <v>48637</v>
      </c>
      <c r="Y2350" s="49">
        <v>48637</v>
      </c>
      <c r="AY2350" s="49">
        <v>48637</v>
      </c>
      <c r="AZ2350" s="49">
        <v>48637</v>
      </c>
      <c r="BA2350" s="49">
        <v>48637</v>
      </c>
    </row>
    <row r="2351" spans="23:53" ht="16.2" customHeight="1" x14ac:dyDescent="0.4">
      <c r="W2351" s="49">
        <v>48639</v>
      </c>
      <c r="X2351" s="49">
        <v>48639</v>
      </c>
      <c r="Y2351" s="49">
        <v>48639</v>
      </c>
      <c r="AY2351" s="49">
        <v>48639</v>
      </c>
      <c r="AZ2351" s="49">
        <v>48639</v>
      </c>
      <c r="BA2351" s="49">
        <v>48639</v>
      </c>
    </row>
    <row r="2352" spans="23:53" ht="16.2" customHeight="1" x14ac:dyDescent="0.4">
      <c r="W2352" s="49">
        <v>48643</v>
      </c>
      <c r="X2352" s="49">
        <v>48643</v>
      </c>
      <c r="Y2352" s="49">
        <v>48643</v>
      </c>
      <c r="AY2352" s="49">
        <v>48643</v>
      </c>
      <c r="AZ2352" s="49">
        <v>48643</v>
      </c>
      <c r="BA2352" s="49">
        <v>48643</v>
      </c>
    </row>
    <row r="2353" spans="23:53" ht="16.2" customHeight="1" x14ac:dyDescent="0.4">
      <c r="W2353" s="49">
        <v>48644</v>
      </c>
      <c r="X2353" s="49">
        <v>48644</v>
      </c>
      <c r="Y2353" s="49">
        <v>48644</v>
      </c>
      <c r="AY2353" s="49">
        <v>48644</v>
      </c>
      <c r="AZ2353" s="49">
        <v>48644</v>
      </c>
      <c r="BA2353" s="49">
        <v>48644</v>
      </c>
    </row>
    <row r="2354" spans="23:53" ht="16.2" customHeight="1" x14ac:dyDescent="0.4">
      <c r="W2354" s="49">
        <v>48650</v>
      </c>
      <c r="X2354" s="49">
        <v>48650</v>
      </c>
      <c r="Y2354" s="49">
        <v>48650</v>
      </c>
      <c r="AY2354" s="49">
        <v>48650</v>
      </c>
      <c r="AZ2354" s="49">
        <v>48650</v>
      </c>
      <c r="BA2354" s="49">
        <v>48650</v>
      </c>
    </row>
    <row r="2355" spans="23:53" ht="16.2" customHeight="1" x14ac:dyDescent="0.4">
      <c r="W2355" s="49">
        <v>48651</v>
      </c>
      <c r="X2355" s="49">
        <v>48651</v>
      </c>
      <c r="Y2355" s="49">
        <v>48651</v>
      </c>
      <c r="AY2355" s="49">
        <v>48651</v>
      </c>
      <c r="AZ2355" s="49">
        <v>48651</v>
      </c>
      <c r="BA2355" s="49">
        <v>48651</v>
      </c>
    </row>
    <row r="2356" spans="23:53" ht="16.2" customHeight="1" x14ac:dyDescent="0.4">
      <c r="W2356" s="49">
        <v>48657</v>
      </c>
      <c r="X2356" s="49">
        <v>48657</v>
      </c>
      <c r="Y2356" s="49">
        <v>48657</v>
      </c>
      <c r="AY2356" s="49">
        <v>48657</v>
      </c>
      <c r="AZ2356" s="49">
        <v>48657</v>
      </c>
      <c r="BA2356" s="49">
        <v>48657</v>
      </c>
    </row>
    <row r="2357" spans="23:53" ht="16.2" customHeight="1" x14ac:dyDescent="0.4">
      <c r="W2357" s="49">
        <v>48658</v>
      </c>
      <c r="X2357" s="49">
        <v>48658</v>
      </c>
      <c r="Y2357" s="49">
        <v>48658</v>
      </c>
      <c r="AY2357" s="49">
        <v>48658</v>
      </c>
      <c r="AZ2357" s="49">
        <v>48658</v>
      </c>
      <c r="BA2357" s="49">
        <v>48658</v>
      </c>
    </row>
    <row r="2358" spans="23:53" ht="16.2" customHeight="1" x14ac:dyDescent="0.4">
      <c r="W2358" s="49">
        <v>48664</v>
      </c>
      <c r="X2358" s="49">
        <v>48664</v>
      </c>
      <c r="Y2358" s="49">
        <v>48664</v>
      </c>
      <c r="AY2358" s="49">
        <v>48664</v>
      </c>
      <c r="AZ2358" s="49">
        <v>48664</v>
      </c>
      <c r="BA2358" s="49">
        <v>48664</v>
      </c>
    </row>
    <row r="2359" spans="23:53" ht="16.2" customHeight="1" x14ac:dyDescent="0.4">
      <c r="W2359" s="49">
        <v>48665</v>
      </c>
      <c r="X2359" s="49">
        <v>48665</v>
      </c>
      <c r="Y2359" s="49">
        <v>48665</v>
      </c>
      <c r="AY2359" s="49">
        <v>48665</v>
      </c>
      <c r="AZ2359" s="49">
        <v>48665</v>
      </c>
      <c r="BA2359" s="49">
        <v>48665</v>
      </c>
    </row>
    <row r="2360" spans="23:53" ht="16.2" customHeight="1" x14ac:dyDescent="0.4">
      <c r="W2360" s="49">
        <v>48671</v>
      </c>
      <c r="X2360" s="49">
        <v>48671</v>
      </c>
      <c r="Y2360" s="49">
        <v>48671</v>
      </c>
      <c r="AY2360" s="49">
        <v>48671</v>
      </c>
      <c r="AZ2360" s="49">
        <v>48671</v>
      </c>
      <c r="BA2360" s="49">
        <v>48671</v>
      </c>
    </row>
    <row r="2361" spans="23:53" ht="16.2" customHeight="1" x14ac:dyDescent="0.4">
      <c r="W2361" s="49">
        <v>48672</v>
      </c>
      <c r="X2361" s="49">
        <v>48672</v>
      </c>
      <c r="Y2361" s="49">
        <v>48672</v>
      </c>
      <c r="AY2361" s="49">
        <v>48672</v>
      </c>
      <c r="AZ2361" s="49">
        <v>48672</v>
      </c>
      <c r="BA2361" s="49">
        <v>48672</v>
      </c>
    </row>
    <row r="2362" spans="23:53" ht="16.2" customHeight="1" x14ac:dyDescent="0.4">
      <c r="W2362" s="49">
        <v>48678</v>
      </c>
      <c r="X2362" s="49">
        <v>48678</v>
      </c>
      <c r="Y2362" s="49">
        <v>48678</v>
      </c>
      <c r="AY2362" s="49">
        <v>48678</v>
      </c>
      <c r="AZ2362" s="49">
        <v>48678</v>
      </c>
      <c r="BA2362" s="49">
        <v>48678</v>
      </c>
    </row>
    <row r="2363" spans="23:53" ht="16.2" customHeight="1" x14ac:dyDescent="0.4">
      <c r="W2363" s="49">
        <v>48679</v>
      </c>
      <c r="X2363" s="49">
        <v>48679</v>
      </c>
      <c r="Y2363" s="49">
        <v>48679</v>
      </c>
      <c r="AY2363" s="49">
        <v>48679</v>
      </c>
      <c r="AZ2363" s="49">
        <v>48679</v>
      </c>
      <c r="BA2363" s="49">
        <v>48679</v>
      </c>
    </row>
    <row r="2364" spans="23:53" ht="16.2" customHeight="1" x14ac:dyDescent="0.4">
      <c r="W2364" s="49">
        <v>48685</v>
      </c>
      <c r="X2364" s="49">
        <v>48685</v>
      </c>
      <c r="Y2364" s="49">
        <v>48685</v>
      </c>
      <c r="AY2364" s="49">
        <v>48685</v>
      </c>
      <c r="AZ2364" s="49">
        <v>48685</v>
      </c>
      <c r="BA2364" s="49">
        <v>48685</v>
      </c>
    </row>
    <row r="2365" spans="23:53" ht="16.2" customHeight="1" x14ac:dyDescent="0.4">
      <c r="W2365" s="49">
        <v>48686</v>
      </c>
      <c r="X2365" s="49">
        <v>48686</v>
      </c>
      <c r="Y2365" s="49">
        <v>48686</v>
      </c>
      <c r="AY2365" s="49">
        <v>48686</v>
      </c>
      <c r="AZ2365" s="49">
        <v>48686</v>
      </c>
      <c r="BA2365" s="49">
        <v>48686</v>
      </c>
    </row>
    <row r="2366" spans="23:53" ht="16.2" customHeight="1" x14ac:dyDescent="0.4">
      <c r="W2366" s="49">
        <v>48692</v>
      </c>
      <c r="X2366" s="49">
        <v>48692</v>
      </c>
      <c r="Y2366" s="49">
        <v>48692</v>
      </c>
      <c r="AY2366" s="49">
        <v>48692</v>
      </c>
      <c r="AZ2366" s="49">
        <v>48692</v>
      </c>
      <c r="BA2366" s="49">
        <v>48692</v>
      </c>
    </row>
    <row r="2367" spans="23:53" ht="16.2" customHeight="1" x14ac:dyDescent="0.4">
      <c r="W2367" s="49">
        <v>48693</v>
      </c>
      <c r="X2367" s="49">
        <v>48693</v>
      </c>
      <c r="Y2367" s="49">
        <v>48693</v>
      </c>
      <c r="AY2367" s="49">
        <v>48693</v>
      </c>
      <c r="AZ2367" s="49">
        <v>48693</v>
      </c>
      <c r="BA2367" s="49">
        <v>48693</v>
      </c>
    </row>
    <row r="2368" spans="23:53" ht="16.2" customHeight="1" x14ac:dyDescent="0.4">
      <c r="W2368" s="49">
        <v>48699</v>
      </c>
      <c r="X2368" s="49">
        <v>48699</v>
      </c>
      <c r="Y2368" s="49">
        <v>48699</v>
      </c>
      <c r="AY2368" s="49">
        <v>48699</v>
      </c>
      <c r="AZ2368" s="49">
        <v>48699</v>
      </c>
      <c r="BA2368" s="49">
        <v>48699</v>
      </c>
    </row>
    <row r="2369" spans="23:53" ht="16.2" customHeight="1" x14ac:dyDescent="0.4">
      <c r="W2369" s="49">
        <v>48700</v>
      </c>
      <c r="X2369" s="49">
        <v>48700</v>
      </c>
      <c r="Y2369" s="49">
        <v>48700</v>
      </c>
      <c r="AY2369" s="49">
        <v>48700</v>
      </c>
      <c r="AZ2369" s="49">
        <v>48700</v>
      </c>
      <c r="BA2369" s="49">
        <v>48700</v>
      </c>
    </row>
    <row r="2370" spans="23:53" ht="16.2" customHeight="1" x14ac:dyDescent="0.4">
      <c r="W2370" s="49">
        <v>48704</v>
      </c>
      <c r="X2370" s="49">
        <v>48704</v>
      </c>
      <c r="Y2370" s="49">
        <v>48704</v>
      </c>
      <c r="AY2370" s="49">
        <v>48704</v>
      </c>
      <c r="AZ2370" s="49">
        <v>48704</v>
      </c>
      <c r="BA2370" s="49">
        <v>48704</v>
      </c>
    </row>
    <row r="2371" spans="23:53" ht="16.2" customHeight="1" x14ac:dyDescent="0.4">
      <c r="W2371" s="49">
        <v>48705</v>
      </c>
      <c r="X2371" s="49">
        <v>48705</v>
      </c>
      <c r="Y2371" s="49">
        <v>48705</v>
      </c>
      <c r="AY2371" s="49">
        <v>48705</v>
      </c>
      <c r="AZ2371" s="49">
        <v>48705</v>
      </c>
      <c r="BA2371" s="49">
        <v>48705</v>
      </c>
    </row>
    <row r="2372" spans="23:53" ht="16.2" customHeight="1" x14ac:dyDescent="0.4">
      <c r="W2372" s="49">
        <v>48706</v>
      </c>
      <c r="X2372" s="49">
        <v>48706</v>
      </c>
      <c r="Y2372" s="49">
        <v>48706</v>
      </c>
      <c r="AY2372" s="49">
        <v>48706</v>
      </c>
      <c r="AZ2372" s="49">
        <v>48706</v>
      </c>
      <c r="BA2372" s="49">
        <v>48706</v>
      </c>
    </row>
    <row r="2373" spans="23:53" ht="16.2" customHeight="1" x14ac:dyDescent="0.4">
      <c r="W2373" s="49">
        <v>48707</v>
      </c>
      <c r="X2373" s="49">
        <v>48707</v>
      </c>
      <c r="Y2373" s="49">
        <v>48707</v>
      </c>
      <c r="AY2373" s="49">
        <v>48707</v>
      </c>
      <c r="AZ2373" s="49">
        <v>48707</v>
      </c>
      <c r="BA2373" s="49">
        <v>48707</v>
      </c>
    </row>
    <row r="2374" spans="23:53" ht="16.2" customHeight="1" x14ac:dyDescent="0.4">
      <c r="W2374" s="49">
        <v>48713</v>
      </c>
      <c r="X2374" s="49">
        <v>48713</v>
      </c>
      <c r="Y2374" s="49">
        <v>48713</v>
      </c>
      <c r="AY2374" s="49">
        <v>48713</v>
      </c>
      <c r="AZ2374" s="49">
        <v>48713</v>
      </c>
      <c r="BA2374" s="49">
        <v>48713</v>
      </c>
    </row>
    <row r="2375" spans="23:53" ht="16.2" customHeight="1" x14ac:dyDescent="0.4">
      <c r="W2375" s="49">
        <v>48714</v>
      </c>
      <c r="X2375" s="49">
        <v>48714</v>
      </c>
      <c r="Y2375" s="49">
        <v>48714</v>
      </c>
      <c r="AY2375" s="49">
        <v>48714</v>
      </c>
      <c r="AZ2375" s="49">
        <v>48714</v>
      </c>
      <c r="BA2375" s="49">
        <v>48714</v>
      </c>
    </row>
    <row r="2376" spans="23:53" ht="16.2" customHeight="1" x14ac:dyDescent="0.4">
      <c r="W2376" s="49">
        <v>48720</v>
      </c>
      <c r="X2376" s="49">
        <v>48720</v>
      </c>
      <c r="Y2376" s="49">
        <v>48720</v>
      </c>
      <c r="AY2376" s="49">
        <v>48720</v>
      </c>
      <c r="AZ2376" s="49">
        <v>48720</v>
      </c>
      <c r="BA2376" s="49">
        <v>48720</v>
      </c>
    </row>
    <row r="2377" spans="23:53" ht="16.2" customHeight="1" x14ac:dyDescent="0.4">
      <c r="W2377" s="49">
        <v>48721</v>
      </c>
      <c r="X2377" s="49">
        <v>48721</v>
      </c>
      <c r="Y2377" s="49">
        <v>48721</v>
      </c>
      <c r="AY2377" s="49">
        <v>48721</v>
      </c>
      <c r="AZ2377" s="49">
        <v>48721</v>
      </c>
      <c r="BA2377" s="49">
        <v>48721</v>
      </c>
    </row>
    <row r="2378" spans="23:53" ht="16.2" customHeight="1" x14ac:dyDescent="0.4">
      <c r="W2378" s="49">
        <v>48727</v>
      </c>
      <c r="X2378" s="49">
        <v>48727</v>
      </c>
      <c r="Y2378" s="49">
        <v>48727</v>
      </c>
      <c r="AY2378" s="49">
        <v>48727</v>
      </c>
      <c r="AZ2378" s="49">
        <v>48727</v>
      </c>
      <c r="BA2378" s="49">
        <v>48727</v>
      </c>
    </row>
    <row r="2379" spans="23:53" ht="16.2" customHeight="1" x14ac:dyDescent="0.4">
      <c r="W2379" s="49">
        <v>48728</v>
      </c>
      <c r="X2379" s="49">
        <v>48728</v>
      </c>
      <c r="Y2379" s="49">
        <v>48728</v>
      </c>
      <c r="AY2379" s="49">
        <v>48728</v>
      </c>
      <c r="AZ2379" s="49">
        <v>48728</v>
      </c>
      <c r="BA2379" s="49">
        <v>48728</v>
      </c>
    </row>
    <row r="2380" spans="23:53" ht="16.2" customHeight="1" x14ac:dyDescent="0.4">
      <c r="W2380" s="49">
        <v>48734</v>
      </c>
      <c r="X2380" s="49">
        <v>48734</v>
      </c>
      <c r="Y2380" s="49">
        <v>48734</v>
      </c>
      <c r="AY2380" s="49">
        <v>48734</v>
      </c>
      <c r="AZ2380" s="49">
        <v>48734</v>
      </c>
      <c r="BA2380" s="49">
        <v>48734</v>
      </c>
    </row>
    <row r="2381" spans="23:53" ht="16.2" customHeight="1" x14ac:dyDescent="0.4">
      <c r="W2381" s="49">
        <v>48735</v>
      </c>
      <c r="X2381" s="49">
        <v>48735</v>
      </c>
      <c r="Y2381" s="49">
        <v>48735</v>
      </c>
      <c r="AY2381" s="49">
        <v>48735</v>
      </c>
      <c r="AZ2381" s="49">
        <v>48735</v>
      </c>
      <c r="BA2381" s="49">
        <v>48735</v>
      </c>
    </row>
    <row r="2382" spans="23:53" ht="16.2" customHeight="1" x14ac:dyDescent="0.4">
      <c r="W2382" s="49">
        <v>48736</v>
      </c>
      <c r="X2382" s="49">
        <v>48736</v>
      </c>
      <c r="Y2382" s="49">
        <v>48736</v>
      </c>
      <c r="AY2382" s="49">
        <v>48736</v>
      </c>
      <c r="AZ2382" s="49">
        <v>48736</v>
      </c>
      <c r="BA2382" s="49">
        <v>48736</v>
      </c>
    </row>
    <row r="2383" spans="23:53" ht="16.2" customHeight="1" x14ac:dyDescent="0.4">
      <c r="W2383" s="49">
        <v>48741</v>
      </c>
      <c r="X2383" s="49">
        <v>48741</v>
      </c>
      <c r="Y2383" s="49">
        <v>48741</v>
      </c>
      <c r="AY2383" s="49">
        <v>48741</v>
      </c>
      <c r="AZ2383" s="49">
        <v>48741</v>
      </c>
      <c r="BA2383" s="49">
        <v>48741</v>
      </c>
    </row>
    <row r="2384" spans="23:53" ht="16.2" customHeight="1" x14ac:dyDescent="0.4">
      <c r="W2384" s="49">
        <v>48742</v>
      </c>
      <c r="X2384" s="49">
        <v>48742</v>
      </c>
      <c r="Y2384" s="49">
        <v>48742</v>
      </c>
      <c r="AY2384" s="49">
        <v>48742</v>
      </c>
      <c r="AZ2384" s="49">
        <v>48742</v>
      </c>
      <c r="BA2384" s="49">
        <v>48742</v>
      </c>
    </row>
    <row r="2385" spans="23:53" ht="16.2" customHeight="1" x14ac:dyDescent="0.4">
      <c r="W2385" s="49">
        <v>48748</v>
      </c>
      <c r="X2385" s="49">
        <v>48748</v>
      </c>
      <c r="Y2385" s="49">
        <v>48748</v>
      </c>
      <c r="AY2385" s="49">
        <v>48748</v>
      </c>
      <c r="AZ2385" s="49">
        <v>48748</v>
      </c>
      <c r="BA2385" s="49">
        <v>48748</v>
      </c>
    </row>
    <row r="2386" spans="23:53" ht="16.2" customHeight="1" x14ac:dyDescent="0.4">
      <c r="W2386" s="49">
        <v>48749</v>
      </c>
      <c r="X2386" s="49">
        <v>48749</v>
      </c>
      <c r="Y2386" s="49">
        <v>48749</v>
      </c>
      <c r="AY2386" s="49">
        <v>48749</v>
      </c>
      <c r="AZ2386" s="49">
        <v>48749</v>
      </c>
      <c r="BA2386" s="49">
        <v>48749</v>
      </c>
    </row>
    <row r="2387" spans="23:53" ht="16.2" customHeight="1" x14ac:dyDescent="0.4">
      <c r="W2387" s="49">
        <v>48755</v>
      </c>
      <c r="X2387" s="49">
        <v>48755</v>
      </c>
      <c r="Y2387" s="49">
        <v>48755</v>
      </c>
      <c r="AY2387" s="49">
        <v>48755</v>
      </c>
      <c r="AZ2387" s="49">
        <v>48755</v>
      </c>
      <c r="BA2387" s="49">
        <v>48755</v>
      </c>
    </row>
    <row r="2388" spans="23:53" ht="16.2" customHeight="1" x14ac:dyDescent="0.4">
      <c r="W2388" s="49">
        <v>48756</v>
      </c>
      <c r="X2388" s="49">
        <v>48756</v>
      </c>
      <c r="Y2388" s="49">
        <v>48756</v>
      </c>
      <c r="AY2388" s="49">
        <v>48756</v>
      </c>
      <c r="AZ2388" s="49">
        <v>48756</v>
      </c>
      <c r="BA2388" s="49">
        <v>48756</v>
      </c>
    </row>
    <row r="2389" spans="23:53" ht="16.2" customHeight="1" x14ac:dyDescent="0.4">
      <c r="W2389" s="49">
        <v>48762</v>
      </c>
      <c r="X2389" s="49">
        <v>48762</v>
      </c>
      <c r="Y2389" s="49">
        <v>48762</v>
      </c>
      <c r="AY2389" s="49">
        <v>48762</v>
      </c>
      <c r="AZ2389" s="49">
        <v>48762</v>
      </c>
      <c r="BA2389" s="49">
        <v>48762</v>
      </c>
    </row>
    <row r="2390" spans="23:53" ht="16.2" customHeight="1" x14ac:dyDescent="0.4">
      <c r="W2390" s="49">
        <v>48763</v>
      </c>
      <c r="X2390" s="49">
        <v>48763</v>
      </c>
      <c r="Y2390" s="49">
        <v>48763</v>
      </c>
      <c r="AY2390" s="49">
        <v>48763</v>
      </c>
      <c r="AZ2390" s="49">
        <v>48763</v>
      </c>
      <c r="BA2390" s="49">
        <v>48763</v>
      </c>
    </row>
    <row r="2391" spans="23:53" ht="16.2" customHeight="1" x14ac:dyDescent="0.4">
      <c r="W2391" s="49">
        <v>48769</v>
      </c>
      <c r="X2391" s="49">
        <v>48769</v>
      </c>
      <c r="Y2391" s="49">
        <v>48769</v>
      </c>
      <c r="AY2391" s="49">
        <v>48769</v>
      </c>
      <c r="AZ2391" s="49">
        <v>48769</v>
      </c>
      <c r="BA2391" s="49">
        <v>48769</v>
      </c>
    </row>
    <row r="2392" spans="23:53" ht="16.2" customHeight="1" x14ac:dyDescent="0.4">
      <c r="W2392" s="49">
        <v>48770</v>
      </c>
      <c r="X2392" s="49">
        <v>48770</v>
      </c>
      <c r="Y2392" s="49">
        <v>48770</v>
      </c>
      <c r="AY2392" s="49">
        <v>48770</v>
      </c>
      <c r="AZ2392" s="49">
        <v>48770</v>
      </c>
      <c r="BA2392" s="49">
        <v>48770</v>
      </c>
    </row>
    <row r="2393" spans="23:53" ht="16.2" customHeight="1" x14ac:dyDescent="0.4">
      <c r="W2393" s="49">
        <v>48776</v>
      </c>
      <c r="X2393" s="49">
        <v>48776</v>
      </c>
      <c r="Y2393" s="49">
        <v>48776</v>
      </c>
      <c r="AY2393" s="49">
        <v>48776</v>
      </c>
      <c r="AZ2393" s="49">
        <v>48776</v>
      </c>
      <c r="BA2393" s="49">
        <v>48776</v>
      </c>
    </row>
    <row r="2394" spans="23:53" ht="16.2" customHeight="1" x14ac:dyDescent="0.4">
      <c r="W2394" s="49">
        <v>48777</v>
      </c>
      <c r="X2394" s="49">
        <v>48777</v>
      </c>
      <c r="Y2394" s="49">
        <v>48777</v>
      </c>
      <c r="AY2394" s="49">
        <v>48777</v>
      </c>
      <c r="AZ2394" s="49">
        <v>48777</v>
      </c>
      <c r="BA2394" s="49">
        <v>48777</v>
      </c>
    </row>
    <row r="2395" spans="23:53" ht="16.2" customHeight="1" x14ac:dyDescent="0.4">
      <c r="W2395" s="49">
        <v>48783</v>
      </c>
      <c r="X2395" s="49">
        <v>48783</v>
      </c>
      <c r="Y2395" s="49">
        <v>48783</v>
      </c>
      <c r="AY2395" s="49">
        <v>48783</v>
      </c>
      <c r="AZ2395" s="49">
        <v>48783</v>
      </c>
      <c r="BA2395" s="49">
        <v>48783</v>
      </c>
    </row>
    <row r="2396" spans="23:53" ht="16.2" customHeight="1" x14ac:dyDescent="0.4">
      <c r="W2396" s="49">
        <v>48784</v>
      </c>
      <c r="X2396" s="49">
        <v>48784</v>
      </c>
      <c r="Y2396" s="49">
        <v>48784</v>
      </c>
      <c r="AY2396" s="49">
        <v>48784</v>
      </c>
      <c r="AZ2396" s="49">
        <v>48784</v>
      </c>
      <c r="BA2396" s="49">
        <v>48784</v>
      </c>
    </row>
    <row r="2397" spans="23:53" ht="16.2" customHeight="1" x14ac:dyDescent="0.4">
      <c r="W2397" s="49">
        <v>48790</v>
      </c>
      <c r="X2397" s="49">
        <v>48790</v>
      </c>
      <c r="Y2397" s="49">
        <v>48790</v>
      </c>
      <c r="AY2397" s="49">
        <v>48790</v>
      </c>
      <c r="AZ2397" s="49">
        <v>48790</v>
      </c>
      <c r="BA2397" s="49">
        <v>48790</v>
      </c>
    </row>
    <row r="2398" spans="23:53" ht="16.2" customHeight="1" x14ac:dyDescent="0.4">
      <c r="W2398" s="49">
        <v>48791</v>
      </c>
      <c r="X2398" s="49">
        <v>48791</v>
      </c>
      <c r="Y2398" s="49">
        <v>48791</v>
      </c>
      <c r="AY2398" s="49">
        <v>48791</v>
      </c>
      <c r="AZ2398" s="49">
        <v>48791</v>
      </c>
      <c r="BA2398" s="49">
        <v>48791</v>
      </c>
    </row>
    <row r="2399" spans="23:53" ht="16.2" customHeight="1" x14ac:dyDescent="0.4">
      <c r="W2399" s="49">
        <v>48797</v>
      </c>
      <c r="X2399" s="49">
        <v>48797</v>
      </c>
      <c r="Y2399" s="49">
        <v>48797</v>
      </c>
      <c r="AY2399" s="49">
        <v>48797</v>
      </c>
      <c r="AZ2399" s="49">
        <v>48797</v>
      </c>
      <c r="BA2399" s="49">
        <v>48797</v>
      </c>
    </row>
    <row r="2400" spans="23:53" ht="16.2" customHeight="1" x14ac:dyDescent="0.4">
      <c r="W2400" s="49">
        <v>48798</v>
      </c>
      <c r="X2400" s="49">
        <v>48798</v>
      </c>
      <c r="Y2400" s="49">
        <v>48798</v>
      </c>
      <c r="AY2400" s="49">
        <v>48798</v>
      </c>
      <c r="AZ2400" s="49">
        <v>48798</v>
      </c>
      <c r="BA2400" s="49">
        <v>48798</v>
      </c>
    </row>
    <row r="2401" spans="23:53" ht="16.2" customHeight="1" x14ac:dyDescent="0.4">
      <c r="W2401" s="49">
        <v>48804</v>
      </c>
      <c r="X2401" s="49">
        <v>48804</v>
      </c>
      <c r="Y2401" s="49">
        <v>48804</v>
      </c>
      <c r="AY2401" s="49">
        <v>48804</v>
      </c>
      <c r="AZ2401" s="49">
        <v>48804</v>
      </c>
      <c r="BA2401" s="49">
        <v>48804</v>
      </c>
    </row>
    <row r="2402" spans="23:53" ht="16.2" customHeight="1" x14ac:dyDescent="0.4">
      <c r="W2402" s="49">
        <v>48805</v>
      </c>
      <c r="X2402" s="49">
        <v>48805</v>
      </c>
      <c r="Y2402" s="49">
        <v>48805</v>
      </c>
      <c r="AY2402" s="49">
        <v>48805</v>
      </c>
      <c r="AZ2402" s="49">
        <v>48805</v>
      </c>
      <c r="BA2402" s="49">
        <v>48805</v>
      </c>
    </row>
    <row r="2403" spans="23:53" ht="16.2" customHeight="1" x14ac:dyDescent="0.4">
      <c r="W2403" s="49">
        <v>48806</v>
      </c>
      <c r="X2403" s="49">
        <v>48806</v>
      </c>
      <c r="Y2403" s="49">
        <v>48806</v>
      </c>
      <c r="AY2403" s="49">
        <v>48806</v>
      </c>
      <c r="AZ2403" s="49">
        <v>48806</v>
      </c>
      <c r="BA2403" s="49">
        <v>48806</v>
      </c>
    </row>
    <row r="2404" spans="23:53" ht="16.2" customHeight="1" x14ac:dyDescent="0.4">
      <c r="W2404" s="49">
        <v>48811</v>
      </c>
      <c r="X2404" s="49">
        <v>48811</v>
      </c>
      <c r="Y2404" s="49">
        <v>48811</v>
      </c>
      <c r="AY2404" s="49">
        <v>48811</v>
      </c>
      <c r="AZ2404" s="49">
        <v>48811</v>
      </c>
      <c r="BA2404" s="49">
        <v>48811</v>
      </c>
    </row>
    <row r="2405" spans="23:53" ht="16.2" customHeight="1" x14ac:dyDescent="0.4">
      <c r="W2405" s="49">
        <v>48812</v>
      </c>
      <c r="X2405" s="49">
        <v>48812</v>
      </c>
      <c r="Y2405" s="49">
        <v>48812</v>
      </c>
      <c r="AY2405" s="49">
        <v>48812</v>
      </c>
      <c r="AZ2405" s="49">
        <v>48812</v>
      </c>
      <c r="BA2405" s="49">
        <v>48812</v>
      </c>
    </row>
    <row r="2406" spans="23:53" ht="16.2" customHeight="1" x14ac:dyDescent="0.4">
      <c r="W2406" s="49">
        <v>48818</v>
      </c>
      <c r="X2406" s="49">
        <v>48818</v>
      </c>
      <c r="Y2406" s="49">
        <v>48818</v>
      </c>
      <c r="AY2406" s="49">
        <v>48818</v>
      </c>
      <c r="AZ2406" s="49">
        <v>48818</v>
      </c>
      <c r="BA2406" s="49">
        <v>48818</v>
      </c>
    </row>
    <row r="2407" spans="23:53" ht="16.2" customHeight="1" x14ac:dyDescent="0.4">
      <c r="W2407" s="49">
        <v>48819</v>
      </c>
      <c r="X2407" s="49">
        <v>48819</v>
      </c>
      <c r="Y2407" s="49">
        <v>48819</v>
      </c>
      <c r="AY2407" s="49">
        <v>48819</v>
      </c>
      <c r="AZ2407" s="49">
        <v>48819</v>
      </c>
      <c r="BA2407" s="49">
        <v>48819</v>
      </c>
    </row>
    <row r="2408" spans="23:53" ht="16.2" customHeight="1" x14ac:dyDescent="0.4">
      <c r="W2408" s="49">
        <v>48825</v>
      </c>
      <c r="X2408" s="49">
        <v>48825</v>
      </c>
      <c r="Y2408" s="49">
        <v>48825</v>
      </c>
      <c r="AY2408" s="49">
        <v>48825</v>
      </c>
      <c r="AZ2408" s="49">
        <v>48825</v>
      </c>
      <c r="BA2408" s="49">
        <v>48825</v>
      </c>
    </row>
    <row r="2409" spans="23:53" ht="16.2" customHeight="1" x14ac:dyDescent="0.4">
      <c r="W2409" s="49">
        <v>48826</v>
      </c>
      <c r="X2409" s="49">
        <v>48826</v>
      </c>
      <c r="Y2409" s="49">
        <v>48826</v>
      </c>
      <c r="AY2409" s="49">
        <v>48826</v>
      </c>
      <c r="AZ2409" s="49">
        <v>48826</v>
      </c>
      <c r="BA2409" s="49">
        <v>48826</v>
      </c>
    </row>
    <row r="2410" spans="23:53" ht="16.2" customHeight="1" x14ac:dyDescent="0.4">
      <c r="W2410" s="49">
        <v>48832</v>
      </c>
      <c r="X2410" s="49">
        <v>48832</v>
      </c>
      <c r="Y2410" s="49">
        <v>48832</v>
      </c>
      <c r="AY2410" s="49">
        <v>48832</v>
      </c>
      <c r="AZ2410" s="49">
        <v>48832</v>
      </c>
      <c r="BA2410" s="49">
        <v>48832</v>
      </c>
    </row>
    <row r="2411" spans="23:53" ht="16.2" customHeight="1" x14ac:dyDescent="0.4">
      <c r="W2411" s="49">
        <v>48833</v>
      </c>
      <c r="X2411" s="49">
        <v>48833</v>
      </c>
      <c r="Y2411" s="49">
        <v>48833</v>
      </c>
      <c r="AY2411" s="49">
        <v>48833</v>
      </c>
      <c r="AZ2411" s="49">
        <v>48833</v>
      </c>
      <c r="BA2411" s="49">
        <v>48833</v>
      </c>
    </row>
    <row r="2412" spans="23:53" ht="16.2" customHeight="1" x14ac:dyDescent="0.4">
      <c r="W2412" s="49">
        <v>48839</v>
      </c>
      <c r="X2412" s="49">
        <v>48839</v>
      </c>
      <c r="Y2412" s="49">
        <v>48839</v>
      </c>
      <c r="AY2412" s="49">
        <v>48839</v>
      </c>
      <c r="AZ2412" s="49">
        <v>48839</v>
      </c>
      <c r="BA2412" s="49">
        <v>48839</v>
      </c>
    </row>
    <row r="2413" spans="23:53" ht="16.2" customHeight="1" x14ac:dyDescent="0.4">
      <c r="W2413" s="49">
        <v>48840</v>
      </c>
      <c r="X2413" s="49">
        <v>48840</v>
      </c>
      <c r="Y2413" s="49">
        <v>48840</v>
      </c>
      <c r="AY2413" s="49">
        <v>48840</v>
      </c>
      <c r="AZ2413" s="49">
        <v>48840</v>
      </c>
      <c r="BA2413" s="49">
        <v>48840</v>
      </c>
    </row>
    <row r="2414" spans="23:53" ht="16.2" customHeight="1" x14ac:dyDescent="0.4">
      <c r="W2414" s="49">
        <v>48846</v>
      </c>
      <c r="X2414" s="49">
        <v>48846</v>
      </c>
      <c r="Y2414" s="49">
        <v>48846</v>
      </c>
      <c r="AY2414" s="49">
        <v>48846</v>
      </c>
      <c r="AZ2414" s="49">
        <v>48846</v>
      </c>
      <c r="BA2414" s="49">
        <v>48846</v>
      </c>
    </row>
    <row r="2415" spans="23:53" ht="16.2" customHeight="1" x14ac:dyDescent="0.4">
      <c r="W2415" s="49">
        <v>48847</v>
      </c>
      <c r="X2415" s="49">
        <v>48847</v>
      </c>
      <c r="Y2415" s="49">
        <v>48847</v>
      </c>
      <c r="AY2415" s="49">
        <v>48847</v>
      </c>
      <c r="AZ2415" s="49">
        <v>48847</v>
      </c>
      <c r="BA2415" s="49">
        <v>48847</v>
      </c>
    </row>
    <row r="2416" spans="23:53" ht="16.2" customHeight="1" x14ac:dyDescent="0.4">
      <c r="W2416" s="49">
        <v>48853</v>
      </c>
      <c r="X2416" s="49">
        <v>48853</v>
      </c>
      <c r="Y2416" s="49">
        <v>48853</v>
      </c>
      <c r="AY2416" s="49">
        <v>48853</v>
      </c>
      <c r="AZ2416" s="49">
        <v>48853</v>
      </c>
      <c r="BA2416" s="49">
        <v>48853</v>
      </c>
    </row>
    <row r="2417" spans="23:53" ht="16.2" customHeight="1" x14ac:dyDescent="0.4">
      <c r="W2417" s="49">
        <v>48854</v>
      </c>
      <c r="X2417" s="49">
        <v>48854</v>
      </c>
      <c r="Y2417" s="49">
        <v>48854</v>
      </c>
      <c r="AY2417" s="49">
        <v>48854</v>
      </c>
      <c r="AZ2417" s="49">
        <v>48854</v>
      </c>
      <c r="BA2417" s="49">
        <v>48854</v>
      </c>
    </row>
    <row r="2418" spans="23:53" ht="16.2" customHeight="1" x14ac:dyDescent="0.4">
      <c r="W2418" s="49">
        <v>48855</v>
      </c>
      <c r="X2418" s="49">
        <v>48855</v>
      </c>
      <c r="Y2418" s="49">
        <v>48855</v>
      </c>
      <c r="AY2418" s="49">
        <v>48855</v>
      </c>
      <c r="AZ2418" s="49">
        <v>48855</v>
      </c>
      <c r="BA2418" s="49">
        <v>48855</v>
      </c>
    </row>
    <row r="2419" spans="23:53" ht="16.2" customHeight="1" x14ac:dyDescent="0.4">
      <c r="W2419" s="49">
        <v>48858</v>
      </c>
      <c r="X2419" s="49">
        <v>48858</v>
      </c>
      <c r="Y2419" s="49">
        <v>48858</v>
      </c>
      <c r="AY2419" s="49">
        <v>48858</v>
      </c>
      <c r="AZ2419" s="49">
        <v>48858</v>
      </c>
      <c r="BA2419" s="49">
        <v>48858</v>
      </c>
    </row>
    <row r="2420" spans="23:53" ht="16.2" customHeight="1" x14ac:dyDescent="0.4">
      <c r="W2420" s="49">
        <v>48859</v>
      </c>
      <c r="X2420" s="49">
        <v>48859</v>
      </c>
      <c r="Y2420" s="49">
        <v>48859</v>
      </c>
      <c r="AY2420" s="49">
        <v>48859</v>
      </c>
      <c r="AZ2420" s="49">
        <v>48859</v>
      </c>
      <c r="BA2420" s="49">
        <v>48859</v>
      </c>
    </row>
    <row r="2421" spans="23:53" ht="16.2" customHeight="1" x14ac:dyDescent="0.4">
      <c r="W2421" s="49">
        <v>48861</v>
      </c>
      <c r="X2421" s="49">
        <v>48861</v>
      </c>
      <c r="Y2421" s="49">
        <v>48861</v>
      </c>
      <c r="AY2421" s="49">
        <v>48861</v>
      </c>
      <c r="AZ2421" s="49">
        <v>48861</v>
      </c>
      <c r="BA2421" s="49">
        <v>48861</v>
      </c>
    </row>
    <row r="2422" spans="23:53" ht="16.2" customHeight="1" x14ac:dyDescent="0.4">
      <c r="W2422" s="49">
        <v>48867</v>
      </c>
      <c r="X2422" s="49">
        <v>48867</v>
      </c>
      <c r="Y2422" s="49">
        <v>48867</v>
      </c>
      <c r="AY2422" s="49">
        <v>48867</v>
      </c>
      <c r="AZ2422" s="49">
        <v>48867</v>
      </c>
      <c r="BA2422" s="49">
        <v>48867</v>
      </c>
    </row>
    <row r="2423" spans="23:53" ht="16.2" customHeight="1" x14ac:dyDescent="0.4">
      <c r="W2423" s="49">
        <v>48868</v>
      </c>
      <c r="X2423" s="49">
        <v>48868</v>
      </c>
      <c r="Y2423" s="49">
        <v>48868</v>
      </c>
      <c r="AY2423" s="49">
        <v>48868</v>
      </c>
      <c r="AZ2423" s="49">
        <v>48868</v>
      </c>
      <c r="BA2423" s="49">
        <v>48868</v>
      </c>
    </row>
    <row r="2424" spans="23:53" ht="16.2" customHeight="1" x14ac:dyDescent="0.4">
      <c r="W2424" s="49">
        <v>48874</v>
      </c>
      <c r="X2424" s="49">
        <v>48874</v>
      </c>
      <c r="Y2424" s="49">
        <v>48874</v>
      </c>
      <c r="AY2424" s="49">
        <v>48874</v>
      </c>
      <c r="AZ2424" s="49">
        <v>48874</v>
      </c>
      <c r="BA2424" s="49">
        <v>48874</v>
      </c>
    </row>
    <row r="2425" spans="23:53" ht="16.2" customHeight="1" x14ac:dyDescent="0.4">
      <c r="W2425" s="49">
        <v>48875</v>
      </c>
      <c r="X2425" s="49">
        <v>48875</v>
      </c>
      <c r="Y2425" s="49">
        <v>48875</v>
      </c>
      <c r="AY2425" s="49">
        <v>48875</v>
      </c>
      <c r="AZ2425" s="49">
        <v>48875</v>
      </c>
      <c r="BA2425" s="49">
        <v>48875</v>
      </c>
    </row>
    <row r="2426" spans="23:53" ht="16.2" customHeight="1" x14ac:dyDescent="0.4">
      <c r="W2426" s="49">
        <v>48881</v>
      </c>
      <c r="X2426" s="49">
        <v>48881</v>
      </c>
      <c r="Y2426" s="49">
        <v>48881</v>
      </c>
      <c r="AY2426" s="49">
        <v>48881</v>
      </c>
      <c r="AZ2426" s="49">
        <v>48881</v>
      </c>
      <c r="BA2426" s="49">
        <v>48881</v>
      </c>
    </row>
    <row r="2427" spans="23:53" ht="16.2" customHeight="1" x14ac:dyDescent="0.4">
      <c r="W2427" s="49">
        <v>48882</v>
      </c>
      <c r="X2427" s="49">
        <v>48882</v>
      </c>
      <c r="Y2427" s="49">
        <v>48882</v>
      </c>
      <c r="AY2427" s="49">
        <v>48882</v>
      </c>
      <c r="AZ2427" s="49">
        <v>48882</v>
      </c>
      <c r="BA2427" s="49">
        <v>48882</v>
      </c>
    </row>
    <row r="2428" spans="23:53" ht="16.2" customHeight="1" x14ac:dyDescent="0.4">
      <c r="W2428" s="49">
        <v>48888</v>
      </c>
      <c r="X2428" s="49">
        <v>48888</v>
      </c>
      <c r="Y2428" s="49">
        <v>48888</v>
      </c>
      <c r="AY2428" s="49">
        <v>48888</v>
      </c>
      <c r="AZ2428" s="49">
        <v>48888</v>
      </c>
      <c r="BA2428" s="49">
        <v>48888</v>
      </c>
    </row>
    <row r="2429" spans="23:53" ht="16.2" customHeight="1" x14ac:dyDescent="0.4">
      <c r="W2429" s="49">
        <v>48889</v>
      </c>
      <c r="X2429" s="49">
        <v>48889</v>
      </c>
      <c r="Y2429" s="49">
        <v>48889</v>
      </c>
      <c r="AY2429" s="49">
        <v>48889</v>
      </c>
      <c r="AZ2429" s="49">
        <v>48889</v>
      </c>
      <c r="BA2429" s="49">
        <v>48889</v>
      </c>
    </row>
    <row r="2430" spans="23:53" ht="16.2" customHeight="1" x14ac:dyDescent="0.4">
      <c r="W2430" s="49">
        <v>48895</v>
      </c>
      <c r="X2430" s="49">
        <v>48895</v>
      </c>
      <c r="Y2430" s="49">
        <v>48895</v>
      </c>
      <c r="AY2430" s="49">
        <v>48895</v>
      </c>
      <c r="AZ2430" s="49">
        <v>48895</v>
      </c>
      <c r="BA2430" s="49">
        <v>48895</v>
      </c>
    </row>
    <row r="2431" spans="23:53" ht="16.2" customHeight="1" x14ac:dyDescent="0.4">
      <c r="W2431" s="49">
        <v>48896</v>
      </c>
      <c r="X2431" s="49">
        <v>48896</v>
      </c>
      <c r="Y2431" s="49">
        <v>48896</v>
      </c>
      <c r="AY2431" s="49">
        <v>48896</v>
      </c>
      <c r="AZ2431" s="49">
        <v>48896</v>
      </c>
      <c r="BA2431" s="49">
        <v>48896</v>
      </c>
    </row>
    <row r="2432" spans="23:53" ht="16.2" customHeight="1" x14ac:dyDescent="0.4">
      <c r="W2432" s="49">
        <v>48902</v>
      </c>
      <c r="X2432" s="49">
        <v>48902</v>
      </c>
      <c r="Y2432" s="49">
        <v>48902</v>
      </c>
      <c r="AY2432" s="49">
        <v>48902</v>
      </c>
      <c r="AZ2432" s="49">
        <v>48902</v>
      </c>
      <c r="BA2432" s="49">
        <v>48902</v>
      </c>
    </row>
    <row r="2433" spans="23:53" ht="16.2" customHeight="1" x14ac:dyDescent="0.4">
      <c r="W2433" s="49">
        <v>48903</v>
      </c>
      <c r="X2433" s="49">
        <v>48903</v>
      </c>
      <c r="Y2433" s="49">
        <v>48903</v>
      </c>
      <c r="AY2433" s="49">
        <v>48903</v>
      </c>
      <c r="AZ2433" s="49">
        <v>48903</v>
      </c>
      <c r="BA2433" s="49">
        <v>48903</v>
      </c>
    </row>
    <row r="2434" spans="23:53" ht="16.2" customHeight="1" x14ac:dyDescent="0.4">
      <c r="W2434" s="49">
        <v>48909</v>
      </c>
      <c r="X2434" s="49">
        <v>48909</v>
      </c>
      <c r="Y2434" s="49">
        <v>48909</v>
      </c>
      <c r="AY2434" s="49">
        <v>48909</v>
      </c>
      <c r="AZ2434" s="49">
        <v>48909</v>
      </c>
      <c r="BA2434" s="49">
        <v>48909</v>
      </c>
    </row>
    <row r="2435" spans="23:53" ht="16.2" customHeight="1" x14ac:dyDescent="0.4">
      <c r="W2435" s="49">
        <v>48910</v>
      </c>
      <c r="X2435" s="49">
        <v>48910</v>
      </c>
      <c r="Y2435" s="49">
        <v>48910</v>
      </c>
      <c r="AY2435" s="49">
        <v>48910</v>
      </c>
      <c r="AZ2435" s="49">
        <v>48910</v>
      </c>
      <c r="BA2435" s="49">
        <v>48910</v>
      </c>
    </row>
    <row r="2436" spans="23:53" ht="16.2" customHeight="1" x14ac:dyDescent="0.4">
      <c r="W2436" s="49">
        <v>48916</v>
      </c>
      <c r="X2436" s="49">
        <v>48916</v>
      </c>
      <c r="Y2436" s="49">
        <v>48916</v>
      </c>
      <c r="AY2436" s="49">
        <v>48916</v>
      </c>
      <c r="AZ2436" s="49">
        <v>48916</v>
      </c>
      <c r="BA2436" s="49">
        <v>48916</v>
      </c>
    </row>
    <row r="2437" spans="23:53" ht="16.2" customHeight="1" x14ac:dyDescent="0.4">
      <c r="W2437" s="49">
        <v>48917</v>
      </c>
      <c r="X2437" s="49">
        <v>48917</v>
      </c>
      <c r="Y2437" s="49">
        <v>48917</v>
      </c>
      <c r="AY2437" s="49">
        <v>48917</v>
      </c>
      <c r="AZ2437" s="49">
        <v>48917</v>
      </c>
      <c r="BA2437" s="49">
        <v>48917</v>
      </c>
    </row>
    <row r="2438" spans="23:53" ht="16.2" customHeight="1" x14ac:dyDescent="0.4">
      <c r="W2438" s="49">
        <v>48923</v>
      </c>
      <c r="X2438" s="49">
        <v>48923</v>
      </c>
      <c r="Y2438" s="49">
        <v>48923</v>
      </c>
      <c r="AY2438" s="49">
        <v>48923</v>
      </c>
      <c r="AZ2438" s="49">
        <v>48923</v>
      </c>
      <c r="BA2438" s="49">
        <v>48923</v>
      </c>
    </row>
    <row r="2439" spans="23:53" ht="16.2" customHeight="1" x14ac:dyDescent="0.4">
      <c r="W2439" s="49">
        <v>48924</v>
      </c>
      <c r="X2439" s="49">
        <v>48924</v>
      </c>
      <c r="Y2439" s="49">
        <v>48924</v>
      </c>
      <c r="AY2439" s="49">
        <v>48924</v>
      </c>
      <c r="AZ2439" s="49">
        <v>48924</v>
      </c>
      <c r="BA2439" s="49">
        <v>48924</v>
      </c>
    </row>
    <row r="2440" spans="23:53" ht="16.2" customHeight="1" x14ac:dyDescent="0.4">
      <c r="W2440" s="49">
        <v>48930</v>
      </c>
      <c r="X2440" s="49">
        <v>48930</v>
      </c>
      <c r="Y2440" s="49">
        <v>48930</v>
      </c>
      <c r="AY2440" s="49">
        <v>48930</v>
      </c>
      <c r="AZ2440" s="49">
        <v>48930</v>
      </c>
      <c r="BA2440" s="49">
        <v>48930</v>
      </c>
    </row>
    <row r="2441" spans="23:53" ht="16.2" customHeight="1" x14ac:dyDescent="0.4">
      <c r="W2441" s="49">
        <v>48931</v>
      </c>
      <c r="X2441" s="49">
        <v>48931</v>
      </c>
      <c r="Y2441" s="49">
        <v>48931</v>
      </c>
      <c r="AY2441" s="49">
        <v>48931</v>
      </c>
      <c r="AZ2441" s="49">
        <v>48931</v>
      </c>
      <c r="BA2441" s="49">
        <v>48931</v>
      </c>
    </row>
    <row r="2442" spans="23:53" ht="16.2" customHeight="1" x14ac:dyDescent="0.4">
      <c r="W2442" s="49">
        <v>48937</v>
      </c>
      <c r="X2442" s="49">
        <v>48937</v>
      </c>
      <c r="Y2442" s="49">
        <v>48937</v>
      </c>
      <c r="AY2442" s="49">
        <v>48937</v>
      </c>
      <c r="AZ2442" s="49">
        <v>48937</v>
      </c>
      <c r="BA2442" s="49">
        <v>48937</v>
      </c>
    </row>
    <row r="2443" spans="23:53" ht="16.2" customHeight="1" x14ac:dyDescent="0.4">
      <c r="W2443" s="49">
        <v>48938</v>
      </c>
      <c r="X2443" s="49">
        <v>48938</v>
      </c>
      <c r="Y2443" s="49">
        <v>48938</v>
      </c>
      <c r="AY2443" s="49">
        <v>48938</v>
      </c>
      <c r="AZ2443" s="49">
        <v>48938</v>
      </c>
      <c r="BA2443" s="49">
        <v>48938</v>
      </c>
    </row>
    <row r="2444" spans="23:53" ht="16.2" customHeight="1" x14ac:dyDescent="0.4">
      <c r="W2444" s="49">
        <v>48944</v>
      </c>
      <c r="X2444" s="49">
        <v>48944</v>
      </c>
      <c r="Y2444" s="49">
        <v>48944</v>
      </c>
      <c r="AY2444" s="49">
        <v>48944</v>
      </c>
      <c r="AZ2444" s="49">
        <v>48944</v>
      </c>
      <c r="BA2444" s="49">
        <v>48944</v>
      </c>
    </row>
    <row r="2445" spans="23:53" ht="16.2" customHeight="1" x14ac:dyDescent="0.4">
      <c r="W2445" s="49">
        <v>48945</v>
      </c>
      <c r="X2445" s="49">
        <v>48945</v>
      </c>
      <c r="Y2445" s="49">
        <v>48945</v>
      </c>
      <c r="AY2445" s="49">
        <v>48945</v>
      </c>
      <c r="AZ2445" s="49">
        <v>48945</v>
      </c>
      <c r="BA2445" s="49">
        <v>48945</v>
      </c>
    </row>
    <row r="2446" spans="23:53" ht="16.2" customHeight="1" x14ac:dyDescent="0.4">
      <c r="W2446" s="49">
        <v>48951</v>
      </c>
      <c r="X2446" s="49">
        <v>48951</v>
      </c>
      <c r="Y2446" s="49">
        <v>48951</v>
      </c>
      <c r="AY2446" s="49">
        <v>48951</v>
      </c>
      <c r="AZ2446" s="49">
        <v>48951</v>
      </c>
      <c r="BA2446" s="49">
        <v>48951</v>
      </c>
    </row>
    <row r="2447" spans="23:53" ht="16.2" customHeight="1" x14ac:dyDescent="0.4">
      <c r="W2447" s="49">
        <v>48952</v>
      </c>
      <c r="X2447" s="49">
        <v>48952</v>
      </c>
      <c r="Y2447" s="49">
        <v>48952</v>
      </c>
      <c r="AY2447" s="49">
        <v>48952</v>
      </c>
      <c r="AZ2447" s="49">
        <v>48952</v>
      </c>
      <c r="BA2447" s="49">
        <v>48952</v>
      </c>
    </row>
    <row r="2448" spans="23:53" ht="16.2" customHeight="1" x14ac:dyDescent="0.4">
      <c r="W2448" s="49">
        <v>48958</v>
      </c>
      <c r="X2448" s="49">
        <v>48958</v>
      </c>
      <c r="Y2448" s="49">
        <v>48958</v>
      </c>
      <c r="AY2448" s="49">
        <v>48958</v>
      </c>
      <c r="AZ2448" s="49">
        <v>48958</v>
      </c>
      <c r="BA2448" s="49">
        <v>48958</v>
      </c>
    </row>
    <row r="2449" spans="23:53" ht="16.2" customHeight="1" x14ac:dyDescent="0.4">
      <c r="W2449" s="49">
        <v>48959</v>
      </c>
      <c r="X2449" s="49">
        <v>48959</v>
      </c>
      <c r="Y2449" s="49">
        <v>48959</v>
      </c>
      <c r="AY2449" s="49">
        <v>48959</v>
      </c>
      <c r="AZ2449" s="49">
        <v>48959</v>
      </c>
      <c r="BA2449" s="49">
        <v>48959</v>
      </c>
    </row>
    <row r="2450" spans="23:53" ht="16.2" customHeight="1" x14ac:dyDescent="0.4">
      <c r="W2450" s="49">
        <v>48965</v>
      </c>
      <c r="X2450" s="49">
        <v>48965</v>
      </c>
      <c r="Y2450" s="49">
        <v>48965</v>
      </c>
      <c r="AY2450" s="49">
        <v>48965</v>
      </c>
      <c r="AZ2450" s="49">
        <v>48965</v>
      </c>
      <c r="BA2450" s="49">
        <v>48965</v>
      </c>
    </row>
    <row r="2451" spans="23:53" ht="16.2" customHeight="1" x14ac:dyDescent="0.4">
      <c r="W2451" s="49">
        <v>48966</v>
      </c>
      <c r="X2451" s="49">
        <v>48966</v>
      </c>
      <c r="Y2451" s="49">
        <v>48966</v>
      </c>
      <c r="AY2451" s="49">
        <v>48966</v>
      </c>
      <c r="AZ2451" s="49">
        <v>48966</v>
      </c>
      <c r="BA2451" s="49">
        <v>48966</v>
      </c>
    </row>
    <row r="2452" spans="23:53" ht="16.2" customHeight="1" x14ac:dyDescent="0.4">
      <c r="W2452" s="49">
        <v>48972</v>
      </c>
      <c r="X2452" s="49">
        <v>48972</v>
      </c>
      <c r="Y2452" s="49">
        <v>48972</v>
      </c>
      <c r="AY2452" s="49">
        <v>48972</v>
      </c>
      <c r="AZ2452" s="49">
        <v>48972</v>
      </c>
      <c r="BA2452" s="49">
        <v>48972</v>
      </c>
    </row>
    <row r="2453" spans="23:53" ht="16.2" customHeight="1" x14ac:dyDescent="0.4">
      <c r="W2453" s="49">
        <v>48973</v>
      </c>
      <c r="X2453" s="49">
        <v>48973</v>
      </c>
      <c r="Y2453" s="49">
        <v>48973</v>
      </c>
      <c r="AY2453" s="49">
        <v>48973</v>
      </c>
      <c r="AZ2453" s="49">
        <v>48973</v>
      </c>
      <c r="BA2453" s="49">
        <v>48973</v>
      </c>
    </row>
    <row r="2454" spans="23:53" ht="16.2" customHeight="1" x14ac:dyDescent="0.4">
      <c r="W2454" s="49">
        <v>48979</v>
      </c>
      <c r="X2454" s="49">
        <v>48979</v>
      </c>
      <c r="Y2454" s="49">
        <v>48979</v>
      </c>
      <c r="AY2454" s="49">
        <v>48979</v>
      </c>
      <c r="AZ2454" s="49">
        <v>48979</v>
      </c>
      <c r="BA2454" s="49">
        <v>48979</v>
      </c>
    </row>
    <row r="2455" spans="23:53" ht="16.2" customHeight="1" x14ac:dyDescent="0.4">
      <c r="W2455" s="49">
        <v>48980</v>
      </c>
      <c r="X2455" s="49">
        <v>48980</v>
      </c>
      <c r="Y2455" s="49">
        <v>48980</v>
      </c>
      <c r="AY2455" s="49">
        <v>48980</v>
      </c>
      <c r="AZ2455" s="49">
        <v>48980</v>
      </c>
      <c r="BA2455" s="49">
        <v>48980</v>
      </c>
    </row>
    <row r="2456" spans="23:53" ht="16.2" customHeight="1" x14ac:dyDescent="0.4">
      <c r="W2456" s="49">
        <v>48986</v>
      </c>
      <c r="X2456" s="49">
        <v>48986</v>
      </c>
      <c r="Y2456" s="49">
        <v>48986</v>
      </c>
      <c r="AY2456" s="49">
        <v>48986</v>
      </c>
      <c r="AZ2456" s="49">
        <v>48986</v>
      </c>
      <c r="BA2456" s="49">
        <v>48986</v>
      </c>
    </row>
    <row r="2457" spans="23:53" ht="16.2" customHeight="1" x14ac:dyDescent="0.4">
      <c r="W2457" s="49">
        <v>48987</v>
      </c>
      <c r="X2457" s="49">
        <v>48987</v>
      </c>
      <c r="Y2457" s="49">
        <v>48987</v>
      </c>
      <c r="AY2457" s="49">
        <v>48987</v>
      </c>
      <c r="AZ2457" s="49">
        <v>48987</v>
      </c>
      <c r="BA2457" s="49">
        <v>48987</v>
      </c>
    </row>
    <row r="2458" spans="23:53" ht="16.2" customHeight="1" x14ac:dyDescent="0.4">
      <c r="W2458" s="49">
        <v>48994</v>
      </c>
      <c r="X2458" s="49">
        <v>48994</v>
      </c>
      <c r="Y2458" s="49">
        <v>48994</v>
      </c>
      <c r="AY2458" s="49">
        <v>48994</v>
      </c>
      <c r="AZ2458" s="49">
        <v>48994</v>
      </c>
      <c r="BA2458" s="49">
        <v>48994</v>
      </c>
    </row>
    <row r="2459" spans="23:53" ht="16.2" customHeight="1" x14ac:dyDescent="0.4">
      <c r="W2459" s="49">
        <v>48995</v>
      </c>
      <c r="X2459" s="49">
        <v>48995</v>
      </c>
      <c r="Y2459" s="49">
        <v>48995</v>
      </c>
      <c r="AY2459" s="49">
        <v>48995</v>
      </c>
      <c r="AZ2459" s="49">
        <v>48995</v>
      </c>
      <c r="BA2459" s="49">
        <v>48995</v>
      </c>
    </row>
    <row r="2460" spans="23:53" ht="16.2" customHeight="1" x14ac:dyDescent="0.4">
      <c r="W2460" s="49">
        <v>49000</v>
      </c>
      <c r="X2460" s="49">
        <v>49000</v>
      </c>
      <c r="Y2460" s="49">
        <v>49000</v>
      </c>
      <c r="AY2460" s="49">
        <v>49000</v>
      </c>
      <c r="AZ2460" s="49">
        <v>49000</v>
      </c>
      <c r="BA2460" s="49">
        <v>49000</v>
      </c>
    </row>
    <row r="2461" spans="23:53" ht="16.2" customHeight="1" x14ac:dyDescent="0.4">
      <c r="W2461" s="49">
        <v>49001</v>
      </c>
      <c r="X2461" s="49">
        <v>49001</v>
      </c>
      <c r="Y2461" s="49">
        <v>49001</v>
      </c>
      <c r="AY2461" s="49">
        <v>49001</v>
      </c>
      <c r="AZ2461" s="49">
        <v>49001</v>
      </c>
      <c r="BA2461" s="49">
        <v>49001</v>
      </c>
    </row>
    <row r="2462" spans="23:53" ht="16.2" customHeight="1" x14ac:dyDescent="0.4">
      <c r="W2462" s="49">
        <v>49004</v>
      </c>
      <c r="X2462" s="49">
        <v>49004</v>
      </c>
      <c r="Y2462" s="49">
        <v>49004</v>
      </c>
      <c r="AY2462" s="49">
        <v>49004</v>
      </c>
      <c r="AZ2462" s="49">
        <v>49004</v>
      </c>
      <c r="BA2462" s="49">
        <v>49004</v>
      </c>
    </row>
    <row r="2463" spans="23:53" ht="16.2" customHeight="1" x14ac:dyDescent="0.4">
      <c r="W2463" s="49">
        <v>49007</v>
      </c>
      <c r="X2463" s="49">
        <v>49007</v>
      </c>
      <c r="Y2463" s="49">
        <v>49007</v>
      </c>
      <c r="AY2463" s="49">
        <v>49007</v>
      </c>
      <c r="AZ2463" s="49">
        <v>49007</v>
      </c>
      <c r="BA2463" s="49">
        <v>49007</v>
      </c>
    </row>
    <row r="2464" spans="23:53" ht="16.2" customHeight="1" x14ac:dyDescent="0.4">
      <c r="W2464" s="49">
        <v>49008</v>
      </c>
      <c r="X2464" s="49">
        <v>49008</v>
      </c>
      <c r="Y2464" s="49">
        <v>49008</v>
      </c>
      <c r="AY2464" s="49">
        <v>49008</v>
      </c>
      <c r="AZ2464" s="49">
        <v>49008</v>
      </c>
      <c r="BA2464" s="49">
        <v>49008</v>
      </c>
    </row>
    <row r="2465" spans="23:53" ht="16.2" customHeight="1" x14ac:dyDescent="0.4">
      <c r="W2465" s="49">
        <v>49014</v>
      </c>
      <c r="X2465" s="49">
        <v>49014</v>
      </c>
      <c r="Y2465" s="49">
        <v>49014</v>
      </c>
      <c r="AY2465" s="49">
        <v>49014</v>
      </c>
      <c r="AZ2465" s="49">
        <v>49014</v>
      </c>
      <c r="BA2465" s="49">
        <v>49014</v>
      </c>
    </row>
    <row r="2466" spans="23:53" ht="16.2" customHeight="1" x14ac:dyDescent="0.4">
      <c r="W2466" s="49">
        <v>49015</v>
      </c>
      <c r="X2466" s="49">
        <v>49015</v>
      </c>
      <c r="Y2466" s="49">
        <v>49015</v>
      </c>
      <c r="AY2466" s="49">
        <v>49015</v>
      </c>
      <c r="AZ2466" s="49">
        <v>49015</v>
      </c>
      <c r="BA2466" s="49">
        <v>49015</v>
      </c>
    </row>
    <row r="2467" spans="23:53" ht="16.2" customHeight="1" x14ac:dyDescent="0.4">
      <c r="W2467" s="49">
        <v>49021</v>
      </c>
      <c r="X2467" s="49">
        <v>49021</v>
      </c>
      <c r="Y2467" s="49">
        <v>49021</v>
      </c>
      <c r="AY2467" s="49">
        <v>49021</v>
      </c>
      <c r="AZ2467" s="49">
        <v>49021</v>
      </c>
      <c r="BA2467" s="49">
        <v>49021</v>
      </c>
    </row>
    <row r="2468" spans="23:53" ht="16.2" customHeight="1" x14ac:dyDescent="0.4">
      <c r="W2468" s="49">
        <v>49022</v>
      </c>
      <c r="X2468" s="49">
        <v>49022</v>
      </c>
      <c r="Y2468" s="49">
        <v>49022</v>
      </c>
      <c r="AY2468" s="49">
        <v>49022</v>
      </c>
      <c r="AZ2468" s="49">
        <v>49022</v>
      </c>
      <c r="BA2468" s="49">
        <v>49022</v>
      </c>
    </row>
    <row r="2469" spans="23:53" ht="16.2" customHeight="1" x14ac:dyDescent="0.4">
      <c r="W2469" s="49">
        <v>49028</v>
      </c>
      <c r="X2469" s="49">
        <v>49028</v>
      </c>
      <c r="Y2469" s="49">
        <v>49028</v>
      </c>
      <c r="AY2469" s="49">
        <v>49028</v>
      </c>
      <c r="AZ2469" s="49">
        <v>49028</v>
      </c>
      <c r="BA2469" s="49">
        <v>49028</v>
      </c>
    </row>
    <row r="2470" spans="23:53" ht="16.2" customHeight="1" x14ac:dyDescent="0.4">
      <c r="W2470" s="49">
        <v>49029</v>
      </c>
      <c r="X2470" s="49">
        <v>49029</v>
      </c>
      <c r="Y2470" s="49">
        <v>49029</v>
      </c>
      <c r="AY2470" s="49">
        <v>49029</v>
      </c>
      <c r="AZ2470" s="49">
        <v>49029</v>
      </c>
      <c r="BA2470" s="49">
        <v>49029</v>
      </c>
    </row>
    <row r="2471" spans="23:53" ht="16.2" customHeight="1" x14ac:dyDescent="0.4">
      <c r="W2471" s="49">
        <v>49035</v>
      </c>
      <c r="X2471" s="49">
        <v>49035</v>
      </c>
      <c r="Y2471" s="49">
        <v>49035</v>
      </c>
      <c r="AY2471" s="49">
        <v>49035</v>
      </c>
      <c r="AZ2471" s="49">
        <v>49035</v>
      </c>
      <c r="BA2471" s="49">
        <v>49035</v>
      </c>
    </row>
    <row r="2472" spans="23:53" ht="16.2" customHeight="1" x14ac:dyDescent="0.4">
      <c r="W2472" s="49">
        <v>49036</v>
      </c>
      <c r="X2472" s="49">
        <v>49036</v>
      </c>
      <c r="Y2472" s="49">
        <v>49036</v>
      </c>
      <c r="AY2472" s="49">
        <v>49036</v>
      </c>
      <c r="AZ2472" s="49">
        <v>49036</v>
      </c>
      <c r="BA2472" s="49">
        <v>49036</v>
      </c>
    </row>
    <row r="2473" spans="23:53" ht="16.2" customHeight="1" x14ac:dyDescent="0.4">
      <c r="W2473" s="49">
        <v>49042</v>
      </c>
      <c r="X2473" s="49">
        <v>49042</v>
      </c>
      <c r="Y2473" s="49">
        <v>49042</v>
      </c>
      <c r="AY2473" s="49">
        <v>49042</v>
      </c>
      <c r="AZ2473" s="49">
        <v>49042</v>
      </c>
      <c r="BA2473" s="49">
        <v>49042</v>
      </c>
    </row>
    <row r="2474" spans="23:53" ht="16.2" customHeight="1" x14ac:dyDescent="0.4">
      <c r="W2474" s="49">
        <v>49043</v>
      </c>
      <c r="X2474" s="49">
        <v>49043</v>
      </c>
      <c r="Y2474" s="49">
        <v>49043</v>
      </c>
      <c r="AY2474" s="49">
        <v>49043</v>
      </c>
      <c r="AZ2474" s="49">
        <v>49043</v>
      </c>
      <c r="BA2474" s="49">
        <v>49043</v>
      </c>
    </row>
    <row r="2475" spans="23:53" ht="16.2" customHeight="1" x14ac:dyDescent="0.4">
      <c r="W2475" s="49">
        <v>49049</v>
      </c>
      <c r="X2475" s="49">
        <v>49049</v>
      </c>
      <c r="Y2475" s="49">
        <v>49049</v>
      </c>
      <c r="AY2475" s="49">
        <v>49049</v>
      </c>
      <c r="AZ2475" s="49">
        <v>49049</v>
      </c>
      <c r="BA2475" s="49">
        <v>49049</v>
      </c>
    </row>
    <row r="2476" spans="23:53" ht="16.2" customHeight="1" x14ac:dyDescent="0.4">
      <c r="W2476" s="49">
        <v>49050</v>
      </c>
      <c r="X2476" s="49">
        <v>49050</v>
      </c>
      <c r="Y2476" s="49">
        <v>49050</v>
      </c>
      <c r="AY2476" s="49">
        <v>49050</v>
      </c>
      <c r="AZ2476" s="49">
        <v>49050</v>
      </c>
      <c r="BA2476" s="49">
        <v>49050</v>
      </c>
    </row>
    <row r="2477" spans="23:53" ht="16.2" customHeight="1" x14ac:dyDescent="0.4">
      <c r="W2477" s="49">
        <v>49056</v>
      </c>
      <c r="X2477" s="49">
        <v>49056</v>
      </c>
      <c r="Y2477" s="49">
        <v>49056</v>
      </c>
      <c r="AY2477" s="49">
        <v>49056</v>
      </c>
      <c r="AZ2477" s="49">
        <v>49056</v>
      </c>
      <c r="BA2477" s="49">
        <v>49056</v>
      </c>
    </row>
    <row r="2478" spans="23:53" ht="16.2" customHeight="1" x14ac:dyDescent="0.4">
      <c r="W2478" s="49">
        <v>49057</v>
      </c>
      <c r="X2478" s="49">
        <v>49057</v>
      </c>
      <c r="Y2478" s="49">
        <v>49057</v>
      </c>
      <c r="AY2478" s="49">
        <v>49057</v>
      </c>
      <c r="AZ2478" s="49">
        <v>49057</v>
      </c>
      <c r="BA2478" s="49">
        <v>49057</v>
      </c>
    </row>
    <row r="2479" spans="23:53" ht="16.2" customHeight="1" x14ac:dyDescent="0.4">
      <c r="W2479" s="49">
        <v>49063</v>
      </c>
      <c r="X2479" s="49">
        <v>49063</v>
      </c>
      <c r="Y2479" s="49">
        <v>49063</v>
      </c>
      <c r="AY2479" s="49">
        <v>49063</v>
      </c>
      <c r="AZ2479" s="49">
        <v>49063</v>
      </c>
      <c r="BA2479" s="49">
        <v>49063</v>
      </c>
    </row>
    <row r="2480" spans="23:53" ht="16.2" customHeight="1" x14ac:dyDescent="0.4">
      <c r="W2480" s="49">
        <v>49064</v>
      </c>
      <c r="X2480" s="49">
        <v>49064</v>
      </c>
      <c r="Y2480" s="49">
        <v>49064</v>
      </c>
      <c r="AY2480" s="49">
        <v>49064</v>
      </c>
      <c r="AZ2480" s="49">
        <v>49064</v>
      </c>
      <c r="BA2480" s="49">
        <v>49064</v>
      </c>
    </row>
    <row r="2481" spans="23:53" ht="16.2" customHeight="1" x14ac:dyDescent="0.4">
      <c r="W2481" s="49">
        <v>49065</v>
      </c>
      <c r="X2481" s="49">
        <v>49065</v>
      </c>
      <c r="Y2481" s="49">
        <v>49065</v>
      </c>
      <c r="AY2481" s="49">
        <v>49065</v>
      </c>
      <c r="AZ2481" s="49">
        <v>49065</v>
      </c>
      <c r="BA2481" s="49">
        <v>49065</v>
      </c>
    </row>
    <row r="2482" spans="23:53" ht="16.2" customHeight="1" x14ac:dyDescent="0.4">
      <c r="W2482" s="49">
        <v>49069</v>
      </c>
      <c r="X2482" s="49">
        <v>49069</v>
      </c>
      <c r="Y2482" s="49">
        <v>49069</v>
      </c>
      <c r="AY2482" s="49">
        <v>49069</v>
      </c>
      <c r="AZ2482" s="49">
        <v>49069</v>
      </c>
      <c r="BA2482" s="49">
        <v>49069</v>
      </c>
    </row>
    <row r="2483" spans="23:53" ht="16.2" customHeight="1" x14ac:dyDescent="0.4">
      <c r="W2483" s="49">
        <v>49070</v>
      </c>
      <c r="X2483" s="49">
        <v>49070</v>
      </c>
      <c r="Y2483" s="49">
        <v>49070</v>
      </c>
      <c r="AY2483" s="49">
        <v>49070</v>
      </c>
      <c r="AZ2483" s="49">
        <v>49070</v>
      </c>
      <c r="BA2483" s="49">
        <v>49070</v>
      </c>
    </row>
    <row r="2484" spans="23:53" ht="16.2" customHeight="1" x14ac:dyDescent="0.4">
      <c r="W2484" s="49">
        <v>49071</v>
      </c>
      <c r="X2484" s="49">
        <v>49071</v>
      </c>
      <c r="Y2484" s="49">
        <v>49071</v>
      </c>
      <c r="AY2484" s="49">
        <v>49071</v>
      </c>
      <c r="AZ2484" s="49">
        <v>49071</v>
      </c>
      <c r="BA2484" s="49">
        <v>49071</v>
      </c>
    </row>
    <row r="2485" spans="23:53" ht="16.2" customHeight="1" x14ac:dyDescent="0.4">
      <c r="W2485" s="49">
        <v>49077</v>
      </c>
      <c r="X2485" s="49">
        <v>49077</v>
      </c>
      <c r="Y2485" s="49">
        <v>49077</v>
      </c>
      <c r="AY2485" s="49">
        <v>49077</v>
      </c>
      <c r="AZ2485" s="49">
        <v>49077</v>
      </c>
      <c r="BA2485" s="49">
        <v>49077</v>
      </c>
    </row>
    <row r="2486" spans="23:53" ht="16.2" customHeight="1" x14ac:dyDescent="0.4">
      <c r="W2486" s="49">
        <v>49078</v>
      </c>
      <c r="X2486" s="49">
        <v>49078</v>
      </c>
      <c r="Y2486" s="49">
        <v>49078</v>
      </c>
      <c r="AY2486" s="49">
        <v>49078</v>
      </c>
      <c r="AZ2486" s="49">
        <v>49078</v>
      </c>
      <c r="BA2486" s="49">
        <v>49078</v>
      </c>
    </row>
    <row r="2487" spans="23:53" ht="16.2" customHeight="1" x14ac:dyDescent="0.4">
      <c r="W2487" s="49">
        <v>49084</v>
      </c>
      <c r="X2487" s="49">
        <v>49084</v>
      </c>
      <c r="Y2487" s="49">
        <v>49084</v>
      </c>
      <c r="AY2487" s="49">
        <v>49084</v>
      </c>
      <c r="AZ2487" s="49">
        <v>49084</v>
      </c>
      <c r="BA2487" s="49">
        <v>49084</v>
      </c>
    </row>
    <row r="2488" spans="23:53" ht="16.2" customHeight="1" x14ac:dyDescent="0.4">
      <c r="W2488" s="49">
        <v>49085</v>
      </c>
      <c r="X2488" s="49">
        <v>49085</v>
      </c>
      <c r="Y2488" s="49">
        <v>49085</v>
      </c>
      <c r="AY2488" s="49">
        <v>49085</v>
      </c>
      <c r="AZ2488" s="49">
        <v>49085</v>
      </c>
      <c r="BA2488" s="49">
        <v>49085</v>
      </c>
    </row>
    <row r="2489" spans="23:53" ht="16.2" customHeight="1" x14ac:dyDescent="0.4">
      <c r="W2489" s="49">
        <v>49089</v>
      </c>
      <c r="X2489" s="49">
        <v>49089</v>
      </c>
      <c r="Y2489" s="49">
        <v>49089</v>
      </c>
      <c r="AY2489" s="49">
        <v>49089</v>
      </c>
      <c r="AZ2489" s="49">
        <v>49089</v>
      </c>
      <c r="BA2489" s="49">
        <v>49089</v>
      </c>
    </row>
    <row r="2490" spans="23:53" ht="16.2" customHeight="1" x14ac:dyDescent="0.4">
      <c r="W2490" s="49">
        <v>49091</v>
      </c>
      <c r="X2490" s="49">
        <v>49091</v>
      </c>
      <c r="Y2490" s="49">
        <v>49091</v>
      </c>
      <c r="AY2490" s="49">
        <v>49091</v>
      </c>
      <c r="AZ2490" s="49">
        <v>49091</v>
      </c>
      <c r="BA2490" s="49">
        <v>49091</v>
      </c>
    </row>
    <row r="2491" spans="23:53" ht="16.2" customHeight="1" x14ac:dyDescent="0.4">
      <c r="W2491" s="49">
        <v>49092</v>
      </c>
      <c r="X2491" s="49">
        <v>49092</v>
      </c>
      <c r="Y2491" s="49">
        <v>49092</v>
      </c>
      <c r="AY2491" s="49">
        <v>49092</v>
      </c>
      <c r="AZ2491" s="49">
        <v>49092</v>
      </c>
      <c r="BA2491" s="49">
        <v>49092</v>
      </c>
    </row>
    <row r="2492" spans="23:53" ht="16.2" customHeight="1" x14ac:dyDescent="0.4">
      <c r="W2492" s="49">
        <v>49098</v>
      </c>
      <c r="X2492" s="49">
        <v>49098</v>
      </c>
      <c r="Y2492" s="49">
        <v>49098</v>
      </c>
      <c r="AY2492" s="49">
        <v>49098</v>
      </c>
      <c r="AZ2492" s="49">
        <v>49098</v>
      </c>
      <c r="BA2492" s="49">
        <v>49098</v>
      </c>
    </row>
    <row r="2493" spans="23:53" ht="16.2" customHeight="1" x14ac:dyDescent="0.4">
      <c r="W2493" s="49">
        <v>49099</v>
      </c>
      <c r="X2493" s="49">
        <v>49099</v>
      </c>
      <c r="Y2493" s="49">
        <v>49099</v>
      </c>
      <c r="AY2493" s="49">
        <v>49099</v>
      </c>
      <c r="AZ2493" s="49">
        <v>49099</v>
      </c>
      <c r="BA2493" s="49">
        <v>49099</v>
      </c>
    </row>
    <row r="2494" spans="23:53" ht="16.2" customHeight="1" x14ac:dyDescent="0.4">
      <c r="W2494" s="49">
        <v>49101</v>
      </c>
      <c r="X2494" s="49">
        <v>49101</v>
      </c>
      <c r="Y2494" s="49">
        <v>49101</v>
      </c>
      <c r="AY2494" s="49">
        <v>49101</v>
      </c>
      <c r="AZ2494" s="49">
        <v>49101</v>
      </c>
      <c r="BA2494" s="49">
        <v>49101</v>
      </c>
    </row>
    <row r="2495" spans="23:53" ht="16.2" customHeight="1" x14ac:dyDescent="0.4">
      <c r="W2495" s="49">
        <v>49105</v>
      </c>
      <c r="X2495" s="49">
        <v>49105</v>
      </c>
      <c r="Y2495" s="49">
        <v>49105</v>
      </c>
      <c r="AY2495" s="49">
        <v>49105</v>
      </c>
      <c r="AZ2495" s="49">
        <v>49105</v>
      </c>
      <c r="BA2495" s="49">
        <v>49105</v>
      </c>
    </row>
    <row r="2496" spans="23:53" ht="16.2" customHeight="1" x14ac:dyDescent="0.4">
      <c r="W2496" s="49">
        <v>49106</v>
      </c>
      <c r="X2496" s="49">
        <v>49106</v>
      </c>
      <c r="Y2496" s="49">
        <v>49106</v>
      </c>
      <c r="AY2496" s="49">
        <v>49106</v>
      </c>
      <c r="AZ2496" s="49">
        <v>49106</v>
      </c>
      <c r="BA2496" s="49">
        <v>49106</v>
      </c>
    </row>
    <row r="2497" spans="23:53" ht="16.2" customHeight="1" x14ac:dyDescent="0.4">
      <c r="W2497" s="49">
        <v>49112</v>
      </c>
      <c r="X2497" s="49">
        <v>49112</v>
      </c>
      <c r="Y2497" s="49">
        <v>49112</v>
      </c>
      <c r="AY2497" s="49">
        <v>49112</v>
      </c>
      <c r="AZ2497" s="49">
        <v>49112</v>
      </c>
      <c r="BA2497" s="49">
        <v>49112</v>
      </c>
    </row>
    <row r="2498" spans="23:53" ht="16.2" customHeight="1" x14ac:dyDescent="0.4">
      <c r="W2498" s="49">
        <v>49113</v>
      </c>
      <c r="X2498" s="49">
        <v>49113</v>
      </c>
      <c r="Y2498" s="49">
        <v>49113</v>
      </c>
      <c r="AY2498" s="49">
        <v>49113</v>
      </c>
      <c r="AZ2498" s="49">
        <v>49113</v>
      </c>
      <c r="BA2498" s="49">
        <v>49113</v>
      </c>
    </row>
    <row r="2499" spans="23:53" ht="16.2" customHeight="1" x14ac:dyDescent="0.4">
      <c r="W2499" s="49">
        <v>49119</v>
      </c>
      <c r="X2499" s="49">
        <v>49119</v>
      </c>
      <c r="Y2499" s="49">
        <v>49119</v>
      </c>
      <c r="AY2499" s="49">
        <v>49119</v>
      </c>
      <c r="AZ2499" s="49">
        <v>49119</v>
      </c>
      <c r="BA2499" s="49">
        <v>49119</v>
      </c>
    </row>
    <row r="2500" spans="23:53" ht="16.2" customHeight="1" x14ac:dyDescent="0.4">
      <c r="W2500" s="49">
        <v>49120</v>
      </c>
      <c r="X2500" s="49">
        <v>49120</v>
      </c>
      <c r="Y2500" s="49">
        <v>49120</v>
      </c>
      <c r="AY2500" s="49">
        <v>49120</v>
      </c>
      <c r="AZ2500" s="49">
        <v>49120</v>
      </c>
      <c r="BA2500" s="49">
        <v>49120</v>
      </c>
    </row>
    <row r="2501" spans="23:53" ht="16.2" customHeight="1" x14ac:dyDescent="0.4">
      <c r="W2501" s="49">
        <v>49126</v>
      </c>
      <c r="X2501" s="49">
        <v>49126</v>
      </c>
      <c r="Y2501" s="49">
        <v>49126</v>
      </c>
      <c r="AY2501" s="49">
        <v>49126</v>
      </c>
      <c r="AZ2501" s="49">
        <v>49126</v>
      </c>
      <c r="BA2501" s="49">
        <v>49126</v>
      </c>
    </row>
    <row r="2502" spans="23:53" ht="16.2" customHeight="1" x14ac:dyDescent="0.4">
      <c r="W2502" s="49">
        <v>49127</v>
      </c>
      <c r="X2502" s="49">
        <v>49127</v>
      </c>
      <c r="Y2502" s="49">
        <v>49127</v>
      </c>
      <c r="AY2502" s="49">
        <v>49127</v>
      </c>
      <c r="AZ2502" s="49">
        <v>49127</v>
      </c>
      <c r="BA2502" s="49">
        <v>49127</v>
      </c>
    </row>
    <row r="2503" spans="23:53" ht="16.2" customHeight="1" x14ac:dyDescent="0.4">
      <c r="W2503" s="49">
        <v>49133</v>
      </c>
      <c r="X2503" s="49">
        <v>49133</v>
      </c>
      <c r="Y2503" s="49">
        <v>49133</v>
      </c>
      <c r="AY2503" s="49">
        <v>49133</v>
      </c>
      <c r="AZ2503" s="49">
        <v>49133</v>
      </c>
      <c r="BA2503" s="49">
        <v>49133</v>
      </c>
    </row>
    <row r="2504" spans="23:53" ht="16.2" customHeight="1" x14ac:dyDescent="0.4">
      <c r="W2504" s="49">
        <v>49134</v>
      </c>
      <c r="X2504" s="49">
        <v>49134</v>
      </c>
      <c r="Y2504" s="49">
        <v>49134</v>
      </c>
      <c r="AY2504" s="49">
        <v>49134</v>
      </c>
      <c r="AZ2504" s="49">
        <v>49134</v>
      </c>
      <c r="BA2504" s="49">
        <v>49134</v>
      </c>
    </row>
    <row r="2505" spans="23:53" ht="16.2" customHeight="1" x14ac:dyDescent="0.4">
      <c r="W2505" s="49">
        <v>49140</v>
      </c>
      <c r="X2505" s="49">
        <v>49140</v>
      </c>
      <c r="Y2505" s="49">
        <v>49140</v>
      </c>
      <c r="AY2505" s="49">
        <v>49140</v>
      </c>
      <c r="AZ2505" s="49">
        <v>49140</v>
      </c>
      <c r="BA2505" s="49">
        <v>49140</v>
      </c>
    </row>
    <row r="2506" spans="23:53" ht="16.2" customHeight="1" x14ac:dyDescent="0.4">
      <c r="W2506" s="49">
        <v>49141</v>
      </c>
      <c r="X2506" s="49">
        <v>49141</v>
      </c>
      <c r="Y2506" s="49">
        <v>49141</v>
      </c>
      <c r="AY2506" s="49">
        <v>49141</v>
      </c>
      <c r="AZ2506" s="49">
        <v>49141</v>
      </c>
      <c r="BA2506" s="49">
        <v>49141</v>
      </c>
    </row>
    <row r="2507" spans="23:53" ht="16.2" customHeight="1" x14ac:dyDescent="0.4">
      <c r="W2507" s="49">
        <v>49147</v>
      </c>
      <c r="X2507" s="49">
        <v>49147</v>
      </c>
      <c r="Y2507" s="49">
        <v>49147</v>
      </c>
      <c r="AY2507" s="49">
        <v>49147</v>
      </c>
      <c r="AZ2507" s="49">
        <v>49147</v>
      </c>
      <c r="BA2507" s="49">
        <v>49147</v>
      </c>
    </row>
    <row r="2508" spans="23:53" ht="16.2" customHeight="1" x14ac:dyDescent="0.4">
      <c r="W2508" s="49">
        <v>49148</v>
      </c>
      <c r="X2508" s="49">
        <v>49148</v>
      </c>
      <c r="Y2508" s="49">
        <v>49148</v>
      </c>
      <c r="AY2508" s="49">
        <v>49148</v>
      </c>
      <c r="AZ2508" s="49">
        <v>49148</v>
      </c>
      <c r="BA2508" s="49">
        <v>49148</v>
      </c>
    </row>
    <row r="2509" spans="23:53" ht="16.2" customHeight="1" x14ac:dyDescent="0.4">
      <c r="W2509" s="49">
        <v>49154</v>
      </c>
      <c r="X2509" s="49">
        <v>49154</v>
      </c>
      <c r="Y2509" s="49">
        <v>49154</v>
      </c>
      <c r="AY2509" s="49">
        <v>49154</v>
      </c>
      <c r="AZ2509" s="49">
        <v>49154</v>
      </c>
      <c r="BA2509" s="49">
        <v>49154</v>
      </c>
    </row>
    <row r="2510" spans="23:53" ht="16.2" customHeight="1" x14ac:dyDescent="0.4">
      <c r="W2510" s="49">
        <v>49155</v>
      </c>
      <c r="X2510" s="49">
        <v>49155</v>
      </c>
      <c r="Y2510" s="49">
        <v>49155</v>
      </c>
      <c r="AY2510" s="49">
        <v>49155</v>
      </c>
      <c r="AZ2510" s="49">
        <v>49155</v>
      </c>
      <c r="BA2510" s="49">
        <v>49155</v>
      </c>
    </row>
    <row r="2511" spans="23:53" ht="16.2" customHeight="1" x14ac:dyDescent="0.4">
      <c r="W2511" s="49">
        <v>49161</v>
      </c>
      <c r="X2511" s="49">
        <v>49161</v>
      </c>
      <c r="Y2511" s="49">
        <v>49161</v>
      </c>
      <c r="AY2511" s="49">
        <v>49161</v>
      </c>
      <c r="AZ2511" s="49">
        <v>49161</v>
      </c>
      <c r="BA2511" s="49">
        <v>49161</v>
      </c>
    </row>
    <row r="2512" spans="23:53" ht="16.2" customHeight="1" x14ac:dyDescent="0.4">
      <c r="W2512" s="49">
        <v>49162</v>
      </c>
      <c r="X2512" s="49">
        <v>49162</v>
      </c>
      <c r="Y2512" s="49">
        <v>49162</v>
      </c>
      <c r="AY2512" s="49">
        <v>49162</v>
      </c>
      <c r="AZ2512" s="49">
        <v>49162</v>
      </c>
      <c r="BA2512" s="49">
        <v>49162</v>
      </c>
    </row>
    <row r="2513" spans="23:53" ht="16.2" customHeight="1" x14ac:dyDescent="0.4">
      <c r="W2513" s="49">
        <v>49168</v>
      </c>
      <c r="X2513" s="49">
        <v>49168</v>
      </c>
      <c r="Y2513" s="49">
        <v>49168</v>
      </c>
      <c r="AY2513" s="49">
        <v>49168</v>
      </c>
      <c r="AZ2513" s="49">
        <v>49168</v>
      </c>
      <c r="BA2513" s="49">
        <v>49168</v>
      </c>
    </row>
    <row r="2514" spans="23:53" ht="16.2" customHeight="1" x14ac:dyDescent="0.4">
      <c r="W2514" s="49">
        <v>49169</v>
      </c>
      <c r="X2514" s="49">
        <v>49169</v>
      </c>
      <c r="Y2514" s="49">
        <v>49169</v>
      </c>
      <c r="AY2514" s="49">
        <v>49169</v>
      </c>
      <c r="AZ2514" s="49">
        <v>49169</v>
      </c>
      <c r="BA2514" s="49">
        <v>49169</v>
      </c>
    </row>
    <row r="2515" spans="23:53" ht="16.2" customHeight="1" x14ac:dyDescent="0.4">
      <c r="W2515" s="49">
        <v>49171</v>
      </c>
      <c r="X2515" s="49">
        <v>49171</v>
      </c>
      <c r="Y2515" s="49">
        <v>49171</v>
      </c>
      <c r="AY2515" s="49">
        <v>49171</v>
      </c>
      <c r="AZ2515" s="49">
        <v>49171</v>
      </c>
      <c r="BA2515" s="49">
        <v>49171</v>
      </c>
    </row>
    <row r="2516" spans="23:53" ht="16.2" customHeight="1" x14ac:dyDescent="0.4">
      <c r="W2516" s="49">
        <v>49175</v>
      </c>
      <c r="X2516" s="49">
        <v>49175</v>
      </c>
      <c r="Y2516" s="49">
        <v>49175</v>
      </c>
      <c r="AY2516" s="49">
        <v>49175</v>
      </c>
      <c r="AZ2516" s="49">
        <v>49175</v>
      </c>
      <c r="BA2516" s="49">
        <v>49175</v>
      </c>
    </row>
    <row r="2517" spans="23:53" ht="16.2" customHeight="1" x14ac:dyDescent="0.4">
      <c r="W2517" s="49">
        <v>49176</v>
      </c>
      <c r="X2517" s="49">
        <v>49176</v>
      </c>
      <c r="Y2517" s="49">
        <v>49176</v>
      </c>
      <c r="AY2517" s="49">
        <v>49176</v>
      </c>
      <c r="AZ2517" s="49">
        <v>49176</v>
      </c>
      <c r="BA2517" s="49">
        <v>49176</v>
      </c>
    </row>
    <row r="2518" spans="23:53" ht="16.2" customHeight="1" x14ac:dyDescent="0.4">
      <c r="W2518" s="49">
        <v>49182</v>
      </c>
      <c r="X2518" s="49">
        <v>49182</v>
      </c>
      <c r="Y2518" s="49">
        <v>49182</v>
      </c>
      <c r="AY2518" s="49">
        <v>49182</v>
      </c>
      <c r="AZ2518" s="49">
        <v>49182</v>
      </c>
      <c r="BA2518" s="49">
        <v>49182</v>
      </c>
    </row>
    <row r="2519" spans="23:53" ht="16.2" customHeight="1" x14ac:dyDescent="0.4">
      <c r="W2519" s="49">
        <v>49183</v>
      </c>
      <c r="X2519" s="49">
        <v>49183</v>
      </c>
      <c r="Y2519" s="49">
        <v>49183</v>
      </c>
      <c r="AY2519" s="49">
        <v>49183</v>
      </c>
      <c r="AZ2519" s="49">
        <v>49183</v>
      </c>
      <c r="BA2519" s="49">
        <v>49183</v>
      </c>
    </row>
    <row r="2520" spans="23:53" ht="16.2" customHeight="1" x14ac:dyDescent="0.4">
      <c r="W2520" s="49">
        <v>49189</v>
      </c>
      <c r="X2520" s="49">
        <v>49189</v>
      </c>
      <c r="Y2520" s="49">
        <v>49189</v>
      </c>
      <c r="AY2520" s="49">
        <v>49189</v>
      </c>
      <c r="AZ2520" s="49">
        <v>49189</v>
      </c>
      <c r="BA2520" s="49">
        <v>49189</v>
      </c>
    </row>
    <row r="2521" spans="23:53" ht="16.2" customHeight="1" x14ac:dyDescent="0.4">
      <c r="W2521" s="49">
        <v>49190</v>
      </c>
      <c r="X2521" s="49">
        <v>49190</v>
      </c>
      <c r="Y2521" s="49">
        <v>49190</v>
      </c>
      <c r="AY2521" s="49">
        <v>49190</v>
      </c>
      <c r="AZ2521" s="49">
        <v>49190</v>
      </c>
      <c r="BA2521" s="49">
        <v>49190</v>
      </c>
    </row>
    <row r="2522" spans="23:53" ht="16.2" customHeight="1" x14ac:dyDescent="0.4">
      <c r="W2522" s="49">
        <v>49196</v>
      </c>
      <c r="X2522" s="49">
        <v>49196</v>
      </c>
      <c r="Y2522" s="49">
        <v>49196</v>
      </c>
      <c r="AY2522" s="49">
        <v>49196</v>
      </c>
      <c r="AZ2522" s="49">
        <v>49196</v>
      </c>
      <c r="BA2522" s="49">
        <v>49196</v>
      </c>
    </row>
    <row r="2523" spans="23:53" ht="16.2" customHeight="1" x14ac:dyDescent="0.4">
      <c r="W2523" s="49">
        <v>49197</v>
      </c>
      <c r="X2523" s="49">
        <v>49197</v>
      </c>
      <c r="Y2523" s="49">
        <v>49197</v>
      </c>
      <c r="AY2523" s="49">
        <v>49197</v>
      </c>
      <c r="AZ2523" s="49">
        <v>49197</v>
      </c>
      <c r="BA2523" s="49">
        <v>49197</v>
      </c>
    </row>
    <row r="2524" spans="23:53" ht="16.2" customHeight="1" x14ac:dyDescent="0.4">
      <c r="W2524" s="49">
        <v>49203</v>
      </c>
      <c r="X2524" s="49">
        <v>49203</v>
      </c>
      <c r="Y2524" s="49">
        <v>49203</v>
      </c>
      <c r="AY2524" s="49">
        <v>49203</v>
      </c>
      <c r="AZ2524" s="49">
        <v>49203</v>
      </c>
      <c r="BA2524" s="49">
        <v>49203</v>
      </c>
    </row>
    <row r="2525" spans="23:53" ht="16.2" customHeight="1" x14ac:dyDescent="0.4">
      <c r="W2525" s="49">
        <v>49204</v>
      </c>
      <c r="X2525" s="49">
        <v>49204</v>
      </c>
      <c r="Y2525" s="49">
        <v>49204</v>
      </c>
      <c r="AY2525" s="49">
        <v>49204</v>
      </c>
      <c r="AZ2525" s="49">
        <v>49204</v>
      </c>
      <c r="BA2525" s="49">
        <v>49204</v>
      </c>
    </row>
    <row r="2526" spans="23:53" ht="16.2" customHeight="1" x14ac:dyDescent="0.4">
      <c r="W2526" s="49">
        <v>49210</v>
      </c>
      <c r="X2526" s="49">
        <v>49210</v>
      </c>
      <c r="Y2526" s="49">
        <v>49210</v>
      </c>
      <c r="AY2526" s="49">
        <v>49210</v>
      </c>
      <c r="AZ2526" s="49">
        <v>49210</v>
      </c>
      <c r="BA2526" s="49">
        <v>49210</v>
      </c>
    </row>
    <row r="2527" spans="23:53" ht="16.2" customHeight="1" x14ac:dyDescent="0.4">
      <c r="W2527" s="49">
        <v>49211</v>
      </c>
      <c r="X2527" s="49">
        <v>49211</v>
      </c>
      <c r="Y2527" s="49">
        <v>49211</v>
      </c>
      <c r="AY2527" s="49">
        <v>49211</v>
      </c>
      <c r="AZ2527" s="49">
        <v>49211</v>
      </c>
      <c r="BA2527" s="49">
        <v>49211</v>
      </c>
    </row>
    <row r="2528" spans="23:53" ht="16.2" customHeight="1" x14ac:dyDescent="0.4">
      <c r="W2528" s="49">
        <v>49213</v>
      </c>
      <c r="X2528" s="49">
        <v>49213</v>
      </c>
      <c r="Y2528" s="49">
        <v>49213</v>
      </c>
      <c r="AY2528" s="49">
        <v>49213</v>
      </c>
      <c r="AZ2528" s="49">
        <v>49213</v>
      </c>
      <c r="BA2528" s="49">
        <v>49213</v>
      </c>
    </row>
    <row r="2529" spans="23:53" ht="16.2" customHeight="1" x14ac:dyDescent="0.4">
      <c r="W2529" s="49">
        <v>49214</v>
      </c>
      <c r="X2529" s="49">
        <v>49214</v>
      </c>
      <c r="Y2529" s="49">
        <v>49214</v>
      </c>
      <c r="AY2529" s="49">
        <v>49214</v>
      </c>
      <c r="AZ2529" s="49">
        <v>49214</v>
      </c>
      <c r="BA2529" s="49">
        <v>49214</v>
      </c>
    </row>
    <row r="2530" spans="23:53" ht="16.2" customHeight="1" x14ac:dyDescent="0.4">
      <c r="W2530" s="49">
        <v>49215</v>
      </c>
      <c r="X2530" s="49">
        <v>49215</v>
      </c>
      <c r="Y2530" s="49">
        <v>49215</v>
      </c>
      <c r="AY2530" s="49">
        <v>49215</v>
      </c>
      <c r="AZ2530" s="49">
        <v>49215</v>
      </c>
      <c r="BA2530" s="49">
        <v>49215</v>
      </c>
    </row>
    <row r="2531" spans="23:53" ht="16.2" customHeight="1" x14ac:dyDescent="0.4">
      <c r="W2531" s="49">
        <v>49217</v>
      </c>
      <c r="X2531" s="49">
        <v>49217</v>
      </c>
      <c r="Y2531" s="49">
        <v>49217</v>
      </c>
      <c r="AY2531" s="49">
        <v>49217</v>
      </c>
      <c r="AZ2531" s="49">
        <v>49217</v>
      </c>
      <c r="BA2531" s="49">
        <v>49217</v>
      </c>
    </row>
    <row r="2532" spans="23:53" ht="16.2" customHeight="1" x14ac:dyDescent="0.4">
      <c r="W2532" s="49">
        <v>49218</v>
      </c>
      <c r="X2532" s="49">
        <v>49218</v>
      </c>
      <c r="Y2532" s="49">
        <v>49218</v>
      </c>
      <c r="AY2532" s="49">
        <v>49218</v>
      </c>
      <c r="AZ2532" s="49">
        <v>49218</v>
      </c>
      <c r="BA2532" s="49">
        <v>49218</v>
      </c>
    </row>
    <row r="2533" spans="23:53" ht="16.2" customHeight="1" x14ac:dyDescent="0.4">
      <c r="W2533" s="49">
        <v>49220</v>
      </c>
      <c r="X2533" s="49">
        <v>49220</v>
      </c>
      <c r="Y2533" s="49">
        <v>49220</v>
      </c>
      <c r="AY2533" s="49">
        <v>49220</v>
      </c>
      <c r="AZ2533" s="49">
        <v>49220</v>
      </c>
      <c r="BA2533" s="49">
        <v>49220</v>
      </c>
    </row>
    <row r="2534" spans="23:53" ht="16.2" customHeight="1" x14ac:dyDescent="0.4">
      <c r="W2534" s="49">
        <v>49224</v>
      </c>
      <c r="X2534" s="49">
        <v>49224</v>
      </c>
      <c r="Y2534" s="49">
        <v>49224</v>
      </c>
      <c r="AY2534" s="49">
        <v>49224</v>
      </c>
      <c r="AZ2534" s="49">
        <v>49224</v>
      </c>
      <c r="BA2534" s="49">
        <v>49224</v>
      </c>
    </row>
    <row r="2535" spans="23:53" ht="16.2" customHeight="1" x14ac:dyDescent="0.4">
      <c r="W2535" s="49">
        <v>49225</v>
      </c>
      <c r="X2535" s="49">
        <v>49225</v>
      </c>
      <c r="Y2535" s="49">
        <v>49225</v>
      </c>
      <c r="AY2535" s="49">
        <v>49225</v>
      </c>
      <c r="AZ2535" s="49">
        <v>49225</v>
      </c>
      <c r="BA2535" s="49">
        <v>49225</v>
      </c>
    </row>
    <row r="2536" spans="23:53" ht="16.2" customHeight="1" x14ac:dyDescent="0.4">
      <c r="W2536" s="49">
        <v>49226</v>
      </c>
      <c r="X2536" s="49">
        <v>49226</v>
      </c>
      <c r="Y2536" s="49">
        <v>49226</v>
      </c>
      <c r="AY2536" s="49">
        <v>49226</v>
      </c>
      <c r="AZ2536" s="49">
        <v>49226</v>
      </c>
      <c r="BA2536" s="49">
        <v>49226</v>
      </c>
    </row>
    <row r="2537" spans="23:53" ht="16.2" customHeight="1" x14ac:dyDescent="0.4">
      <c r="W2537" s="49">
        <v>49231</v>
      </c>
      <c r="X2537" s="49">
        <v>49231</v>
      </c>
      <c r="Y2537" s="49">
        <v>49231</v>
      </c>
      <c r="AY2537" s="49">
        <v>49231</v>
      </c>
      <c r="AZ2537" s="49">
        <v>49231</v>
      </c>
      <c r="BA2537" s="49">
        <v>49231</v>
      </c>
    </row>
    <row r="2538" spans="23:53" ht="16.2" customHeight="1" x14ac:dyDescent="0.4">
      <c r="W2538" s="49">
        <v>49232</v>
      </c>
      <c r="X2538" s="49">
        <v>49232</v>
      </c>
      <c r="Y2538" s="49">
        <v>49232</v>
      </c>
      <c r="AY2538" s="49">
        <v>49232</v>
      </c>
      <c r="AZ2538" s="49">
        <v>49232</v>
      </c>
      <c r="BA2538" s="49">
        <v>49232</v>
      </c>
    </row>
    <row r="2539" spans="23:53" ht="16.2" customHeight="1" x14ac:dyDescent="0.4">
      <c r="W2539" s="49">
        <v>49238</v>
      </c>
      <c r="X2539" s="49">
        <v>49238</v>
      </c>
      <c r="Y2539" s="49">
        <v>49238</v>
      </c>
      <c r="AY2539" s="49">
        <v>49238</v>
      </c>
      <c r="AZ2539" s="49">
        <v>49238</v>
      </c>
      <c r="BA2539" s="49">
        <v>49238</v>
      </c>
    </row>
    <row r="2540" spans="23:53" ht="16.2" customHeight="1" x14ac:dyDescent="0.4">
      <c r="W2540" s="49">
        <v>49239</v>
      </c>
      <c r="X2540" s="49">
        <v>49239</v>
      </c>
      <c r="Y2540" s="49">
        <v>49239</v>
      </c>
      <c r="AY2540" s="49">
        <v>49239</v>
      </c>
      <c r="AZ2540" s="49">
        <v>49239</v>
      </c>
      <c r="BA2540" s="49">
        <v>49239</v>
      </c>
    </row>
    <row r="2541" spans="23:53" ht="16.2" customHeight="1" x14ac:dyDescent="0.4">
      <c r="W2541" s="49">
        <v>49245</v>
      </c>
      <c r="X2541" s="49">
        <v>49245</v>
      </c>
      <c r="Y2541" s="49">
        <v>49245</v>
      </c>
      <c r="AY2541" s="49">
        <v>49245</v>
      </c>
      <c r="AZ2541" s="49">
        <v>49245</v>
      </c>
      <c r="BA2541" s="49">
        <v>49245</v>
      </c>
    </row>
    <row r="2542" spans="23:53" ht="16.2" customHeight="1" x14ac:dyDescent="0.4">
      <c r="W2542" s="49">
        <v>49246</v>
      </c>
      <c r="X2542" s="49">
        <v>49246</v>
      </c>
      <c r="Y2542" s="49">
        <v>49246</v>
      </c>
      <c r="AY2542" s="49">
        <v>49246</v>
      </c>
      <c r="AZ2542" s="49">
        <v>49246</v>
      </c>
      <c r="BA2542" s="49">
        <v>49246</v>
      </c>
    </row>
    <row r="2543" spans="23:53" ht="16.2" customHeight="1" x14ac:dyDescent="0.4">
      <c r="W2543" s="49">
        <v>49252</v>
      </c>
      <c r="X2543" s="49">
        <v>49252</v>
      </c>
      <c r="Y2543" s="49">
        <v>49252</v>
      </c>
      <c r="AY2543" s="49">
        <v>49252</v>
      </c>
      <c r="AZ2543" s="49">
        <v>49252</v>
      </c>
      <c r="BA2543" s="49">
        <v>49252</v>
      </c>
    </row>
    <row r="2544" spans="23:53" ht="16.2" customHeight="1" x14ac:dyDescent="0.4">
      <c r="W2544" s="49">
        <v>49253</v>
      </c>
      <c r="X2544" s="49">
        <v>49253</v>
      </c>
      <c r="Y2544" s="49">
        <v>49253</v>
      </c>
      <c r="AY2544" s="49">
        <v>49253</v>
      </c>
      <c r="AZ2544" s="49">
        <v>49253</v>
      </c>
      <c r="BA2544" s="49">
        <v>49253</v>
      </c>
    </row>
    <row r="2545" spans="23:53" ht="16.2" customHeight="1" x14ac:dyDescent="0.4">
      <c r="W2545" s="49">
        <v>49259</v>
      </c>
      <c r="X2545" s="49">
        <v>49259</v>
      </c>
      <c r="Y2545" s="49">
        <v>49259</v>
      </c>
      <c r="AY2545" s="49">
        <v>49259</v>
      </c>
      <c r="AZ2545" s="49">
        <v>49259</v>
      </c>
      <c r="BA2545" s="49">
        <v>49259</v>
      </c>
    </row>
    <row r="2546" spans="23:53" ht="16.2" customHeight="1" x14ac:dyDescent="0.4">
      <c r="W2546" s="49">
        <v>49260</v>
      </c>
      <c r="X2546" s="49">
        <v>49260</v>
      </c>
      <c r="Y2546" s="49">
        <v>49260</v>
      </c>
      <c r="AY2546" s="49">
        <v>49260</v>
      </c>
      <c r="AZ2546" s="49">
        <v>49260</v>
      </c>
      <c r="BA2546" s="49">
        <v>49260</v>
      </c>
    </row>
    <row r="2547" spans="23:53" ht="16.2" customHeight="1" x14ac:dyDescent="0.4">
      <c r="W2547" s="49">
        <v>49266</v>
      </c>
      <c r="X2547" s="49">
        <v>49266</v>
      </c>
      <c r="Y2547" s="49">
        <v>49266</v>
      </c>
      <c r="AY2547" s="49">
        <v>49266</v>
      </c>
      <c r="AZ2547" s="49">
        <v>49266</v>
      </c>
      <c r="BA2547" s="49">
        <v>49266</v>
      </c>
    </row>
    <row r="2548" spans="23:53" ht="16.2" customHeight="1" x14ac:dyDescent="0.4">
      <c r="W2548" s="49">
        <v>49267</v>
      </c>
      <c r="X2548" s="49">
        <v>49267</v>
      </c>
      <c r="Y2548" s="49">
        <v>49267</v>
      </c>
      <c r="AY2548" s="49">
        <v>49267</v>
      </c>
      <c r="AZ2548" s="49">
        <v>49267</v>
      </c>
      <c r="BA2548" s="49">
        <v>49267</v>
      </c>
    </row>
    <row r="2549" spans="23:53" ht="16.2" customHeight="1" x14ac:dyDescent="0.4">
      <c r="W2549" s="49">
        <v>49273</v>
      </c>
      <c r="X2549" s="49">
        <v>49273</v>
      </c>
      <c r="Y2549" s="49">
        <v>49273</v>
      </c>
      <c r="AY2549" s="49">
        <v>49273</v>
      </c>
      <c r="AZ2549" s="49">
        <v>49273</v>
      </c>
      <c r="BA2549" s="49">
        <v>49273</v>
      </c>
    </row>
    <row r="2550" spans="23:53" ht="16.2" customHeight="1" x14ac:dyDescent="0.4">
      <c r="W2550" s="49">
        <v>49274</v>
      </c>
      <c r="X2550" s="49">
        <v>49274</v>
      </c>
      <c r="Y2550" s="49">
        <v>49274</v>
      </c>
      <c r="AY2550" s="49">
        <v>49274</v>
      </c>
      <c r="AZ2550" s="49">
        <v>49274</v>
      </c>
      <c r="BA2550" s="49">
        <v>49274</v>
      </c>
    </row>
    <row r="2551" spans="23:53" ht="16.2" customHeight="1" x14ac:dyDescent="0.4">
      <c r="W2551" s="49">
        <v>49280</v>
      </c>
      <c r="X2551" s="49">
        <v>49280</v>
      </c>
      <c r="Y2551" s="49">
        <v>49280</v>
      </c>
      <c r="AY2551" s="49">
        <v>49280</v>
      </c>
      <c r="AZ2551" s="49">
        <v>49280</v>
      </c>
      <c r="BA2551" s="49">
        <v>49280</v>
      </c>
    </row>
    <row r="2552" spans="23:53" ht="16.2" customHeight="1" x14ac:dyDescent="0.4">
      <c r="W2552" s="49">
        <v>49281</v>
      </c>
      <c r="X2552" s="49">
        <v>49281</v>
      </c>
      <c r="Y2552" s="49">
        <v>49281</v>
      </c>
      <c r="AY2552" s="49">
        <v>49281</v>
      </c>
      <c r="AZ2552" s="49">
        <v>49281</v>
      </c>
      <c r="BA2552" s="49">
        <v>49281</v>
      </c>
    </row>
    <row r="2553" spans="23:53" ht="16.2" customHeight="1" x14ac:dyDescent="0.4">
      <c r="W2553" s="49">
        <v>49287</v>
      </c>
      <c r="X2553" s="49">
        <v>49287</v>
      </c>
      <c r="Y2553" s="49">
        <v>49287</v>
      </c>
      <c r="AY2553" s="49">
        <v>49287</v>
      </c>
      <c r="AZ2553" s="49">
        <v>49287</v>
      </c>
      <c r="BA2553" s="49">
        <v>49287</v>
      </c>
    </row>
    <row r="2554" spans="23:53" ht="16.2" customHeight="1" x14ac:dyDescent="0.4">
      <c r="W2554" s="49">
        <v>49288</v>
      </c>
      <c r="X2554" s="49">
        <v>49288</v>
      </c>
      <c r="Y2554" s="49">
        <v>49288</v>
      </c>
      <c r="AY2554" s="49">
        <v>49288</v>
      </c>
      <c r="AZ2554" s="49">
        <v>49288</v>
      </c>
      <c r="BA2554" s="49">
        <v>49288</v>
      </c>
    </row>
    <row r="2555" spans="23:53" ht="16.2" customHeight="1" x14ac:dyDescent="0.4">
      <c r="W2555" s="49">
        <v>49294</v>
      </c>
      <c r="X2555" s="49">
        <v>49294</v>
      </c>
      <c r="Y2555" s="49">
        <v>49294</v>
      </c>
      <c r="AY2555" s="49">
        <v>49294</v>
      </c>
      <c r="AZ2555" s="49">
        <v>49294</v>
      </c>
      <c r="BA2555" s="49">
        <v>49294</v>
      </c>
    </row>
    <row r="2556" spans="23:53" ht="16.2" customHeight="1" x14ac:dyDescent="0.4">
      <c r="W2556" s="49">
        <v>49295</v>
      </c>
      <c r="X2556" s="49">
        <v>49295</v>
      </c>
      <c r="Y2556" s="49">
        <v>49295</v>
      </c>
      <c r="AY2556" s="49">
        <v>49295</v>
      </c>
      <c r="AZ2556" s="49">
        <v>49295</v>
      </c>
      <c r="BA2556" s="49">
        <v>49295</v>
      </c>
    </row>
    <row r="2557" spans="23:53" ht="16.2" customHeight="1" x14ac:dyDescent="0.4">
      <c r="W2557" s="49">
        <v>49301</v>
      </c>
      <c r="X2557" s="49">
        <v>49301</v>
      </c>
      <c r="Y2557" s="49">
        <v>49301</v>
      </c>
      <c r="AY2557" s="49">
        <v>49301</v>
      </c>
      <c r="AZ2557" s="49">
        <v>49301</v>
      </c>
      <c r="BA2557" s="49">
        <v>49301</v>
      </c>
    </row>
    <row r="2558" spans="23:53" ht="16.2" customHeight="1" x14ac:dyDescent="0.4">
      <c r="W2558" s="49">
        <v>49302</v>
      </c>
      <c r="X2558" s="49">
        <v>49302</v>
      </c>
      <c r="Y2558" s="49">
        <v>49302</v>
      </c>
      <c r="AY2558" s="49">
        <v>49302</v>
      </c>
      <c r="AZ2558" s="49">
        <v>49302</v>
      </c>
      <c r="BA2558" s="49">
        <v>49302</v>
      </c>
    </row>
    <row r="2559" spans="23:53" ht="16.2" customHeight="1" x14ac:dyDescent="0.4">
      <c r="W2559" s="49">
        <v>49303</v>
      </c>
      <c r="X2559" s="49">
        <v>49303</v>
      </c>
      <c r="Y2559" s="49">
        <v>49303</v>
      </c>
      <c r="AY2559" s="49">
        <v>49303</v>
      </c>
      <c r="AZ2559" s="49">
        <v>49303</v>
      </c>
      <c r="BA2559" s="49">
        <v>49303</v>
      </c>
    </row>
    <row r="2560" spans="23:53" ht="16.2" customHeight="1" x14ac:dyDescent="0.4">
      <c r="W2560" s="49">
        <v>49308</v>
      </c>
      <c r="X2560" s="49">
        <v>49308</v>
      </c>
      <c r="Y2560" s="49">
        <v>49308</v>
      </c>
      <c r="AY2560" s="49">
        <v>49308</v>
      </c>
      <c r="AZ2560" s="49">
        <v>49308</v>
      </c>
      <c r="BA2560" s="49">
        <v>49308</v>
      </c>
    </row>
    <row r="2561" spans="23:53" ht="16.2" customHeight="1" x14ac:dyDescent="0.4">
      <c r="W2561" s="49">
        <v>49309</v>
      </c>
      <c r="X2561" s="49">
        <v>49309</v>
      </c>
      <c r="Y2561" s="49">
        <v>49309</v>
      </c>
      <c r="AY2561" s="49">
        <v>49309</v>
      </c>
      <c r="AZ2561" s="49">
        <v>49309</v>
      </c>
      <c r="BA2561" s="49">
        <v>49309</v>
      </c>
    </row>
    <row r="2562" spans="23:53" ht="16.2" customHeight="1" x14ac:dyDescent="0.4">
      <c r="W2562" s="49">
        <v>49310</v>
      </c>
      <c r="X2562" s="49">
        <v>49310</v>
      </c>
      <c r="Y2562" s="49">
        <v>49310</v>
      </c>
      <c r="AY2562" s="49">
        <v>49310</v>
      </c>
      <c r="AZ2562" s="49">
        <v>49310</v>
      </c>
      <c r="BA2562" s="49">
        <v>49310</v>
      </c>
    </row>
    <row r="2563" spans="23:53" ht="16.2" customHeight="1" x14ac:dyDescent="0.4">
      <c r="W2563" s="49">
        <v>49315</v>
      </c>
      <c r="X2563" s="49">
        <v>49315</v>
      </c>
      <c r="Y2563" s="49">
        <v>49315</v>
      </c>
      <c r="AY2563" s="49">
        <v>49315</v>
      </c>
      <c r="AZ2563" s="49">
        <v>49315</v>
      </c>
      <c r="BA2563" s="49">
        <v>49315</v>
      </c>
    </row>
    <row r="2564" spans="23:53" ht="16.2" customHeight="1" x14ac:dyDescent="0.4">
      <c r="W2564" s="49">
        <v>49316</v>
      </c>
      <c r="X2564" s="49">
        <v>49316</v>
      </c>
      <c r="Y2564" s="49">
        <v>49316</v>
      </c>
      <c r="AY2564" s="49">
        <v>49316</v>
      </c>
      <c r="AZ2564" s="49">
        <v>49316</v>
      </c>
      <c r="BA2564" s="49">
        <v>49316</v>
      </c>
    </row>
    <row r="2565" spans="23:53" ht="16.2" customHeight="1" x14ac:dyDescent="0.4">
      <c r="W2565" s="49">
        <v>49322</v>
      </c>
      <c r="X2565" s="49">
        <v>49322</v>
      </c>
      <c r="Y2565" s="49">
        <v>49322</v>
      </c>
      <c r="AY2565" s="49">
        <v>49322</v>
      </c>
      <c r="AZ2565" s="49">
        <v>49322</v>
      </c>
      <c r="BA2565" s="49">
        <v>49322</v>
      </c>
    </row>
    <row r="2566" spans="23:53" ht="16.2" customHeight="1" x14ac:dyDescent="0.4">
      <c r="W2566" s="49">
        <v>49323</v>
      </c>
      <c r="X2566" s="49">
        <v>49323</v>
      </c>
      <c r="Y2566" s="49">
        <v>49323</v>
      </c>
      <c r="AY2566" s="49">
        <v>49323</v>
      </c>
      <c r="AZ2566" s="49">
        <v>49323</v>
      </c>
      <c r="BA2566" s="49">
        <v>49323</v>
      </c>
    </row>
    <row r="2567" spans="23:53" ht="16.2" customHeight="1" x14ac:dyDescent="0.4">
      <c r="W2567" s="49">
        <v>49329</v>
      </c>
      <c r="X2567" s="49">
        <v>49329</v>
      </c>
      <c r="Y2567" s="49">
        <v>49329</v>
      </c>
      <c r="AY2567" s="49">
        <v>49329</v>
      </c>
      <c r="AZ2567" s="49">
        <v>49329</v>
      </c>
      <c r="BA2567" s="49">
        <v>49329</v>
      </c>
    </row>
    <row r="2568" spans="23:53" ht="16.2" customHeight="1" x14ac:dyDescent="0.4">
      <c r="W2568" s="49">
        <v>49330</v>
      </c>
      <c r="X2568" s="49">
        <v>49330</v>
      </c>
      <c r="Y2568" s="49">
        <v>49330</v>
      </c>
      <c r="AY2568" s="49">
        <v>49330</v>
      </c>
      <c r="AZ2568" s="49">
        <v>49330</v>
      </c>
      <c r="BA2568" s="49">
        <v>49330</v>
      </c>
    </row>
    <row r="2569" spans="23:53" ht="16.2" customHeight="1" x14ac:dyDescent="0.4">
      <c r="W2569" s="49">
        <v>49336</v>
      </c>
      <c r="X2569" s="49">
        <v>49336</v>
      </c>
      <c r="Y2569" s="49">
        <v>49336</v>
      </c>
      <c r="AY2569" s="49">
        <v>49336</v>
      </c>
      <c r="AZ2569" s="49">
        <v>49336</v>
      </c>
      <c r="BA2569" s="49">
        <v>49336</v>
      </c>
    </row>
    <row r="2570" spans="23:53" ht="16.2" customHeight="1" x14ac:dyDescent="0.4">
      <c r="W2570" s="49">
        <v>49337</v>
      </c>
      <c r="X2570" s="49">
        <v>49337</v>
      </c>
      <c r="Y2570" s="49">
        <v>49337</v>
      </c>
      <c r="AY2570" s="49">
        <v>49337</v>
      </c>
      <c r="AZ2570" s="49">
        <v>49337</v>
      </c>
      <c r="BA2570" s="49">
        <v>49337</v>
      </c>
    </row>
    <row r="2571" spans="23:53" ht="16.2" customHeight="1" x14ac:dyDescent="0.4">
      <c r="W2571" s="49">
        <v>49343</v>
      </c>
      <c r="X2571" s="49">
        <v>49343</v>
      </c>
      <c r="Y2571" s="49">
        <v>49343</v>
      </c>
      <c r="AY2571" s="49">
        <v>49343</v>
      </c>
      <c r="AZ2571" s="49">
        <v>49343</v>
      </c>
      <c r="BA2571" s="49">
        <v>49343</v>
      </c>
    </row>
    <row r="2572" spans="23:53" ht="16.2" customHeight="1" x14ac:dyDescent="0.4">
      <c r="W2572" s="49">
        <v>49344</v>
      </c>
      <c r="X2572" s="49">
        <v>49344</v>
      </c>
      <c r="Y2572" s="49">
        <v>49344</v>
      </c>
      <c r="AY2572" s="49">
        <v>49344</v>
      </c>
      <c r="AZ2572" s="49">
        <v>49344</v>
      </c>
      <c r="BA2572" s="49">
        <v>49344</v>
      </c>
    </row>
    <row r="2573" spans="23:53" ht="16.2" customHeight="1" x14ac:dyDescent="0.4">
      <c r="W2573" s="49">
        <v>49347</v>
      </c>
      <c r="X2573" s="49">
        <v>49347</v>
      </c>
      <c r="Y2573" s="49">
        <v>49347</v>
      </c>
      <c r="AY2573" s="49">
        <v>49347</v>
      </c>
      <c r="AZ2573" s="49">
        <v>49347</v>
      </c>
      <c r="BA2573" s="49">
        <v>49347</v>
      </c>
    </row>
    <row r="2574" spans="23:53" ht="16.2" customHeight="1" x14ac:dyDescent="0.4">
      <c r="W2574" s="49">
        <v>49348</v>
      </c>
      <c r="X2574" s="49">
        <v>49348</v>
      </c>
      <c r="Y2574" s="49">
        <v>49348</v>
      </c>
      <c r="AY2574" s="49">
        <v>49348</v>
      </c>
      <c r="AZ2574" s="49">
        <v>49348</v>
      </c>
      <c r="BA2574" s="49">
        <v>49348</v>
      </c>
    </row>
    <row r="2575" spans="23:53" ht="16.2" customHeight="1" x14ac:dyDescent="0.4">
      <c r="W2575" s="49">
        <v>49349</v>
      </c>
      <c r="X2575" s="49">
        <v>49349</v>
      </c>
      <c r="Y2575" s="49">
        <v>49349</v>
      </c>
      <c r="AY2575" s="49">
        <v>49349</v>
      </c>
      <c r="AZ2575" s="49">
        <v>49349</v>
      </c>
      <c r="BA2575" s="49">
        <v>49349</v>
      </c>
    </row>
    <row r="2576" spans="23:53" ht="16.2" customHeight="1" x14ac:dyDescent="0.4">
      <c r="W2576" s="49">
        <v>49350</v>
      </c>
      <c r="X2576" s="49">
        <v>49350</v>
      </c>
      <c r="Y2576" s="49">
        <v>49350</v>
      </c>
      <c r="AY2576" s="49">
        <v>49350</v>
      </c>
      <c r="AZ2576" s="49">
        <v>49350</v>
      </c>
      <c r="BA2576" s="49">
        <v>49350</v>
      </c>
    </row>
    <row r="2577" spans="23:53" ht="16.2" customHeight="1" x14ac:dyDescent="0.4">
      <c r="W2577" s="49">
        <v>49351</v>
      </c>
      <c r="X2577" s="49">
        <v>49351</v>
      </c>
      <c r="Y2577" s="49">
        <v>49351</v>
      </c>
      <c r="AY2577" s="49">
        <v>49351</v>
      </c>
      <c r="AZ2577" s="49">
        <v>49351</v>
      </c>
      <c r="BA2577" s="49">
        <v>49351</v>
      </c>
    </row>
    <row r="2578" spans="23:53" ht="16.2" customHeight="1" x14ac:dyDescent="0.4">
      <c r="W2578" s="49">
        <v>49357</v>
      </c>
      <c r="X2578" s="49">
        <v>49357</v>
      </c>
      <c r="Y2578" s="49">
        <v>49357</v>
      </c>
      <c r="AY2578" s="49">
        <v>49357</v>
      </c>
      <c r="AZ2578" s="49">
        <v>49357</v>
      </c>
      <c r="BA2578" s="49">
        <v>49357</v>
      </c>
    </row>
    <row r="2579" spans="23:53" ht="16.2" customHeight="1" x14ac:dyDescent="0.4">
      <c r="W2579" s="49">
        <v>49358</v>
      </c>
      <c r="X2579" s="49">
        <v>49358</v>
      </c>
      <c r="Y2579" s="49">
        <v>49358</v>
      </c>
      <c r="AY2579" s="49">
        <v>49358</v>
      </c>
      <c r="AZ2579" s="49">
        <v>49358</v>
      </c>
      <c r="BA2579" s="49">
        <v>49358</v>
      </c>
    </row>
    <row r="2580" spans="23:53" ht="16.2" customHeight="1" x14ac:dyDescent="0.4">
      <c r="W2580" s="49">
        <v>49364</v>
      </c>
      <c r="X2580" s="49">
        <v>49364</v>
      </c>
      <c r="Y2580" s="49">
        <v>49364</v>
      </c>
      <c r="AY2580" s="49">
        <v>49364</v>
      </c>
      <c r="AZ2580" s="49">
        <v>49364</v>
      </c>
      <c r="BA2580" s="49">
        <v>49364</v>
      </c>
    </row>
    <row r="2581" spans="23:53" ht="16.2" customHeight="1" x14ac:dyDescent="0.4">
      <c r="W2581" s="49">
        <v>49365</v>
      </c>
      <c r="X2581" s="49">
        <v>49365</v>
      </c>
      <c r="Y2581" s="49">
        <v>49365</v>
      </c>
      <c r="AY2581" s="49">
        <v>49365</v>
      </c>
      <c r="AZ2581" s="49">
        <v>49365</v>
      </c>
      <c r="BA2581" s="49">
        <v>49365</v>
      </c>
    </row>
    <row r="2582" spans="23:53" ht="16.2" customHeight="1" x14ac:dyDescent="0.4">
      <c r="W2582" s="49">
        <v>49369</v>
      </c>
      <c r="X2582" s="49">
        <v>49369</v>
      </c>
      <c r="Y2582" s="49">
        <v>49369</v>
      </c>
      <c r="AY2582" s="49">
        <v>49369</v>
      </c>
      <c r="AZ2582" s="49">
        <v>49369</v>
      </c>
      <c r="BA2582" s="49">
        <v>49369</v>
      </c>
    </row>
    <row r="2583" spans="23:53" ht="16.2" customHeight="1" x14ac:dyDescent="0.4">
      <c r="W2583" s="49">
        <v>49371</v>
      </c>
      <c r="X2583" s="49">
        <v>49371</v>
      </c>
      <c r="Y2583" s="49">
        <v>49371</v>
      </c>
      <c r="AY2583" s="49">
        <v>49371</v>
      </c>
      <c r="AZ2583" s="49">
        <v>49371</v>
      </c>
      <c r="BA2583" s="49">
        <v>49371</v>
      </c>
    </row>
    <row r="2584" spans="23:53" ht="16.2" customHeight="1" x14ac:dyDescent="0.4">
      <c r="W2584" s="49">
        <v>49372</v>
      </c>
      <c r="X2584" s="49">
        <v>49372</v>
      </c>
      <c r="Y2584" s="49">
        <v>49372</v>
      </c>
      <c r="AY2584" s="49">
        <v>49372</v>
      </c>
      <c r="AZ2584" s="49">
        <v>49372</v>
      </c>
      <c r="BA2584" s="49">
        <v>49372</v>
      </c>
    </row>
    <row r="2585" spans="23:53" ht="16.2" customHeight="1" x14ac:dyDescent="0.4">
      <c r="W2585" s="49">
        <v>49378</v>
      </c>
      <c r="X2585" s="49">
        <v>49378</v>
      </c>
      <c r="Y2585" s="49">
        <v>49378</v>
      </c>
      <c r="AY2585" s="49">
        <v>49378</v>
      </c>
      <c r="AZ2585" s="49">
        <v>49378</v>
      </c>
      <c r="BA2585" s="49">
        <v>49378</v>
      </c>
    </row>
    <row r="2586" spans="23:53" ht="16.2" customHeight="1" x14ac:dyDescent="0.4">
      <c r="W2586" s="49">
        <v>49379</v>
      </c>
      <c r="X2586" s="49">
        <v>49379</v>
      </c>
      <c r="Y2586" s="49">
        <v>49379</v>
      </c>
      <c r="AY2586" s="49">
        <v>49379</v>
      </c>
      <c r="AZ2586" s="49">
        <v>49379</v>
      </c>
      <c r="BA2586" s="49">
        <v>49379</v>
      </c>
    </row>
    <row r="2587" spans="23:53" ht="16.2" customHeight="1" x14ac:dyDescent="0.4">
      <c r="W2587" s="49">
        <v>49385</v>
      </c>
      <c r="X2587" s="49">
        <v>49385</v>
      </c>
      <c r="Y2587" s="49">
        <v>49385</v>
      </c>
      <c r="AY2587" s="49">
        <v>49385</v>
      </c>
      <c r="AZ2587" s="49">
        <v>49385</v>
      </c>
      <c r="BA2587" s="49">
        <v>49385</v>
      </c>
    </row>
    <row r="2588" spans="23:53" ht="16.2" customHeight="1" x14ac:dyDescent="0.4">
      <c r="W2588" s="49">
        <v>49386</v>
      </c>
      <c r="X2588" s="49">
        <v>49386</v>
      </c>
      <c r="Y2588" s="49">
        <v>49386</v>
      </c>
      <c r="AY2588" s="49">
        <v>49386</v>
      </c>
      <c r="AZ2588" s="49">
        <v>49386</v>
      </c>
      <c r="BA2588" s="49">
        <v>49386</v>
      </c>
    </row>
    <row r="2589" spans="23:53" ht="16.2" customHeight="1" x14ac:dyDescent="0.4">
      <c r="W2589" s="49">
        <v>49392</v>
      </c>
      <c r="X2589" s="49">
        <v>49392</v>
      </c>
      <c r="Y2589" s="49">
        <v>49392</v>
      </c>
      <c r="AY2589" s="49">
        <v>49392</v>
      </c>
      <c r="AZ2589" s="49">
        <v>49392</v>
      </c>
      <c r="BA2589" s="49">
        <v>49392</v>
      </c>
    </row>
    <row r="2590" spans="23:53" ht="16.2" customHeight="1" x14ac:dyDescent="0.4">
      <c r="W2590" s="49">
        <v>49393</v>
      </c>
      <c r="X2590" s="49">
        <v>49393</v>
      </c>
      <c r="Y2590" s="49">
        <v>49393</v>
      </c>
      <c r="AY2590" s="49">
        <v>49393</v>
      </c>
      <c r="AZ2590" s="49">
        <v>49393</v>
      </c>
      <c r="BA2590" s="49">
        <v>49393</v>
      </c>
    </row>
    <row r="2591" spans="23:53" ht="16.2" customHeight="1" x14ac:dyDescent="0.4">
      <c r="W2591" s="49">
        <v>49399</v>
      </c>
      <c r="X2591" s="49">
        <v>49399</v>
      </c>
      <c r="Y2591" s="49">
        <v>49399</v>
      </c>
      <c r="AY2591" s="49">
        <v>49399</v>
      </c>
      <c r="AZ2591" s="49">
        <v>49399</v>
      </c>
      <c r="BA2591" s="49">
        <v>49399</v>
      </c>
    </row>
    <row r="2592" spans="23:53" ht="16.2" customHeight="1" x14ac:dyDescent="0.4">
      <c r="W2592" s="49">
        <v>49400</v>
      </c>
      <c r="X2592" s="49">
        <v>49400</v>
      </c>
      <c r="Y2592" s="49">
        <v>49400</v>
      </c>
      <c r="AY2592" s="49">
        <v>49400</v>
      </c>
      <c r="AZ2592" s="49">
        <v>49400</v>
      </c>
      <c r="BA2592" s="49">
        <v>49400</v>
      </c>
    </row>
    <row r="2593" spans="23:53" ht="16.2" customHeight="1" x14ac:dyDescent="0.4">
      <c r="W2593" s="49">
        <v>49406</v>
      </c>
      <c r="X2593" s="49">
        <v>49406</v>
      </c>
      <c r="Y2593" s="49">
        <v>49406</v>
      </c>
      <c r="AY2593" s="49">
        <v>49406</v>
      </c>
      <c r="AZ2593" s="49">
        <v>49406</v>
      </c>
      <c r="BA2593" s="49">
        <v>49406</v>
      </c>
    </row>
    <row r="2594" spans="23:53" ht="16.2" customHeight="1" x14ac:dyDescent="0.4">
      <c r="W2594" s="49">
        <v>49407</v>
      </c>
      <c r="X2594" s="49">
        <v>49407</v>
      </c>
      <c r="Y2594" s="49">
        <v>49407</v>
      </c>
      <c r="AY2594" s="49">
        <v>49407</v>
      </c>
      <c r="AZ2594" s="49">
        <v>49407</v>
      </c>
      <c r="BA2594" s="49">
        <v>49407</v>
      </c>
    </row>
    <row r="2595" spans="23:53" ht="16.2" customHeight="1" x14ac:dyDescent="0.4">
      <c r="W2595" s="49">
        <v>49413</v>
      </c>
      <c r="X2595" s="49">
        <v>49413</v>
      </c>
      <c r="Y2595" s="49">
        <v>49413</v>
      </c>
      <c r="AY2595" s="49">
        <v>49413</v>
      </c>
      <c r="AZ2595" s="49">
        <v>49413</v>
      </c>
      <c r="BA2595" s="49">
        <v>49413</v>
      </c>
    </row>
    <row r="2596" spans="23:53" ht="16.2" customHeight="1" x14ac:dyDescent="0.4">
      <c r="W2596" s="49">
        <v>49414</v>
      </c>
      <c r="X2596" s="49">
        <v>49414</v>
      </c>
      <c r="Y2596" s="49">
        <v>49414</v>
      </c>
      <c r="AY2596" s="49">
        <v>49414</v>
      </c>
      <c r="AZ2596" s="49">
        <v>49414</v>
      </c>
      <c r="BA2596" s="49">
        <v>49414</v>
      </c>
    </row>
    <row r="2597" spans="23:53" ht="16.2" customHeight="1" x14ac:dyDescent="0.4">
      <c r="W2597" s="49">
        <v>49420</v>
      </c>
      <c r="X2597" s="49">
        <v>49420</v>
      </c>
      <c r="Y2597" s="49">
        <v>49420</v>
      </c>
      <c r="AY2597" s="49">
        <v>49420</v>
      </c>
      <c r="AZ2597" s="49">
        <v>49420</v>
      </c>
      <c r="BA2597" s="49">
        <v>49420</v>
      </c>
    </row>
    <row r="2598" spans="23:53" ht="16.2" customHeight="1" x14ac:dyDescent="0.4">
      <c r="W2598" s="49">
        <v>49421</v>
      </c>
      <c r="X2598" s="49">
        <v>49421</v>
      </c>
      <c r="Y2598" s="49">
        <v>49421</v>
      </c>
      <c r="AY2598" s="49">
        <v>49421</v>
      </c>
      <c r="AZ2598" s="49">
        <v>49421</v>
      </c>
      <c r="BA2598" s="49">
        <v>49421</v>
      </c>
    </row>
    <row r="2599" spans="23:53" ht="16.2" customHeight="1" x14ac:dyDescent="0.4">
      <c r="W2599" s="49">
        <v>49427</v>
      </c>
      <c r="X2599" s="49">
        <v>49427</v>
      </c>
      <c r="Y2599" s="49">
        <v>49427</v>
      </c>
      <c r="AY2599" s="49">
        <v>49427</v>
      </c>
      <c r="AZ2599" s="49">
        <v>49427</v>
      </c>
      <c r="BA2599" s="49">
        <v>49427</v>
      </c>
    </row>
    <row r="2600" spans="23:53" ht="16.2" customHeight="1" x14ac:dyDescent="0.4">
      <c r="W2600" s="49">
        <v>49428</v>
      </c>
      <c r="X2600" s="49">
        <v>49428</v>
      </c>
      <c r="Y2600" s="49">
        <v>49428</v>
      </c>
      <c r="AY2600" s="49">
        <v>49428</v>
      </c>
      <c r="AZ2600" s="49">
        <v>49428</v>
      </c>
      <c r="BA2600" s="49">
        <v>49428</v>
      </c>
    </row>
    <row r="2601" spans="23:53" ht="16.2" customHeight="1" x14ac:dyDescent="0.4">
      <c r="W2601" s="49">
        <v>49430</v>
      </c>
      <c r="X2601" s="49">
        <v>49430</v>
      </c>
      <c r="Y2601" s="49">
        <v>49430</v>
      </c>
      <c r="AY2601" s="49">
        <v>49430</v>
      </c>
      <c r="AZ2601" s="49">
        <v>49430</v>
      </c>
      <c r="BA2601" s="49">
        <v>49430</v>
      </c>
    </row>
    <row r="2602" spans="23:53" ht="16.2" customHeight="1" x14ac:dyDescent="0.4">
      <c r="W2602" s="49">
        <v>49435</v>
      </c>
      <c r="X2602" s="49">
        <v>49435</v>
      </c>
      <c r="Y2602" s="49">
        <v>49435</v>
      </c>
      <c r="AY2602" s="49">
        <v>49435</v>
      </c>
      <c r="AZ2602" s="49">
        <v>49435</v>
      </c>
      <c r="BA2602" s="49">
        <v>49435</v>
      </c>
    </row>
    <row r="2603" spans="23:53" ht="16.2" customHeight="1" x14ac:dyDescent="0.4">
      <c r="W2603" s="49">
        <v>49441</v>
      </c>
      <c r="X2603" s="49">
        <v>49441</v>
      </c>
      <c r="Y2603" s="49">
        <v>49441</v>
      </c>
      <c r="AY2603" s="49">
        <v>49441</v>
      </c>
      <c r="AZ2603" s="49">
        <v>49441</v>
      </c>
      <c r="BA2603" s="49">
        <v>49441</v>
      </c>
    </row>
    <row r="2604" spans="23:53" ht="16.2" customHeight="1" x14ac:dyDescent="0.4">
      <c r="W2604" s="49">
        <v>49442</v>
      </c>
      <c r="X2604" s="49">
        <v>49442</v>
      </c>
      <c r="Y2604" s="49">
        <v>49442</v>
      </c>
      <c r="AY2604" s="49">
        <v>49442</v>
      </c>
      <c r="AZ2604" s="49">
        <v>49442</v>
      </c>
      <c r="BA2604" s="49">
        <v>49442</v>
      </c>
    </row>
    <row r="2605" spans="23:53" ht="16.2" customHeight="1" x14ac:dyDescent="0.4">
      <c r="W2605" s="49">
        <v>49444</v>
      </c>
      <c r="X2605" s="49">
        <v>49444</v>
      </c>
      <c r="Y2605" s="49">
        <v>49444</v>
      </c>
      <c r="AY2605" s="49">
        <v>49444</v>
      </c>
      <c r="AZ2605" s="49">
        <v>49444</v>
      </c>
      <c r="BA2605" s="49">
        <v>49444</v>
      </c>
    </row>
    <row r="2606" spans="23:53" ht="16.2" customHeight="1" x14ac:dyDescent="0.4">
      <c r="W2606" s="49">
        <v>49448</v>
      </c>
      <c r="X2606" s="49">
        <v>49448</v>
      </c>
      <c r="Y2606" s="49">
        <v>49448</v>
      </c>
      <c r="AY2606" s="49">
        <v>49448</v>
      </c>
      <c r="AZ2606" s="49">
        <v>49448</v>
      </c>
      <c r="BA2606" s="49">
        <v>49448</v>
      </c>
    </row>
    <row r="2607" spans="23:53" ht="16.2" customHeight="1" x14ac:dyDescent="0.4">
      <c r="W2607" s="49">
        <v>49449</v>
      </c>
      <c r="X2607" s="49">
        <v>49449</v>
      </c>
      <c r="Y2607" s="49">
        <v>49449</v>
      </c>
      <c r="AY2607" s="49">
        <v>49449</v>
      </c>
      <c r="AZ2607" s="49">
        <v>49449</v>
      </c>
      <c r="BA2607" s="49">
        <v>49449</v>
      </c>
    </row>
    <row r="2608" spans="23:53" ht="16.2" customHeight="1" x14ac:dyDescent="0.4">
      <c r="W2608" s="49">
        <v>49455</v>
      </c>
      <c r="X2608" s="49">
        <v>49455</v>
      </c>
      <c r="Y2608" s="49">
        <v>49455</v>
      </c>
      <c r="AY2608" s="49">
        <v>49455</v>
      </c>
      <c r="AZ2608" s="49">
        <v>49455</v>
      </c>
      <c r="BA2608" s="49">
        <v>49455</v>
      </c>
    </row>
    <row r="2609" spans="23:53" ht="16.2" customHeight="1" x14ac:dyDescent="0.4">
      <c r="W2609" s="49">
        <v>49456</v>
      </c>
      <c r="X2609" s="49">
        <v>49456</v>
      </c>
      <c r="Y2609" s="49">
        <v>49456</v>
      </c>
      <c r="AY2609" s="49">
        <v>49456</v>
      </c>
      <c r="AZ2609" s="49">
        <v>49456</v>
      </c>
      <c r="BA2609" s="49">
        <v>49456</v>
      </c>
    </row>
    <row r="2610" spans="23:53" ht="16.2" customHeight="1" x14ac:dyDescent="0.4">
      <c r="W2610" s="49">
        <v>49462</v>
      </c>
      <c r="X2610" s="49">
        <v>49462</v>
      </c>
      <c r="Y2610" s="49">
        <v>49462</v>
      </c>
      <c r="AY2610" s="49">
        <v>49462</v>
      </c>
      <c r="AZ2610" s="49">
        <v>49462</v>
      </c>
      <c r="BA2610" s="49">
        <v>49462</v>
      </c>
    </row>
    <row r="2611" spans="23:53" ht="16.2" customHeight="1" x14ac:dyDescent="0.4">
      <c r="W2611" s="49">
        <v>49463</v>
      </c>
      <c r="X2611" s="49">
        <v>49463</v>
      </c>
      <c r="Y2611" s="49">
        <v>49463</v>
      </c>
      <c r="AY2611" s="49">
        <v>49463</v>
      </c>
      <c r="AZ2611" s="49">
        <v>49463</v>
      </c>
      <c r="BA2611" s="49">
        <v>49463</v>
      </c>
    </row>
    <row r="2612" spans="23:53" ht="16.2" customHeight="1" x14ac:dyDescent="0.4">
      <c r="W2612" s="49">
        <v>49466</v>
      </c>
      <c r="X2612" s="49">
        <v>49466</v>
      </c>
      <c r="Y2612" s="49">
        <v>49466</v>
      </c>
      <c r="AY2612" s="49">
        <v>49466</v>
      </c>
      <c r="AZ2612" s="49">
        <v>49466</v>
      </c>
      <c r="BA2612" s="49">
        <v>49466</v>
      </c>
    </row>
    <row r="2613" spans="23:53" ht="16.2" customHeight="1" x14ac:dyDescent="0.4">
      <c r="W2613" s="49">
        <v>49469</v>
      </c>
      <c r="X2613" s="49">
        <v>49469</v>
      </c>
      <c r="Y2613" s="49">
        <v>49469</v>
      </c>
      <c r="AY2613" s="49">
        <v>49469</v>
      </c>
      <c r="AZ2613" s="49">
        <v>49469</v>
      </c>
      <c r="BA2613" s="49">
        <v>49469</v>
      </c>
    </row>
    <row r="2614" spans="23:53" ht="16.2" customHeight="1" x14ac:dyDescent="0.4">
      <c r="W2614" s="49">
        <v>49470</v>
      </c>
      <c r="X2614" s="49">
        <v>49470</v>
      </c>
      <c r="Y2614" s="49">
        <v>49470</v>
      </c>
      <c r="AY2614" s="49">
        <v>49470</v>
      </c>
      <c r="AZ2614" s="49">
        <v>49470</v>
      </c>
      <c r="BA2614" s="49">
        <v>49470</v>
      </c>
    </row>
    <row r="2615" spans="23:53" ht="16.2" customHeight="1" x14ac:dyDescent="0.4">
      <c r="W2615" s="49">
        <v>49476</v>
      </c>
      <c r="X2615" s="49">
        <v>49476</v>
      </c>
      <c r="Y2615" s="49">
        <v>49476</v>
      </c>
      <c r="AY2615" s="49">
        <v>49476</v>
      </c>
      <c r="AZ2615" s="49">
        <v>49476</v>
      </c>
      <c r="BA2615" s="49">
        <v>49476</v>
      </c>
    </row>
    <row r="2616" spans="23:53" ht="16.2" customHeight="1" x14ac:dyDescent="0.4">
      <c r="W2616" s="49">
        <v>49477</v>
      </c>
      <c r="X2616" s="49">
        <v>49477</v>
      </c>
      <c r="Y2616" s="49">
        <v>49477</v>
      </c>
      <c r="AY2616" s="49">
        <v>49477</v>
      </c>
      <c r="AZ2616" s="49">
        <v>49477</v>
      </c>
      <c r="BA2616" s="49">
        <v>49477</v>
      </c>
    </row>
    <row r="2617" spans="23:53" ht="16.2" customHeight="1" x14ac:dyDescent="0.4">
      <c r="W2617" s="49">
        <v>49483</v>
      </c>
      <c r="X2617" s="49">
        <v>49483</v>
      </c>
      <c r="Y2617" s="49">
        <v>49483</v>
      </c>
      <c r="AY2617" s="49">
        <v>49483</v>
      </c>
      <c r="AZ2617" s="49">
        <v>49483</v>
      </c>
      <c r="BA2617" s="49">
        <v>49483</v>
      </c>
    </row>
    <row r="2618" spans="23:53" ht="16.2" customHeight="1" x14ac:dyDescent="0.4">
      <c r="W2618" s="49">
        <v>49484</v>
      </c>
      <c r="X2618" s="49">
        <v>49484</v>
      </c>
      <c r="Y2618" s="49">
        <v>49484</v>
      </c>
      <c r="AY2618" s="49">
        <v>49484</v>
      </c>
      <c r="AZ2618" s="49">
        <v>49484</v>
      </c>
      <c r="BA2618" s="49">
        <v>49484</v>
      </c>
    </row>
    <row r="2619" spans="23:53" ht="16.2" customHeight="1" x14ac:dyDescent="0.4">
      <c r="W2619" s="49">
        <v>49490</v>
      </c>
      <c r="X2619" s="49">
        <v>49490</v>
      </c>
      <c r="Y2619" s="49">
        <v>49490</v>
      </c>
      <c r="AY2619" s="49">
        <v>49490</v>
      </c>
      <c r="AZ2619" s="49">
        <v>49490</v>
      </c>
      <c r="BA2619" s="49">
        <v>49490</v>
      </c>
    </row>
    <row r="2620" spans="23:53" ht="16.2" customHeight="1" x14ac:dyDescent="0.4">
      <c r="W2620" s="49">
        <v>49491</v>
      </c>
      <c r="X2620" s="49">
        <v>49491</v>
      </c>
      <c r="Y2620" s="49">
        <v>49491</v>
      </c>
      <c r="AY2620" s="49">
        <v>49491</v>
      </c>
      <c r="AZ2620" s="49">
        <v>49491</v>
      </c>
      <c r="BA2620" s="49">
        <v>49491</v>
      </c>
    </row>
    <row r="2621" spans="23:53" ht="16.2" customHeight="1" x14ac:dyDescent="0.4">
      <c r="W2621" s="49">
        <v>49497</v>
      </c>
      <c r="X2621" s="49">
        <v>49497</v>
      </c>
      <c r="Y2621" s="49">
        <v>49497</v>
      </c>
      <c r="AY2621" s="49">
        <v>49497</v>
      </c>
      <c r="AZ2621" s="49">
        <v>49497</v>
      </c>
      <c r="BA2621" s="49">
        <v>49497</v>
      </c>
    </row>
    <row r="2622" spans="23:53" ht="16.2" customHeight="1" x14ac:dyDescent="0.4">
      <c r="W2622" s="49">
        <v>49498</v>
      </c>
      <c r="X2622" s="49">
        <v>49498</v>
      </c>
      <c r="Y2622" s="49">
        <v>49498</v>
      </c>
      <c r="AY2622" s="49">
        <v>49498</v>
      </c>
      <c r="AZ2622" s="49">
        <v>49498</v>
      </c>
      <c r="BA2622" s="49">
        <v>49498</v>
      </c>
    </row>
    <row r="2623" spans="23:53" ht="16.2" customHeight="1" x14ac:dyDescent="0.4">
      <c r="W2623" s="49">
        <v>49504</v>
      </c>
      <c r="X2623" s="49">
        <v>49504</v>
      </c>
      <c r="Y2623" s="49">
        <v>49504</v>
      </c>
      <c r="AY2623" s="49">
        <v>49504</v>
      </c>
      <c r="AZ2623" s="49">
        <v>49504</v>
      </c>
      <c r="BA2623" s="49">
        <v>49504</v>
      </c>
    </row>
    <row r="2624" spans="23:53" ht="16.2" customHeight="1" x14ac:dyDescent="0.4">
      <c r="W2624" s="49">
        <v>49505</v>
      </c>
      <c r="X2624" s="49">
        <v>49505</v>
      </c>
      <c r="Y2624" s="49">
        <v>49505</v>
      </c>
      <c r="AY2624" s="49">
        <v>49505</v>
      </c>
      <c r="AZ2624" s="49">
        <v>49505</v>
      </c>
      <c r="BA2624" s="49">
        <v>49505</v>
      </c>
    </row>
    <row r="2625" spans="23:53" ht="16.2" customHeight="1" x14ac:dyDescent="0.4">
      <c r="W2625" s="49">
        <v>49511</v>
      </c>
      <c r="X2625" s="49">
        <v>49511</v>
      </c>
      <c r="Y2625" s="49">
        <v>49511</v>
      </c>
      <c r="AY2625" s="49">
        <v>49511</v>
      </c>
      <c r="AZ2625" s="49">
        <v>49511</v>
      </c>
      <c r="BA2625" s="49">
        <v>49511</v>
      </c>
    </row>
    <row r="2626" spans="23:53" ht="16.2" customHeight="1" x14ac:dyDescent="0.4">
      <c r="W2626" s="49">
        <v>49512</v>
      </c>
      <c r="X2626" s="49">
        <v>49512</v>
      </c>
      <c r="Y2626" s="49">
        <v>49512</v>
      </c>
      <c r="AY2626" s="49">
        <v>49512</v>
      </c>
      <c r="AZ2626" s="49">
        <v>49512</v>
      </c>
      <c r="BA2626" s="49">
        <v>49512</v>
      </c>
    </row>
    <row r="2627" spans="23:53" ht="16.2" customHeight="1" x14ac:dyDescent="0.4">
      <c r="W2627" s="49">
        <v>49518</v>
      </c>
      <c r="X2627" s="49">
        <v>49518</v>
      </c>
      <c r="Y2627" s="49">
        <v>49518</v>
      </c>
      <c r="AY2627" s="49">
        <v>49518</v>
      </c>
      <c r="AZ2627" s="49">
        <v>49518</v>
      </c>
      <c r="BA2627" s="49">
        <v>49518</v>
      </c>
    </row>
    <row r="2628" spans="23:53" ht="16.2" customHeight="1" x14ac:dyDescent="0.4">
      <c r="W2628" s="49">
        <v>49519</v>
      </c>
      <c r="X2628" s="49">
        <v>49519</v>
      </c>
      <c r="Y2628" s="49">
        <v>49519</v>
      </c>
      <c r="AY2628" s="49">
        <v>49519</v>
      </c>
      <c r="AZ2628" s="49">
        <v>49519</v>
      </c>
      <c r="BA2628" s="49">
        <v>49519</v>
      </c>
    </row>
    <row r="2629" spans="23:53" ht="16.2" customHeight="1" x14ac:dyDescent="0.4">
      <c r="W2629" s="49">
        <v>49525</v>
      </c>
      <c r="X2629" s="49">
        <v>49525</v>
      </c>
      <c r="Y2629" s="49">
        <v>49525</v>
      </c>
      <c r="AY2629" s="49">
        <v>49525</v>
      </c>
      <c r="AZ2629" s="49">
        <v>49525</v>
      </c>
      <c r="BA2629" s="49">
        <v>49525</v>
      </c>
    </row>
    <row r="2630" spans="23:53" ht="16.2" customHeight="1" x14ac:dyDescent="0.4">
      <c r="W2630" s="49">
        <v>49526</v>
      </c>
      <c r="X2630" s="49">
        <v>49526</v>
      </c>
      <c r="Y2630" s="49">
        <v>49526</v>
      </c>
      <c r="AY2630" s="49">
        <v>49526</v>
      </c>
      <c r="AZ2630" s="49">
        <v>49526</v>
      </c>
      <c r="BA2630" s="49">
        <v>49526</v>
      </c>
    </row>
    <row r="2631" spans="23:53" ht="16.2" customHeight="1" x14ac:dyDescent="0.4">
      <c r="W2631" s="49">
        <v>49532</v>
      </c>
      <c r="X2631" s="49">
        <v>49532</v>
      </c>
      <c r="Y2631" s="49">
        <v>49532</v>
      </c>
      <c r="AY2631" s="49">
        <v>49532</v>
      </c>
      <c r="AZ2631" s="49">
        <v>49532</v>
      </c>
      <c r="BA2631" s="49">
        <v>49532</v>
      </c>
    </row>
    <row r="2632" spans="23:53" ht="16.2" customHeight="1" x14ac:dyDescent="0.4">
      <c r="W2632" s="49">
        <v>49533</v>
      </c>
      <c r="X2632" s="49">
        <v>49533</v>
      </c>
      <c r="Y2632" s="49">
        <v>49533</v>
      </c>
      <c r="AY2632" s="49">
        <v>49533</v>
      </c>
      <c r="AZ2632" s="49">
        <v>49533</v>
      </c>
      <c r="BA2632" s="49">
        <v>49533</v>
      </c>
    </row>
    <row r="2633" spans="23:53" ht="16.2" customHeight="1" x14ac:dyDescent="0.4">
      <c r="W2633" s="49">
        <v>49536</v>
      </c>
      <c r="X2633" s="49">
        <v>49536</v>
      </c>
      <c r="Y2633" s="49">
        <v>49536</v>
      </c>
      <c r="AY2633" s="49">
        <v>49536</v>
      </c>
      <c r="AZ2633" s="49">
        <v>49536</v>
      </c>
      <c r="BA2633" s="49">
        <v>49536</v>
      </c>
    </row>
    <row r="2634" spans="23:53" ht="16.2" customHeight="1" x14ac:dyDescent="0.4">
      <c r="W2634" s="49">
        <v>49539</v>
      </c>
      <c r="X2634" s="49">
        <v>49539</v>
      </c>
      <c r="Y2634" s="49">
        <v>49539</v>
      </c>
      <c r="AY2634" s="49">
        <v>49539</v>
      </c>
      <c r="AZ2634" s="49">
        <v>49539</v>
      </c>
      <c r="BA2634" s="49">
        <v>49539</v>
      </c>
    </row>
    <row r="2635" spans="23:53" ht="16.2" customHeight="1" x14ac:dyDescent="0.4">
      <c r="W2635" s="49">
        <v>49540</v>
      </c>
      <c r="X2635" s="49">
        <v>49540</v>
      </c>
      <c r="Y2635" s="49">
        <v>49540</v>
      </c>
      <c r="AY2635" s="49">
        <v>49540</v>
      </c>
      <c r="AZ2635" s="49">
        <v>49540</v>
      </c>
      <c r="BA2635" s="49">
        <v>49540</v>
      </c>
    </row>
    <row r="2636" spans="23:53" ht="16.2" customHeight="1" x14ac:dyDescent="0.4">
      <c r="W2636" s="49">
        <v>49546</v>
      </c>
      <c r="X2636" s="49">
        <v>49546</v>
      </c>
      <c r="Y2636" s="49">
        <v>49546</v>
      </c>
      <c r="AY2636" s="49">
        <v>49546</v>
      </c>
      <c r="AZ2636" s="49">
        <v>49546</v>
      </c>
      <c r="BA2636" s="49">
        <v>49546</v>
      </c>
    </row>
    <row r="2637" spans="23:53" ht="16.2" customHeight="1" x14ac:dyDescent="0.4">
      <c r="W2637" s="49">
        <v>49547</v>
      </c>
      <c r="X2637" s="49">
        <v>49547</v>
      </c>
      <c r="Y2637" s="49">
        <v>49547</v>
      </c>
      <c r="AY2637" s="49">
        <v>49547</v>
      </c>
      <c r="AZ2637" s="49">
        <v>49547</v>
      </c>
      <c r="BA2637" s="49">
        <v>49547</v>
      </c>
    </row>
    <row r="2638" spans="23:53" ht="16.2" customHeight="1" x14ac:dyDescent="0.4">
      <c r="W2638" s="49">
        <v>49553</v>
      </c>
      <c r="X2638" s="49">
        <v>49553</v>
      </c>
      <c r="Y2638" s="49">
        <v>49553</v>
      </c>
      <c r="AY2638" s="49">
        <v>49553</v>
      </c>
      <c r="AZ2638" s="49">
        <v>49553</v>
      </c>
      <c r="BA2638" s="49">
        <v>49553</v>
      </c>
    </row>
    <row r="2639" spans="23:53" ht="16.2" customHeight="1" x14ac:dyDescent="0.4">
      <c r="W2639" s="49">
        <v>49554</v>
      </c>
      <c r="X2639" s="49">
        <v>49554</v>
      </c>
      <c r="Y2639" s="49">
        <v>49554</v>
      </c>
      <c r="AY2639" s="49">
        <v>49554</v>
      </c>
      <c r="AZ2639" s="49">
        <v>49554</v>
      </c>
      <c r="BA2639" s="49">
        <v>49554</v>
      </c>
    </row>
    <row r="2640" spans="23:53" ht="16.2" customHeight="1" x14ac:dyDescent="0.4">
      <c r="W2640" s="49">
        <v>49560</v>
      </c>
      <c r="X2640" s="49">
        <v>49560</v>
      </c>
      <c r="Y2640" s="49">
        <v>49560</v>
      </c>
      <c r="AY2640" s="49">
        <v>49560</v>
      </c>
      <c r="AZ2640" s="49">
        <v>49560</v>
      </c>
      <c r="BA2640" s="49">
        <v>49560</v>
      </c>
    </row>
    <row r="2641" spans="23:53" ht="16.2" customHeight="1" x14ac:dyDescent="0.4">
      <c r="W2641" s="49">
        <v>49561</v>
      </c>
      <c r="X2641" s="49">
        <v>49561</v>
      </c>
      <c r="Y2641" s="49">
        <v>49561</v>
      </c>
      <c r="AY2641" s="49">
        <v>49561</v>
      </c>
      <c r="AZ2641" s="49">
        <v>49561</v>
      </c>
      <c r="BA2641" s="49">
        <v>49561</v>
      </c>
    </row>
    <row r="2642" spans="23:53" ht="16.2" customHeight="1" x14ac:dyDescent="0.4">
      <c r="W2642" s="49">
        <v>49568</v>
      </c>
      <c r="X2642" s="49">
        <v>49568</v>
      </c>
      <c r="Y2642" s="49">
        <v>49568</v>
      </c>
      <c r="AY2642" s="49">
        <v>49568</v>
      </c>
      <c r="AZ2642" s="49">
        <v>49568</v>
      </c>
      <c r="BA2642" s="49">
        <v>49568</v>
      </c>
    </row>
    <row r="2643" spans="23:53" ht="16.2" customHeight="1" x14ac:dyDescent="0.4">
      <c r="W2643" s="49">
        <v>49569</v>
      </c>
      <c r="X2643" s="49">
        <v>49569</v>
      </c>
      <c r="Y2643" s="49">
        <v>49569</v>
      </c>
      <c r="AY2643" s="49">
        <v>49569</v>
      </c>
      <c r="AZ2643" s="49">
        <v>49569</v>
      </c>
      <c r="BA2643" s="49">
        <v>49569</v>
      </c>
    </row>
    <row r="2644" spans="23:53" ht="16.2" customHeight="1" x14ac:dyDescent="0.4">
      <c r="W2644" s="49">
        <v>49574</v>
      </c>
      <c r="X2644" s="49">
        <v>49574</v>
      </c>
      <c r="Y2644" s="49">
        <v>49574</v>
      </c>
      <c r="AY2644" s="49">
        <v>49574</v>
      </c>
      <c r="AZ2644" s="49">
        <v>49574</v>
      </c>
      <c r="BA2644" s="49">
        <v>49574</v>
      </c>
    </row>
    <row r="2645" spans="23:53" ht="16.2" customHeight="1" x14ac:dyDescent="0.4">
      <c r="W2645" s="49">
        <v>49575</v>
      </c>
      <c r="X2645" s="49">
        <v>49575</v>
      </c>
      <c r="Y2645" s="49">
        <v>49575</v>
      </c>
      <c r="AY2645" s="49">
        <v>49575</v>
      </c>
      <c r="AZ2645" s="49">
        <v>49575</v>
      </c>
      <c r="BA2645" s="49">
        <v>49575</v>
      </c>
    </row>
    <row r="2646" spans="23:53" ht="16.2" customHeight="1" x14ac:dyDescent="0.4">
      <c r="W2646" s="49">
        <v>49581</v>
      </c>
      <c r="X2646" s="49">
        <v>49581</v>
      </c>
      <c r="Y2646" s="49">
        <v>49581</v>
      </c>
      <c r="AY2646" s="49">
        <v>49581</v>
      </c>
      <c r="AZ2646" s="49">
        <v>49581</v>
      </c>
      <c r="BA2646" s="49">
        <v>49581</v>
      </c>
    </row>
    <row r="2647" spans="23:53" ht="16.2" customHeight="1" x14ac:dyDescent="0.4">
      <c r="W2647" s="49">
        <v>49582</v>
      </c>
      <c r="X2647" s="49">
        <v>49582</v>
      </c>
      <c r="Y2647" s="49">
        <v>49582</v>
      </c>
      <c r="AY2647" s="49">
        <v>49582</v>
      </c>
      <c r="AZ2647" s="49">
        <v>49582</v>
      </c>
      <c r="BA2647" s="49">
        <v>49582</v>
      </c>
    </row>
    <row r="2648" spans="23:53" ht="16.2" customHeight="1" x14ac:dyDescent="0.4">
      <c r="W2648" s="49">
        <v>49585</v>
      </c>
      <c r="X2648" s="49">
        <v>49585</v>
      </c>
      <c r="Y2648" s="49">
        <v>49585</v>
      </c>
      <c r="AY2648" s="49">
        <v>49585</v>
      </c>
      <c r="AZ2648" s="49">
        <v>49585</v>
      </c>
      <c r="BA2648" s="49">
        <v>49585</v>
      </c>
    </row>
    <row r="2649" spans="23:53" ht="16.2" customHeight="1" x14ac:dyDescent="0.4">
      <c r="W2649" s="49">
        <v>49588</v>
      </c>
      <c r="X2649" s="49">
        <v>49588</v>
      </c>
      <c r="Y2649" s="49">
        <v>49588</v>
      </c>
      <c r="AY2649" s="49">
        <v>49588</v>
      </c>
      <c r="AZ2649" s="49">
        <v>49588</v>
      </c>
      <c r="BA2649" s="49">
        <v>49588</v>
      </c>
    </row>
    <row r="2650" spans="23:53" ht="16.2" customHeight="1" x14ac:dyDescent="0.4">
      <c r="W2650" s="49">
        <v>49589</v>
      </c>
      <c r="X2650" s="49">
        <v>49589</v>
      </c>
      <c r="Y2650" s="49">
        <v>49589</v>
      </c>
      <c r="AY2650" s="49">
        <v>49589</v>
      </c>
      <c r="AZ2650" s="49">
        <v>49589</v>
      </c>
      <c r="BA2650" s="49">
        <v>49589</v>
      </c>
    </row>
    <row r="2651" spans="23:53" ht="16.2" customHeight="1" x14ac:dyDescent="0.4">
      <c r="W2651" s="49">
        <v>49591</v>
      </c>
      <c r="X2651" s="49">
        <v>49591</v>
      </c>
      <c r="Y2651" s="49">
        <v>49591</v>
      </c>
      <c r="AY2651" s="49">
        <v>49591</v>
      </c>
      <c r="AZ2651" s="49">
        <v>49591</v>
      </c>
      <c r="BA2651" s="49">
        <v>49591</v>
      </c>
    </row>
    <row r="2652" spans="23:53" ht="16.2" customHeight="1" x14ac:dyDescent="0.4">
      <c r="W2652" s="49">
        <v>49595</v>
      </c>
      <c r="X2652" s="49">
        <v>49595</v>
      </c>
      <c r="Y2652" s="49">
        <v>49595</v>
      </c>
      <c r="AY2652" s="49">
        <v>49595</v>
      </c>
      <c r="AZ2652" s="49">
        <v>49595</v>
      </c>
      <c r="BA2652" s="49">
        <v>49595</v>
      </c>
    </row>
    <row r="2653" spans="23:53" ht="16.2" customHeight="1" x14ac:dyDescent="0.4">
      <c r="W2653" s="49">
        <v>49596</v>
      </c>
      <c r="X2653" s="49">
        <v>49596</v>
      </c>
      <c r="Y2653" s="49">
        <v>49596</v>
      </c>
      <c r="AY2653" s="49">
        <v>49596</v>
      </c>
      <c r="AZ2653" s="49">
        <v>49596</v>
      </c>
      <c r="BA2653" s="49">
        <v>49596</v>
      </c>
    </row>
    <row r="2654" spans="23:53" ht="16.2" customHeight="1" x14ac:dyDescent="0.4">
      <c r="W2654" s="49">
        <v>49602</v>
      </c>
      <c r="X2654" s="49">
        <v>49602</v>
      </c>
      <c r="Y2654" s="49">
        <v>49602</v>
      </c>
      <c r="AY2654" s="49">
        <v>49602</v>
      </c>
      <c r="AZ2654" s="49">
        <v>49602</v>
      </c>
      <c r="BA2654" s="49">
        <v>49602</v>
      </c>
    </row>
    <row r="2655" spans="23:53" ht="16.2" customHeight="1" x14ac:dyDescent="0.4">
      <c r="W2655" s="49">
        <v>49603</v>
      </c>
      <c r="X2655" s="49">
        <v>49603</v>
      </c>
      <c r="Y2655" s="49">
        <v>49603</v>
      </c>
      <c r="AY2655" s="49">
        <v>49603</v>
      </c>
      <c r="AZ2655" s="49">
        <v>49603</v>
      </c>
      <c r="BA2655" s="49">
        <v>49603</v>
      </c>
    </row>
    <row r="2656" spans="23:53" ht="16.2" customHeight="1" x14ac:dyDescent="0.4">
      <c r="W2656" s="49">
        <v>49609</v>
      </c>
      <c r="X2656" s="49">
        <v>49609</v>
      </c>
      <c r="Y2656" s="49">
        <v>49609</v>
      </c>
      <c r="AY2656" s="49">
        <v>49609</v>
      </c>
      <c r="AZ2656" s="49">
        <v>49609</v>
      </c>
      <c r="BA2656" s="49">
        <v>49609</v>
      </c>
    </row>
    <row r="2657" spans="23:53" ht="16.2" customHeight="1" x14ac:dyDescent="0.4">
      <c r="W2657" s="49">
        <v>49610</v>
      </c>
      <c r="X2657" s="49">
        <v>49610</v>
      </c>
      <c r="Y2657" s="49">
        <v>49610</v>
      </c>
      <c r="AY2657" s="49">
        <v>49610</v>
      </c>
      <c r="AZ2657" s="49">
        <v>49610</v>
      </c>
      <c r="BA2657" s="49">
        <v>49610</v>
      </c>
    </row>
    <row r="2658" spans="23:53" ht="16.2" customHeight="1" x14ac:dyDescent="0.4">
      <c r="W2658" s="49">
        <v>49616</v>
      </c>
      <c r="X2658" s="49">
        <v>49616</v>
      </c>
      <c r="Y2658" s="49">
        <v>49616</v>
      </c>
      <c r="AY2658" s="49">
        <v>49616</v>
      </c>
      <c r="AZ2658" s="49">
        <v>49616</v>
      </c>
      <c r="BA2658" s="49">
        <v>49616</v>
      </c>
    </row>
    <row r="2659" spans="23:53" ht="16.2" customHeight="1" x14ac:dyDescent="0.4">
      <c r="W2659" s="49">
        <v>49617</v>
      </c>
      <c r="X2659" s="49">
        <v>49617</v>
      </c>
      <c r="Y2659" s="49">
        <v>49617</v>
      </c>
      <c r="AY2659" s="49">
        <v>49617</v>
      </c>
      <c r="AZ2659" s="49">
        <v>49617</v>
      </c>
      <c r="BA2659" s="49">
        <v>49617</v>
      </c>
    </row>
    <row r="2660" spans="23:53" ht="16.2" customHeight="1" x14ac:dyDescent="0.4">
      <c r="W2660" s="49">
        <v>49623</v>
      </c>
      <c r="X2660" s="49">
        <v>49623</v>
      </c>
      <c r="Y2660" s="49">
        <v>49623</v>
      </c>
      <c r="AY2660" s="49">
        <v>49623</v>
      </c>
      <c r="AZ2660" s="49">
        <v>49623</v>
      </c>
      <c r="BA2660" s="49">
        <v>49623</v>
      </c>
    </row>
    <row r="2661" spans="23:53" ht="16.2" customHeight="1" x14ac:dyDescent="0.4">
      <c r="W2661" s="49">
        <v>49624</v>
      </c>
      <c r="X2661" s="49">
        <v>49624</v>
      </c>
      <c r="Y2661" s="49">
        <v>49624</v>
      </c>
      <c r="AY2661" s="49">
        <v>49624</v>
      </c>
      <c r="AZ2661" s="49">
        <v>49624</v>
      </c>
      <c r="BA2661" s="49">
        <v>49624</v>
      </c>
    </row>
    <row r="2662" spans="23:53" ht="16.2" customHeight="1" x14ac:dyDescent="0.4">
      <c r="W2662" s="49">
        <v>49630</v>
      </c>
      <c r="X2662" s="49">
        <v>49630</v>
      </c>
      <c r="Y2662" s="49">
        <v>49630</v>
      </c>
      <c r="AY2662" s="49">
        <v>49630</v>
      </c>
      <c r="AZ2662" s="49">
        <v>49630</v>
      </c>
      <c r="BA2662" s="49">
        <v>49630</v>
      </c>
    </row>
    <row r="2663" spans="23:53" ht="16.2" customHeight="1" x14ac:dyDescent="0.4">
      <c r="W2663" s="49">
        <v>49631</v>
      </c>
      <c r="X2663" s="49">
        <v>49631</v>
      </c>
      <c r="Y2663" s="49">
        <v>49631</v>
      </c>
      <c r="AY2663" s="49">
        <v>49631</v>
      </c>
      <c r="AZ2663" s="49">
        <v>49631</v>
      </c>
      <c r="BA2663" s="49">
        <v>49631</v>
      </c>
    </row>
    <row r="2664" spans="23:53" ht="16.2" customHeight="1" x14ac:dyDescent="0.4">
      <c r="W2664" s="49">
        <v>49637</v>
      </c>
      <c r="X2664" s="49">
        <v>49637</v>
      </c>
      <c r="Y2664" s="49">
        <v>49637</v>
      </c>
      <c r="AY2664" s="49">
        <v>49637</v>
      </c>
      <c r="AZ2664" s="49">
        <v>49637</v>
      </c>
      <c r="BA2664" s="49">
        <v>49637</v>
      </c>
    </row>
    <row r="2665" spans="23:53" ht="16.2" customHeight="1" x14ac:dyDescent="0.4">
      <c r="W2665" s="49">
        <v>49638</v>
      </c>
      <c r="X2665" s="49">
        <v>49638</v>
      </c>
      <c r="Y2665" s="49">
        <v>49638</v>
      </c>
      <c r="AY2665" s="49">
        <v>49638</v>
      </c>
      <c r="AZ2665" s="49">
        <v>49638</v>
      </c>
      <c r="BA2665" s="49">
        <v>49638</v>
      </c>
    </row>
    <row r="2666" spans="23:53" ht="16.2" customHeight="1" x14ac:dyDescent="0.4">
      <c r="W2666" s="49">
        <v>49644</v>
      </c>
      <c r="X2666" s="49">
        <v>49644</v>
      </c>
      <c r="Y2666" s="49">
        <v>49644</v>
      </c>
      <c r="AY2666" s="49">
        <v>49644</v>
      </c>
      <c r="AZ2666" s="49">
        <v>49644</v>
      </c>
      <c r="BA2666" s="49">
        <v>49644</v>
      </c>
    </row>
    <row r="2667" spans="23:53" ht="16.2" customHeight="1" x14ac:dyDescent="0.4">
      <c r="W2667" s="49">
        <v>49645</v>
      </c>
      <c r="X2667" s="49">
        <v>49645</v>
      </c>
      <c r="Y2667" s="49">
        <v>49645</v>
      </c>
      <c r="AY2667" s="49">
        <v>49645</v>
      </c>
      <c r="AZ2667" s="49">
        <v>49645</v>
      </c>
      <c r="BA2667" s="49">
        <v>49645</v>
      </c>
    </row>
    <row r="2668" spans="23:53" ht="16.2" customHeight="1" x14ac:dyDescent="0.4">
      <c r="W2668" s="49">
        <v>49651</v>
      </c>
      <c r="X2668" s="49">
        <v>49651</v>
      </c>
      <c r="Y2668" s="49">
        <v>49651</v>
      </c>
      <c r="AY2668" s="49">
        <v>49651</v>
      </c>
      <c r="AZ2668" s="49">
        <v>49651</v>
      </c>
      <c r="BA2668" s="49">
        <v>49651</v>
      </c>
    </row>
    <row r="2669" spans="23:53" ht="16.2" customHeight="1" x14ac:dyDescent="0.4">
      <c r="W2669" s="49">
        <v>49652</v>
      </c>
      <c r="X2669" s="49">
        <v>49652</v>
      </c>
      <c r="Y2669" s="49">
        <v>49652</v>
      </c>
      <c r="AY2669" s="49">
        <v>49652</v>
      </c>
      <c r="AZ2669" s="49">
        <v>49652</v>
      </c>
      <c r="BA2669" s="49">
        <v>49652</v>
      </c>
    </row>
    <row r="2670" spans="23:53" ht="16.2" customHeight="1" x14ac:dyDescent="0.4">
      <c r="W2670" s="49">
        <v>49658</v>
      </c>
      <c r="X2670" s="49">
        <v>49658</v>
      </c>
      <c r="Y2670" s="49">
        <v>49658</v>
      </c>
      <c r="AY2670" s="49">
        <v>49658</v>
      </c>
      <c r="AZ2670" s="49">
        <v>49658</v>
      </c>
      <c r="BA2670" s="49">
        <v>49658</v>
      </c>
    </row>
    <row r="2671" spans="23:53" ht="16.2" customHeight="1" x14ac:dyDescent="0.4">
      <c r="W2671" s="49">
        <v>49659</v>
      </c>
      <c r="X2671" s="49">
        <v>49659</v>
      </c>
      <c r="Y2671" s="49">
        <v>49659</v>
      </c>
      <c r="AY2671" s="49">
        <v>49659</v>
      </c>
      <c r="AZ2671" s="49">
        <v>49659</v>
      </c>
      <c r="BA2671" s="49">
        <v>49659</v>
      </c>
    </row>
    <row r="2672" spans="23:53" ht="16.2" customHeight="1" x14ac:dyDescent="0.4">
      <c r="W2672" s="49">
        <v>49665</v>
      </c>
      <c r="X2672" s="49">
        <v>49665</v>
      </c>
      <c r="Y2672" s="49">
        <v>49665</v>
      </c>
      <c r="AY2672" s="49">
        <v>49665</v>
      </c>
      <c r="AZ2672" s="49">
        <v>49665</v>
      </c>
      <c r="BA2672" s="49">
        <v>49665</v>
      </c>
    </row>
    <row r="2673" spans="23:53" ht="16.2" customHeight="1" x14ac:dyDescent="0.4">
      <c r="W2673" s="49">
        <v>49666</v>
      </c>
      <c r="X2673" s="49">
        <v>49666</v>
      </c>
      <c r="Y2673" s="49">
        <v>49666</v>
      </c>
      <c r="AY2673" s="49">
        <v>49666</v>
      </c>
      <c r="AZ2673" s="49">
        <v>49666</v>
      </c>
      <c r="BA2673" s="49">
        <v>49666</v>
      </c>
    </row>
    <row r="2674" spans="23:53" ht="16.2" customHeight="1" x14ac:dyDescent="0.4">
      <c r="W2674" s="49">
        <v>49668</v>
      </c>
      <c r="X2674" s="49">
        <v>49668</v>
      </c>
      <c r="Y2674" s="49">
        <v>49668</v>
      </c>
      <c r="AY2674" s="49">
        <v>49668</v>
      </c>
      <c r="AZ2674" s="49">
        <v>49668</v>
      </c>
      <c r="BA2674" s="49">
        <v>49668</v>
      </c>
    </row>
    <row r="2675" spans="23:53" ht="16.2" customHeight="1" x14ac:dyDescent="0.4">
      <c r="W2675" s="49">
        <v>49672</v>
      </c>
      <c r="X2675" s="49">
        <v>49672</v>
      </c>
      <c r="Y2675" s="49">
        <v>49672</v>
      </c>
      <c r="AY2675" s="49">
        <v>49672</v>
      </c>
      <c r="AZ2675" s="49">
        <v>49672</v>
      </c>
      <c r="BA2675" s="49">
        <v>49672</v>
      </c>
    </row>
    <row r="2676" spans="23:53" ht="16.2" customHeight="1" x14ac:dyDescent="0.4">
      <c r="W2676" s="49">
        <v>49673</v>
      </c>
      <c r="X2676" s="49">
        <v>49673</v>
      </c>
      <c r="Y2676" s="49">
        <v>49673</v>
      </c>
      <c r="AY2676" s="49">
        <v>49673</v>
      </c>
      <c r="AZ2676" s="49">
        <v>49673</v>
      </c>
      <c r="BA2676" s="49">
        <v>49673</v>
      </c>
    </row>
    <row r="2677" spans="23:53" ht="16.2" customHeight="1" x14ac:dyDescent="0.4">
      <c r="W2677" s="49">
        <v>49675</v>
      </c>
      <c r="X2677" s="49">
        <v>49675</v>
      </c>
      <c r="Y2677" s="49">
        <v>49675</v>
      </c>
      <c r="AY2677" s="49">
        <v>49675</v>
      </c>
      <c r="AZ2677" s="49">
        <v>49675</v>
      </c>
      <c r="BA2677" s="49">
        <v>49675</v>
      </c>
    </row>
    <row r="2678" spans="23:53" ht="16.2" customHeight="1" x14ac:dyDescent="0.4">
      <c r="W2678" s="49">
        <v>49679</v>
      </c>
      <c r="X2678" s="49">
        <v>49679</v>
      </c>
      <c r="Y2678" s="49">
        <v>49679</v>
      </c>
      <c r="AY2678" s="49">
        <v>49679</v>
      </c>
      <c r="AZ2678" s="49">
        <v>49679</v>
      </c>
      <c r="BA2678" s="49">
        <v>49679</v>
      </c>
    </row>
    <row r="2679" spans="23:53" ht="16.2" customHeight="1" x14ac:dyDescent="0.4">
      <c r="W2679" s="49">
        <v>49680</v>
      </c>
      <c r="X2679" s="49">
        <v>49680</v>
      </c>
      <c r="Y2679" s="49">
        <v>49680</v>
      </c>
      <c r="AY2679" s="49">
        <v>49680</v>
      </c>
      <c r="AZ2679" s="49">
        <v>49680</v>
      </c>
      <c r="BA2679" s="49">
        <v>49680</v>
      </c>
    </row>
    <row r="2680" spans="23:53" ht="16.2" customHeight="1" x14ac:dyDescent="0.4">
      <c r="W2680" s="49">
        <v>49686</v>
      </c>
      <c r="X2680" s="49">
        <v>49686</v>
      </c>
      <c r="Y2680" s="49">
        <v>49686</v>
      </c>
      <c r="AY2680" s="49">
        <v>49686</v>
      </c>
      <c r="AZ2680" s="49">
        <v>49686</v>
      </c>
      <c r="BA2680" s="49">
        <v>49686</v>
      </c>
    </row>
    <row r="2681" spans="23:53" ht="16.2" customHeight="1" x14ac:dyDescent="0.4">
      <c r="W2681" s="49">
        <v>49687</v>
      </c>
      <c r="X2681" s="49">
        <v>49687</v>
      </c>
      <c r="Y2681" s="49">
        <v>49687</v>
      </c>
      <c r="AY2681" s="49">
        <v>49687</v>
      </c>
      <c r="AZ2681" s="49">
        <v>49687</v>
      </c>
      <c r="BA2681" s="49">
        <v>49687</v>
      </c>
    </row>
    <row r="2682" spans="23:53" ht="16.2" customHeight="1" x14ac:dyDescent="0.4">
      <c r="W2682" s="49">
        <v>49693</v>
      </c>
      <c r="X2682" s="49">
        <v>49693</v>
      </c>
      <c r="Y2682" s="49">
        <v>49693</v>
      </c>
      <c r="AY2682" s="49">
        <v>49693</v>
      </c>
      <c r="AZ2682" s="49">
        <v>49693</v>
      </c>
      <c r="BA2682" s="49">
        <v>49693</v>
      </c>
    </row>
    <row r="2683" spans="23:53" ht="16.2" customHeight="1" x14ac:dyDescent="0.4">
      <c r="W2683" s="49">
        <v>49694</v>
      </c>
      <c r="X2683" s="49">
        <v>49694</v>
      </c>
      <c r="Y2683" s="49">
        <v>49694</v>
      </c>
      <c r="AY2683" s="49">
        <v>49694</v>
      </c>
      <c r="AZ2683" s="49">
        <v>49694</v>
      </c>
      <c r="BA2683" s="49">
        <v>49694</v>
      </c>
    </row>
    <row r="2684" spans="23:53" ht="16.2" customHeight="1" x14ac:dyDescent="0.4">
      <c r="W2684" s="49">
        <v>49700</v>
      </c>
      <c r="X2684" s="49">
        <v>49700</v>
      </c>
      <c r="Y2684" s="49">
        <v>49700</v>
      </c>
      <c r="AY2684" s="49">
        <v>49700</v>
      </c>
      <c r="AZ2684" s="49">
        <v>49700</v>
      </c>
      <c r="BA2684" s="49">
        <v>49700</v>
      </c>
    </row>
    <row r="2685" spans="23:53" ht="16.2" customHeight="1" x14ac:dyDescent="0.4">
      <c r="W2685" s="49">
        <v>49701</v>
      </c>
      <c r="X2685" s="49">
        <v>49701</v>
      </c>
      <c r="Y2685" s="49">
        <v>49701</v>
      </c>
      <c r="AY2685" s="49">
        <v>49701</v>
      </c>
      <c r="AZ2685" s="49">
        <v>49701</v>
      </c>
      <c r="BA2685" s="49">
        <v>49701</v>
      </c>
    </row>
    <row r="2686" spans="23:53" ht="16.2" customHeight="1" x14ac:dyDescent="0.4">
      <c r="W2686" s="49">
        <v>49702</v>
      </c>
      <c r="X2686" s="49">
        <v>49702</v>
      </c>
      <c r="Y2686" s="49">
        <v>49702</v>
      </c>
      <c r="AY2686" s="49">
        <v>49702</v>
      </c>
      <c r="AZ2686" s="49">
        <v>49702</v>
      </c>
      <c r="BA2686" s="49">
        <v>49702</v>
      </c>
    </row>
    <row r="2687" spans="23:53" ht="16.2" customHeight="1" x14ac:dyDescent="0.4">
      <c r="W2687" s="49">
        <v>49703</v>
      </c>
      <c r="X2687" s="49">
        <v>49703</v>
      </c>
      <c r="Y2687" s="49">
        <v>49703</v>
      </c>
      <c r="AY2687" s="49">
        <v>49703</v>
      </c>
      <c r="AZ2687" s="49">
        <v>49703</v>
      </c>
      <c r="BA2687" s="49">
        <v>49703</v>
      </c>
    </row>
    <row r="2688" spans="23:53" ht="16.2" customHeight="1" x14ac:dyDescent="0.4">
      <c r="W2688" s="49">
        <v>49707</v>
      </c>
      <c r="X2688" s="49">
        <v>49707</v>
      </c>
      <c r="Y2688" s="49">
        <v>49707</v>
      </c>
      <c r="AY2688" s="49">
        <v>49707</v>
      </c>
      <c r="AZ2688" s="49">
        <v>49707</v>
      </c>
      <c r="BA2688" s="49">
        <v>49707</v>
      </c>
    </row>
    <row r="2689" spans="23:53" ht="16.2" customHeight="1" x14ac:dyDescent="0.4">
      <c r="W2689" s="49">
        <v>49708</v>
      </c>
      <c r="X2689" s="49">
        <v>49708</v>
      </c>
      <c r="Y2689" s="49">
        <v>49708</v>
      </c>
      <c r="AY2689" s="49">
        <v>49708</v>
      </c>
      <c r="AZ2689" s="49">
        <v>49708</v>
      </c>
      <c r="BA2689" s="49">
        <v>49708</v>
      </c>
    </row>
    <row r="2690" spans="23:53" ht="16.2" customHeight="1" x14ac:dyDescent="0.4">
      <c r="W2690" s="49">
        <v>49714</v>
      </c>
      <c r="X2690" s="49">
        <v>49714</v>
      </c>
      <c r="Y2690" s="49">
        <v>49714</v>
      </c>
      <c r="AY2690" s="49">
        <v>49714</v>
      </c>
      <c r="AZ2690" s="49">
        <v>49714</v>
      </c>
      <c r="BA2690" s="49">
        <v>49714</v>
      </c>
    </row>
    <row r="2691" spans="23:53" ht="16.2" customHeight="1" x14ac:dyDescent="0.4">
      <c r="W2691" s="49">
        <v>49715</v>
      </c>
      <c r="X2691" s="49">
        <v>49715</v>
      </c>
      <c r="Y2691" s="49">
        <v>49715</v>
      </c>
      <c r="AY2691" s="49">
        <v>49715</v>
      </c>
      <c r="AZ2691" s="49">
        <v>49715</v>
      </c>
      <c r="BA2691" s="49">
        <v>49715</v>
      </c>
    </row>
    <row r="2692" spans="23:53" ht="16.2" customHeight="1" x14ac:dyDescent="0.4">
      <c r="W2692" s="49">
        <v>49721</v>
      </c>
      <c r="X2692" s="49">
        <v>49721</v>
      </c>
      <c r="Y2692" s="49">
        <v>49721</v>
      </c>
      <c r="AY2692" s="49">
        <v>49721</v>
      </c>
      <c r="AZ2692" s="49">
        <v>49721</v>
      </c>
      <c r="BA2692" s="49">
        <v>49721</v>
      </c>
    </row>
    <row r="2693" spans="23:53" ht="16.2" customHeight="1" x14ac:dyDescent="0.4">
      <c r="W2693" s="49">
        <v>49722</v>
      </c>
      <c r="X2693" s="49">
        <v>49722</v>
      </c>
      <c r="Y2693" s="49">
        <v>49722</v>
      </c>
      <c r="AY2693" s="49">
        <v>49722</v>
      </c>
      <c r="AZ2693" s="49">
        <v>49722</v>
      </c>
      <c r="BA2693" s="49">
        <v>49722</v>
      </c>
    </row>
    <row r="2694" spans="23:53" ht="16.2" customHeight="1" x14ac:dyDescent="0.4">
      <c r="W2694" s="49">
        <v>49728</v>
      </c>
      <c r="X2694" s="49">
        <v>49728</v>
      </c>
      <c r="Y2694" s="49">
        <v>49728</v>
      </c>
      <c r="AY2694" s="49">
        <v>49728</v>
      </c>
      <c r="AZ2694" s="49">
        <v>49728</v>
      </c>
      <c r="BA2694" s="49">
        <v>49728</v>
      </c>
    </row>
    <row r="2695" spans="23:53" ht="16.2" customHeight="1" x14ac:dyDescent="0.4">
      <c r="W2695" s="49">
        <v>49729</v>
      </c>
      <c r="X2695" s="49">
        <v>49729</v>
      </c>
      <c r="Y2695" s="49">
        <v>49729</v>
      </c>
      <c r="AY2695" s="49">
        <v>49729</v>
      </c>
      <c r="AZ2695" s="49">
        <v>49729</v>
      </c>
      <c r="BA2695" s="49">
        <v>49729</v>
      </c>
    </row>
    <row r="2696" spans="23:53" ht="16.2" customHeight="1" x14ac:dyDescent="0.4">
      <c r="W2696" s="49">
        <v>49736</v>
      </c>
      <c r="X2696" s="49">
        <v>49736</v>
      </c>
      <c r="Y2696" s="49">
        <v>49736</v>
      </c>
      <c r="AY2696" s="49">
        <v>49736</v>
      </c>
      <c r="AZ2696" s="49">
        <v>49736</v>
      </c>
      <c r="BA2696" s="49">
        <v>49736</v>
      </c>
    </row>
    <row r="2697" spans="23:53" ht="16.2" customHeight="1" x14ac:dyDescent="0.4">
      <c r="W2697" s="49">
        <v>49742</v>
      </c>
      <c r="X2697" s="49">
        <v>49742</v>
      </c>
      <c r="Y2697" s="49">
        <v>49742</v>
      </c>
      <c r="AY2697" s="49">
        <v>49742</v>
      </c>
      <c r="AZ2697" s="49">
        <v>49742</v>
      </c>
      <c r="BA2697" s="49">
        <v>49742</v>
      </c>
    </row>
    <row r="2698" spans="23:53" ht="16.2" customHeight="1" x14ac:dyDescent="0.4">
      <c r="W2698" s="49">
        <v>49743</v>
      </c>
      <c r="X2698" s="49">
        <v>49743</v>
      </c>
      <c r="Y2698" s="49">
        <v>49743</v>
      </c>
      <c r="AY2698" s="49">
        <v>49743</v>
      </c>
      <c r="AZ2698" s="49">
        <v>49743</v>
      </c>
      <c r="BA2698" s="49">
        <v>49743</v>
      </c>
    </row>
    <row r="2699" spans="23:53" ht="16.2" customHeight="1" x14ac:dyDescent="0.4">
      <c r="W2699" s="49">
        <v>49749</v>
      </c>
      <c r="X2699" s="49">
        <v>49749</v>
      </c>
      <c r="Y2699" s="49">
        <v>49749</v>
      </c>
      <c r="AY2699" s="49">
        <v>49749</v>
      </c>
      <c r="AZ2699" s="49">
        <v>49749</v>
      </c>
      <c r="BA2699" s="49">
        <v>49749</v>
      </c>
    </row>
    <row r="2700" spans="23:53" ht="16.2" customHeight="1" x14ac:dyDescent="0.4">
      <c r="W2700" s="49">
        <v>49750</v>
      </c>
      <c r="X2700" s="49">
        <v>49750</v>
      </c>
      <c r="Y2700" s="49">
        <v>49750</v>
      </c>
      <c r="AY2700" s="49">
        <v>49750</v>
      </c>
      <c r="AZ2700" s="49">
        <v>49750</v>
      </c>
      <c r="BA2700" s="49">
        <v>49750</v>
      </c>
    </row>
    <row r="2701" spans="23:53" ht="16.2" customHeight="1" x14ac:dyDescent="0.4">
      <c r="W2701" s="49">
        <v>49756</v>
      </c>
      <c r="X2701" s="49">
        <v>49756</v>
      </c>
      <c r="Y2701" s="49">
        <v>49756</v>
      </c>
      <c r="AY2701" s="49">
        <v>49756</v>
      </c>
      <c r="AZ2701" s="49">
        <v>49756</v>
      </c>
      <c r="BA2701" s="49">
        <v>49756</v>
      </c>
    </row>
    <row r="2702" spans="23:53" ht="16.2" customHeight="1" x14ac:dyDescent="0.4">
      <c r="W2702" s="49">
        <v>49757</v>
      </c>
      <c r="X2702" s="49">
        <v>49757</v>
      </c>
      <c r="Y2702" s="49">
        <v>49757</v>
      </c>
      <c r="AY2702" s="49">
        <v>49757</v>
      </c>
      <c r="AZ2702" s="49">
        <v>49757</v>
      </c>
      <c r="BA2702" s="49">
        <v>49757</v>
      </c>
    </row>
    <row r="2703" spans="23:53" ht="16.2" customHeight="1" x14ac:dyDescent="0.4">
      <c r="W2703" s="49">
        <v>49763</v>
      </c>
      <c r="X2703" s="49">
        <v>49763</v>
      </c>
      <c r="Y2703" s="49">
        <v>49763</v>
      </c>
      <c r="AY2703" s="49">
        <v>49763</v>
      </c>
      <c r="AZ2703" s="49">
        <v>49763</v>
      </c>
      <c r="BA2703" s="49">
        <v>49763</v>
      </c>
    </row>
    <row r="2704" spans="23:53" ht="16.2" customHeight="1" x14ac:dyDescent="0.4">
      <c r="W2704" s="49">
        <v>49764</v>
      </c>
      <c r="X2704" s="49">
        <v>49764</v>
      </c>
      <c r="Y2704" s="49">
        <v>49764</v>
      </c>
      <c r="AY2704" s="49">
        <v>49764</v>
      </c>
      <c r="AZ2704" s="49">
        <v>49764</v>
      </c>
      <c r="BA2704" s="49">
        <v>49764</v>
      </c>
    </row>
    <row r="2705" spans="23:53" ht="16.2" customHeight="1" x14ac:dyDescent="0.4">
      <c r="W2705" s="49">
        <v>49770</v>
      </c>
      <c r="X2705" s="49">
        <v>49770</v>
      </c>
      <c r="Y2705" s="49">
        <v>49770</v>
      </c>
      <c r="AY2705" s="49">
        <v>49770</v>
      </c>
      <c r="AZ2705" s="49">
        <v>49770</v>
      </c>
      <c r="BA2705" s="49">
        <v>49770</v>
      </c>
    </row>
    <row r="2706" spans="23:53" ht="16.2" customHeight="1" x14ac:dyDescent="0.4">
      <c r="W2706" s="49">
        <v>49771</v>
      </c>
      <c r="X2706" s="49">
        <v>49771</v>
      </c>
      <c r="Y2706" s="49">
        <v>49771</v>
      </c>
      <c r="AY2706" s="49">
        <v>49771</v>
      </c>
      <c r="AZ2706" s="49">
        <v>49771</v>
      </c>
      <c r="BA2706" s="49">
        <v>49771</v>
      </c>
    </row>
    <row r="2707" spans="23:53" ht="16.2" customHeight="1" x14ac:dyDescent="0.4">
      <c r="W2707" s="49">
        <v>49777</v>
      </c>
      <c r="X2707" s="49">
        <v>49777</v>
      </c>
      <c r="Y2707" s="49">
        <v>49777</v>
      </c>
      <c r="AY2707" s="49">
        <v>49777</v>
      </c>
      <c r="AZ2707" s="49">
        <v>49777</v>
      </c>
      <c r="BA2707" s="49">
        <v>49777</v>
      </c>
    </row>
    <row r="2708" spans="23:53" ht="16.2" customHeight="1" x14ac:dyDescent="0.4">
      <c r="W2708" s="49">
        <v>49778</v>
      </c>
      <c r="X2708" s="49">
        <v>49778</v>
      </c>
      <c r="Y2708" s="49">
        <v>49778</v>
      </c>
      <c r="AY2708" s="49">
        <v>49778</v>
      </c>
      <c r="AZ2708" s="49">
        <v>49778</v>
      </c>
      <c r="BA2708" s="49">
        <v>49778</v>
      </c>
    </row>
    <row r="2709" spans="23:53" ht="16.2" customHeight="1" x14ac:dyDescent="0.4">
      <c r="W2709" s="49">
        <v>49784</v>
      </c>
      <c r="X2709" s="49">
        <v>49784</v>
      </c>
      <c r="Y2709" s="49">
        <v>49784</v>
      </c>
      <c r="AY2709" s="49">
        <v>49784</v>
      </c>
      <c r="AZ2709" s="49">
        <v>49784</v>
      </c>
      <c r="BA2709" s="49">
        <v>49784</v>
      </c>
    </row>
    <row r="2710" spans="23:53" ht="16.2" customHeight="1" x14ac:dyDescent="0.4">
      <c r="W2710" s="49">
        <v>49785</v>
      </c>
      <c r="X2710" s="49">
        <v>49785</v>
      </c>
      <c r="Y2710" s="49">
        <v>49785</v>
      </c>
      <c r="AY2710" s="49">
        <v>49785</v>
      </c>
      <c r="AZ2710" s="49">
        <v>49785</v>
      </c>
      <c r="BA2710" s="49">
        <v>49785</v>
      </c>
    </row>
    <row r="2711" spans="23:53" ht="16.2" customHeight="1" x14ac:dyDescent="0.4">
      <c r="W2711" s="49">
        <v>49791</v>
      </c>
      <c r="X2711" s="49">
        <v>49791</v>
      </c>
      <c r="Y2711" s="49">
        <v>49791</v>
      </c>
      <c r="AY2711" s="49">
        <v>49791</v>
      </c>
      <c r="AZ2711" s="49">
        <v>49791</v>
      </c>
      <c r="BA2711" s="49">
        <v>49791</v>
      </c>
    </row>
    <row r="2712" spans="23:53" ht="16.2" customHeight="1" x14ac:dyDescent="0.4">
      <c r="W2712" s="49">
        <v>49792</v>
      </c>
      <c r="X2712" s="49">
        <v>49792</v>
      </c>
      <c r="Y2712" s="49">
        <v>49792</v>
      </c>
      <c r="AY2712" s="49">
        <v>49792</v>
      </c>
      <c r="AZ2712" s="49">
        <v>49792</v>
      </c>
      <c r="BA2712" s="49">
        <v>49792</v>
      </c>
    </row>
    <row r="2713" spans="23:53" ht="16.2" customHeight="1" x14ac:dyDescent="0.4">
      <c r="W2713" s="49">
        <v>49796</v>
      </c>
      <c r="X2713" s="49">
        <v>49796</v>
      </c>
      <c r="Y2713" s="49">
        <v>49796</v>
      </c>
      <c r="AY2713" s="49">
        <v>49796</v>
      </c>
      <c r="AZ2713" s="49">
        <v>49796</v>
      </c>
      <c r="BA2713" s="49">
        <v>49796</v>
      </c>
    </row>
    <row r="2714" spans="23:53" ht="16.2" customHeight="1" x14ac:dyDescent="0.4">
      <c r="W2714" s="49">
        <v>49799</v>
      </c>
      <c r="X2714" s="49">
        <v>49799</v>
      </c>
      <c r="Y2714" s="49">
        <v>49799</v>
      </c>
      <c r="AY2714" s="49">
        <v>49799</v>
      </c>
      <c r="AZ2714" s="49">
        <v>49799</v>
      </c>
      <c r="BA2714" s="49">
        <v>49799</v>
      </c>
    </row>
    <row r="2715" spans="23:53" ht="16.2" customHeight="1" x14ac:dyDescent="0.4">
      <c r="W2715" s="49">
        <v>49800</v>
      </c>
      <c r="X2715" s="49">
        <v>49800</v>
      </c>
      <c r="Y2715" s="49">
        <v>49800</v>
      </c>
      <c r="AY2715" s="49">
        <v>49800</v>
      </c>
      <c r="AZ2715" s="49">
        <v>49800</v>
      </c>
      <c r="BA2715" s="49">
        <v>49800</v>
      </c>
    </row>
    <row r="2716" spans="23:53" ht="16.2" customHeight="1" x14ac:dyDescent="0.4">
      <c r="W2716" s="49">
        <v>49805</v>
      </c>
      <c r="X2716" s="49">
        <v>49805</v>
      </c>
      <c r="Y2716" s="49">
        <v>49805</v>
      </c>
      <c r="AY2716" s="49">
        <v>49805</v>
      </c>
      <c r="AZ2716" s="49">
        <v>49805</v>
      </c>
      <c r="BA2716" s="49">
        <v>49805</v>
      </c>
    </row>
    <row r="2717" spans="23:53" ht="16.2" customHeight="1" x14ac:dyDescent="0.4">
      <c r="W2717" s="49">
        <v>49806</v>
      </c>
      <c r="X2717" s="49">
        <v>49806</v>
      </c>
      <c r="Y2717" s="49">
        <v>49806</v>
      </c>
      <c r="AY2717" s="49">
        <v>49806</v>
      </c>
      <c r="AZ2717" s="49">
        <v>49806</v>
      </c>
      <c r="BA2717" s="49">
        <v>49806</v>
      </c>
    </row>
    <row r="2718" spans="23:53" ht="16.2" customHeight="1" x14ac:dyDescent="0.4">
      <c r="W2718" s="49">
        <v>49812</v>
      </c>
      <c r="X2718" s="49">
        <v>49812</v>
      </c>
      <c r="Y2718" s="49">
        <v>49812</v>
      </c>
      <c r="AY2718" s="49">
        <v>49812</v>
      </c>
      <c r="AZ2718" s="49">
        <v>49812</v>
      </c>
      <c r="BA2718" s="49">
        <v>49812</v>
      </c>
    </row>
    <row r="2719" spans="23:53" ht="16.2" customHeight="1" x14ac:dyDescent="0.4">
      <c r="W2719" s="49">
        <v>49813</v>
      </c>
      <c r="X2719" s="49">
        <v>49813</v>
      </c>
      <c r="Y2719" s="49">
        <v>49813</v>
      </c>
      <c r="AY2719" s="49">
        <v>49813</v>
      </c>
      <c r="AZ2719" s="49">
        <v>49813</v>
      </c>
      <c r="BA2719" s="49">
        <v>49813</v>
      </c>
    </row>
    <row r="2720" spans="23:53" ht="16.2" customHeight="1" x14ac:dyDescent="0.4">
      <c r="W2720" s="49">
        <v>49819</v>
      </c>
      <c r="X2720" s="49">
        <v>49819</v>
      </c>
      <c r="Y2720" s="49">
        <v>49819</v>
      </c>
      <c r="AY2720" s="49">
        <v>49819</v>
      </c>
      <c r="AZ2720" s="49">
        <v>49819</v>
      </c>
      <c r="BA2720" s="49">
        <v>49819</v>
      </c>
    </row>
    <row r="2721" spans="23:53" ht="16.2" customHeight="1" x14ac:dyDescent="0.4">
      <c r="W2721" s="49">
        <v>49820</v>
      </c>
      <c r="X2721" s="49">
        <v>49820</v>
      </c>
      <c r="Y2721" s="49">
        <v>49820</v>
      </c>
      <c r="AY2721" s="49">
        <v>49820</v>
      </c>
      <c r="AZ2721" s="49">
        <v>49820</v>
      </c>
      <c r="BA2721" s="49">
        <v>49820</v>
      </c>
    </row>
    <row r="2722" spans="23:53" ht="16.2" customHeight="1" x14ac:dyDescent="0.4">
      <c r="W2722" s="49">
        <v>49826</v>
      </c>
      <c r="X2722" s="49">
        <v>49826</v>
      </c>
      <c r="Y2722" s="49">
        <v>49826</v>
      </c>
      <c r="AY2722" s="49">
        <v>49826</v>
      </c>
      <c r="AZ2722" s="49">
        <v>49826</v>
      </c>
      <c r="BA2722" s="49">
        <v>49826</v>
      </c>
    </row>
    <row r="2723" spans="23:53" ht="16.2" customHeight="1" x14ac:dyDescent="0.4">
      <c r="W2723" s="49">
        <v>49827</v>
      </c>
      <c r="X2723" s="49">
        <v>49827</v>
      </c>
      <c r="Y2723" s="49">
        <v>49827</v>
      </c>
      <c r="AY2723" s="49">
        <v>49827</v>
      </c>
      <c r="AZ2723" s="49">
        <v>49827</v>
      </c>
      <c r="BA2723" s="49">
        <v>49827</v>
      </c>
    </row>
    <row r="2724" spans="23:53" ht="16.2" customHeight="1" x14ac:dyDescent="0.4">
      <c r="W2724" s="49">
        <v>49832</v>
      </c>
      <c r="X2724" s="49">
        <v>49832</v>
      </c>
      <c r="Y2724" s="49">
        <v>49832</v>
      </c>
      <c r="AY2724" s="49">
        <v>49832</v>
      </c>
      <c r="AZ2724" s="49">
        <v>49832</v>
      </c>
      <c r="BA2724" s="49">
        <v>49832</v>
      </c>
    </row>
    <row r="2725" spans="23:53" ht="16.2" customHeight="1" x14ac:dyDescent="0.4">
      <c r="W2725" s="49">
        <v>49833</v>
      </c>
      <c r="X2725" s="49">
        <v>49833</v>
      </c>
      <c r="Y2725" s="49">
        <v>49833</v>
      </c>
      <c r="AY2725" s="49">
        <v>49833</v>
      </c>
      <c r="AZ2725" s="49">
        <v>49833</v>
      </c>
      <c r="BA2725" s="49">
        <v>49833</v>
      </c>
    </row>
    <row r="2726" spans="23:53" ht="16.2" customHeight="1" x14ac:dyDescent="0.4">
      <c r="W2726" s="49">
        <v>49834</v>
      </c>
      <c r="X2726" s="49">
        <v>49834</v>
      </c>
      <c r="Y2726" s="49">
        <v>49834</v>
      </c>
      <c r="AY2726" s="49">
        <v>49834</v>
      </c>
      <c r="AZ2726" s="49">
        <v>49834</v>
      </c>
      <c r="BA2726" s="49">
        <v>49834</v>
      </c>
    </row>
    <row r="2727" spans="23:53" ht="16.2" customHeight="1" x14ac:dyDescent="0.4">
      <c r="W2727" s="49">
        <v>49840</v>
      </c>
      <c r="X2727" s="49">
        <v>49840</v>
      </c>
      <c r="Y2727" s="49">
        <v>49840</v>
      </c>
      <c r="AY2727" s="49">
        <v>49840</v>
      </c>
      <c r="AZ2727" s="49">
        <v>49840</v>
      </c>
      <c r="BA2727" s="49">
        <v>49840</v>
      </c>
    </row>
    <row r="2728" spans="23:53" ht="16.2" customHeight="1" x14ac:dyDescent="0.4">
      <c r="W2728" s="49">
        <v>49841</v>
      </c>
      <c r="X2728" s="49">
        <v>49841</v>
      </c>
      <c r="Y2728" s="49">
        <v>49841</v>
      </c>
      <c r="AY2728" s="49">
        <v>49841</v>
      </c>
      <c r="AZ2728" s="49">
        <v>49841</v>
      </c>
      <c r="BA2728" s="49">
        <v>49841</v>
      </c>
    </row>
    <row r="2729" spans="23:53" ht="16.2" customHeight="1" x14ac:dyDescent="0.4">
      <c r="W2729" s="49">
        <v>49847</v>
      </c>
      <c r="X2729" s="49">
        <v>49847</v>
      </c>
      <c r="Y2729" s="49">
        <v>49847</v>
      </c>
      <c r="AY2729" s="49">
        <v>49847</v>
      </c>
      <c r="AZ2729" s="49">
        <v>49847</v>
      </c>
      <c r="BA2729" s="49">
        <v>49847</v>
      </c>
    </row>
    <row r="2730" spans="23:53" ht="16.2" customHeight="1" x14ac:dyDescent="0.4">
      <c r="W2730" s="49">
        <v>49848</v>
      </c>
      <c r="X2730" s="49">
        <v>49848</v>
      </c>
      <c r="Y2730" s="49">
        <v>49848</v>
      </c>
      <c r="AY2730" s="49">
        <v>49848</v>
      </c>
      <c r="AZ2730" s="49">
        <v>49848</v>
      </c>
      <c r="BA2730" s="49">
        <v>49848</v>
      </c>
    </row>
    <row r="2731" spans="23:53" ht="16.2" customHeight="1" x14ac:dyDescent="0.4">
      <c r="W2731" s="49">
        <v>49854</v>
      </c>
      <c r="X2731" s="49">
        <v>49854</v>
      </c>
      <c r="Y2731" s="49">
        <v>49854</v>
      </c>
      <c r="AY2731" s="49">
        <v>49854</v>
      </c>
      <c r="AZ2731" s="49">
        <v>49854</v>
      </c>
      <c r="BA2731" s="49">
        <v>49854</v>
      </c>
    </row>
    <row r="2732" spans="23:53" ht="16.2" customHeight="1" x14ac:dyDescent="0.4">
      <c r="W2732" s="49">
        <v>49855</v>
      </c>
      <c r="X2732" s="49">
        <v>49855</v>
      </c>
      <c r="Y2732" s="49">
        <v>49855</v>
      </c>
      <c r="AY2732" s="49">
        <v>49855</v>
      </c>
      <c r="AZ2732" s="49">
        <v>49855</v>
      </c>
      <c r="BA2732" s="49">
        <v>49855</v>
      </c>
    </row>
    <row r="2733" spans="23:53" ht="16.2" customHeight="1" x14ac:dyDescent="0.4">
      <c r="W2733" s="49">
        <v>49861</v>
      </c>
      <c r="X2733" s="49">
        <v>49861</v>
      </c>
      <c r="Y2733" s="49">
        <v>49861</v>
      </c>
      <c r="AY2733" s="49">
        <v>49861</v>
      </c>
      <c r="AZ2733" s="49">
        <v>49861</v>
      </c>
      <c r="BA2733" s="49">
        <v>49861</v>
      </c>
    </row>
    <row r="2734" spans="23:53" ht="16.2" customHeight="1" x14ac:dyDescent="0.4">
      <c r="W2734" s="49">
        <v>49862</v>
      </c>
      <c r="X2734" s="49">
        <v>49862</v>
      </c>
      <c r="Y2734" s="49">
        <v>49862</v>
      </c>
      <c r="AY2734" s="49">
        <v>49862</v>
      </c>
      <c r="AZ2734" s="49">
        <v>49862</v>
      </c>
      <c r="BA2734" s="49">
        <v>49862</v>
      </c>
    </row>
    <row r="2735" spans="23:53" ht="16.2" customHeight="1" x14ac:dyDescent="0.4">
      <c r="W2735" s="49">
        <v>49868</v>
      </c>
      <c r="X2735" s="49">
        <v>49868</v>
      </c>
      <c r="Y2735" s="49">
        <v>49868</v>
      </c>
      <c r="AY2735" s="49">
        <v>49868</v>
      </c>
      <c r="AZ2735" s="49">
        <v>49868</v>
      </c>
      <c r="BA2735" s="49">
        <v>49868</v>
      </c>
    </row>
    <row r="2736" spans="23:53" ht="16.2" customHeight="1" x14ac:dyDescent="0.4">
      <c r="W2736" s="49">
        <v>49869</v>
      </c>
      <c r="X2736" s="49">
        <v>49869</v>
      </c>
      <c r="Y2736" s="49">
        <v>49869</v>
      </c>
      <c r="AY2736" s="49">
        <v>49869</v>
      </c>
      <c r="AZ2736" s="49">
        <v>49869</v>
      </c>
      <c r="BA2736" s="49">
        <v>49869</v>
      </c>
    </row>
    <row r="2737" spans="23:53" ht="16.2" customHeight="1" x14ac:dyDescent="0.4">
      <c r="W2737" s="49">
        <v>49875</v>
      </c>
      <c r="X2737" s="49">
        <v>49875</v>
      </c>
      <c r="Y2737" s="49">
        <v>49875</v>
      </c>
      <c r="AY2737" s="49">
        <v>49875</v>
      </c>
      <c r="AZ2737" s="49">
        <v>49875</v>
      </c>
      <c r="BA2737" s="49">
        <v>49875</v>
      </c>
    </row>
    <row r="2738" spans="23:53" ht="16.2" customHeight="1" x14ac:dyDescent="0.4">
      <c r="W2738" s="49">
        <v>49876</v>
      </c>
      <c r="X2738" s="49">
        <v>49876</v>
      </c>
      <c r="Y2738" s="49">
        <v>49876</v>
      </c>
      <c r="AY2738" s="49">
        <v>49876</v>
      </c>
      <c r="AZ2738" s="49">
        <v>49876</v>
      </c>
      <c r="BA2738" s="49">
        <v>49876</v>
      </c>
    </row>
    <row r="2739" spans="23:53" ht="16.2" customHeight="1" x14ac:dyDescent="0.4">
      <c r="W2739" s="49">
        <v>49882</v>
      </c>
      <c r="X2739" s="49">
        <v>49882</v>
      </c>
      <c r="Y2739" s="49">
        <v>49882</v>
      </c>
      <c r="AY2739" s="49">
        <v>49882</v>
      </c>
      <c r="AZ2739" s="49">
        <v>49882</v>
      </c>
      <c r="BA2739" s="49">
        <v>49882</v>
      </c>
    </row>
    <row r="2740" spans="23:53" ht="16.2" customHeight="1" x14ac:dyDescent="0.4">
      <c r="W2740" s="49">
        <v>49883</v>
      </c>
      <c r="X2740" s="49">
        <v>49883</v>
      </c>
      <c r="Y2740" s="49">
        <v>49883</v>
      </c>
      <c r="AY2740" s="49">
        <v>49883</v>
      </c>
      <c r="AZ2740" s="49">
        <v>49883</v>
      </c>
      <c r="BA2740" s="49">
        <v>49883</v>
      </c>
    </row>
    <row r="2741" spans="23:53" ht="16.2" customHeight="1" x14ac:dyDescent="0.4">
      <c r="W2741" s="49">
        <v>49889</v>
      </c>
      <c r="X2741" s="49">
        <v>49889</v>
      </c>
      <c r="Y2741" s="49">
        <v>49889</v>
      </c>
      <c r="AY2741" s="49">
        <v>49889</v>
      </c>
      <c r="AZ2741" s="49">
        <v>49889</v>
      </c>
      <c r="BA2741" s="49">
        <v>49889</v>
      </c>
    </row>
    <row r="2742" spans="23:53" ht="16.2" customHeight="1" x14ac:dyDescent="0.4">
      <c r="W2742" s="49">
        <v>49890</v>
      </c>
      <c r="X2742" s="49">
        <v>49890</v>
      </c>
      <c r="Y2742" s="49">
        <v>49890</v>
      </c>
      <c r="AY2742" s="49">
        <v>49890</v>
      </c>
      <c r="AZ2742" s="49">
        <v>49890</v>
      </c>
      <c r="BA2742" s="49">
        <v>49890</v>
      </c>
    </row>
    <row r="2743" spans="23:53" ht="16.2" customHeight="1" x14ac:dyDescent="0.4">
      <c r="W2743" s="49">
        <v>49896</v>
      </c>
      <c r="X2743" s="49">
        <v>49896</v>
      </c>
      <c r="Y2743" s="49">
        <v>49896</v>
      </c>
      <c r="AY2743" s="49">
        <v>49896</v>
      </c>
      <c r="AZ2743" s="49">
        <v>49896</v>
      </c>
      <c r="BA2743" s="49">
        <v>49896</v>
      </c>
    </row>
    <row r="2744" spans="23:53" ht="16.2" customHeight="1" x14ac:dyDescent="0.4">
      <c r="W2744" s="49">
        <v>49897</v>
      </c>
      <c r="X2744" s="49">
        <v>49897</v>
      </c>
      <c r="Y2744" s="49">
        <v>49897</v>
      </c>
      <c r="AY2744" s="49">
        <v>49897</v>
      </c>
      <c r="AZ2744" s="49">
        <v>49897</v>
      </c>
      <c r="BA2744" s="49">
        <v>49897</v>
      </c>
    </row>
    <row r="2745" spans="23:53" ht="16.2" customHeight="1" x14ac:dyDescent="0.4">
      <c r="W2745" s="49">
        <v>49902</v>
      </c>
      <c r="X2745" s="49">
        <v>49902</v>
      </c>
      <c r="Y2745" s="49">
        <v>49902</v>
      </c>
      <c r="AY2745" s="49">
        <v>49902</v>
      </c>
      <c r="AZ2745" s="49">
        <v>49902</v>
      </c>
      <c r="BA2745" s="49">
        <v>49902</v>
      </c>
    </row>
    <row r="2746" spans="23:53" ht="16.2" customHeight="1" x14ac:dyDescent="0.4">
      <c r="W2746" s="49">
        <v>49903</v>
      </c>
      <c r="X2746" s="49">
        <v>49903</v>
      </c>
      <c r="Y2746" s="49">
        <v>49903</v>
      </c>
      <c r="AY2746" s="49">
        <v>49903</v>
      </c>
      <c r="AZ2746" s="49">
        <v>49903</v>
      </c>
      <c r="BA2746" s="49">
        <v>49903</v>
      </c>
    </row>
    <row r="2747" spans="23:53" ht="16.2" customHeight="1" x14ac:dyDescent="0.4">
      <c r="W2747" s="49">
        <v>49904</v>
      </c>
      <c r="X2747" s="49">
        <v>49904</v>
      </c>
      <c r="Y2747" s="49">
        <v>49904</v>
      </c>
      <c r="AY2747" s="49">
        <v>49904</v>
      </c>
      <c r="AZ2747" s="49">
        <v>49904</v>
      </c>
      <c r="BA2747" s="49">
        <v>49904</v>
      </c>
    </row>
    <row r="2748" spans="23:53" ht="16.2" customHeight="1" x14ac:dyDescent="0.4">
      <c r="W2748" s="49">
        <v>49910</v>
      </c>
      <c r="X2748" s="49">
        <v>49910</v>
      </c>
      <c r="Y2748" s="49">
        <v>49910</v>
      </c>
      <c r="AY2748" s="49">
        <v>49910</v>
      </c>
      <c r="AZ2748" s="49">
        <v>49910</v>
      </c>
      <c r="BA2748" s="49">
        <v>49910</v>
      </c>
    </row>
    <row r="2749" spans="23:53" ht="16.2" customHeight="1" x14ac:dyDescent="0.4">
      <c r="W2749" s="49">
        <v>49911</v>
      </c>
      <c r="X2749" s="49">
        <v>49911</v>
      </c>
      <c r="Y2749" s="49">
        <v>49911</v>
      </c>
      <c r="AY2749" s="49">
        <v>49911</v>
      </c>
      <c r="AZ2749" s="49">
        <v>49911</v>
      </c>
      <c r="BA2749" s="49">
        <v>49911</v>
      </c>
    </row>
    <row r="2750" spans="23:53" ht="16.2" customHeight="1" x14ac:dyDescent="0.4">
      <c r="W2750" s="49">
        <v>49917</v>
      </c>
      <c r="X2750" s="49">
        <v>49917</v>
      </c>
      <c r="Y2750" s="49">
        <v>49917</v>
      </c>
      <c r="AY2750" s="49">
        <v>49917</v>
      </c>
      <c r="AZ2750" s="49">
        <v>49917</v>
      </c>
      <c r="BA2750" s="49">
        <v>49917</v>
      </c>
    </row>
    <row r="2751" spans="23:53" ht="16.2" customHeight="1" x14ac:dyDescent="0.4">
      <c r="W2751" s="49">
        <v>49918</v>
      </c>
      <c r="X2751" s="49">
        <v>49918</v>
      </c>
      <c r="Y2751" s="49">
        <v>49918</v>
      </c>
      <c r="AY2751" s="49">
        <v>49918</v>
      </c>
      <c r="AZ2751" s="49">
        <v>49918</v>
      </c>
      <c r="BA2751" s="49">
        <v>49918</v>
      </c>
    </row>
    <row r="2752" spans="23:53" ht="16.2" customHeight="1" x14ac:dyDescent="0.4">
      <c r="W2752" s="49">
        <v>49924</v>
      </c>
      <c r="X2752" s="49">
        <v>49924</v>
      </c>
      <c r="Y2752" s="49">
        <v>49924</v>
      </c>
      <c r="AY2752" s="49">
        <v>49924</v>
      </c>
      <c r="AZ2752" s="49">
        <v>49924</v>
      </c>
      <c r="BA2752" s="49">
        <v>49924</v>
      </c>
    </row>
    <row r="2753" spans="23:53" ht="16.2" customHeight="1" x14ac:dyDescent="0.4">
      <c r="W2753" s="49">
        <v>49925</v>
      </c>
      <c r="X2753" s="49">
        <v>49925</v>
      </c>
      <c r="Y2753" s="49">
        <v>49925</v>
      </c>
      <c r="AY2753" s="49">
        <v>49925</v>
      </c>
      <c r="AZ2753" s="49">
        <v>49925</v>
      </c>
      <c r="BA2753" s="49">
        <v>49925</v>
      </c>
    </row>
    <row r="2754" spans="23:53" ht="16.2" customHeight="1" x14ac:dyDescent="0.4">
      <c r="W2754" s="49">
        <v>49931</v>
      </c>
      <c r="X2754" s="49">
        <v>49931</v>
      </c>
      <c r="Y2754" s="49">
        <v>49931</v>
      </c>
      <c r="AY2754" s="49">
        <v>49931</v>
      </c>
      <c r="AZ2754" s="49">
        <v>49931</v>
      </c>
      <c r="BA2754" s="49">
        <v>49931</v>
      </c>
    </row>
    <row r="2755" spans="23:53" ht="16.2" customHeight="1" x14ac:dyDescent="0.4">
      <c r="W2755" s="49">
        <v>49932</v>
      </c>
      <c r="X2755" s="49">
        <v>49932</v>
      </c>
      <c r="Y2755" s="49">
        <v>49932</v>
      </c>
      <c r="AY2755" s="49">
        <v>49932</v>
      </c>
      <c r="AZ2755" s="49">
        <v>49932</v>
      </c>
      <c r="BA2755" s="49">
        <v>49932</v>
      </c>
    </row>
    <row r="2756" spans="23:53" ht="16.2" customHeight="1" x14ac:dyDescent="0.4">
      <c r="W2756" s="49">
        <v>49938</v>
      </c>
      <c r="X2756" s="49">
        <v>49938</v>
      </c>
      <c r="Y2756" s="49">
        <v>49938</v>
      </c>
      <c r="AY2756" s="49">
        <v>49938</v>
      </c>
      <c r="AZ2756" s="49">
        <v>49938</v>
      </c>
      <c r="BA2756" s="49">
        <v>49938</v>
      </c>
    </row>
    <row r="2757" spans="23:53" ht="16.2" customHeight="1" x14ac:dyDescent="0.4">
      <c r="W2757" s="49">
        <v>49939</v>
      </c>
      <c r="X2757" s="49">
        <v>49939</v>
      </c>
      <c r="Y2757" s="49">
        <v>49939</v>
      </c>
      <c r="AY2757" s="49">
        <v>49939</v>
      </c>
      <c r="AZ2757" s="49">
        <v>49939</v>
      </c>
      <c r="BA2757" s="49">
        <v>49939</v>
      </c>
    </row>
    <row r="2758" spans="23:53" ht="16.2" customHeight="1" x14ac:dyDescent="0.4">
      <c r="W2758" s="49">
        <v>49945</v>
      </c>
      <c r="X2758" s="49">
        <v>49945</v>
      </c>
      <c r="Y2758" s="49">
        <v>49945</v>
      </c>
      <c r="AY2758" s="49">
        <v>49945</v>
      </c>
      <c r="AZ2758" s="49">
        <v>49945</v>
      </c>
      <c r="BA2758" s="49">
        <v>49945</v>
      </c>
    </row>
    <row r="2759" spans="23:53" ht="16.2" customHeight="1" x14ac:dyDescent="0.4">
      <c r="W2759" s="49">
        <v>49946</v>
      </c>
      <c r="X2759" s="49">
        <v>49946</v>
      </c>
      <c r="Y2759" s="49">
        <v>49946</v>
      </c>
      <c r="AY2759" s="49">
        <v>49946</v>
      </c>
      <c r="AZ2759" s="49">
        <v>49946</v>
      </c>
      <c r="BA2759" s="49">
        <v>49946</v>
      </c>
    </row>
    <row r="2760" spans="23:53" ht="16.2" customHeight="1" x14ac:dyDescent="0.4">
      <c r="W2760" s="49">
        <v>49951</v>
      </c>
      <c r="X2760" s="49">
        <v>49951</v>
      </c>
      <c r="Y2760" s="49">
        <v>49951</v>
      </c>
      <c r="AY2760" s="49">
        <v>49951</v>
      </c>
      <c r="AZ2760" s="49">
        <v>49951</v>
      </c>
      <c r="BA2760" s="49">
        <v>49951</v>
      </c>
    </row>
    <row r="2761" spans="23:53" ht="16.2" customHeight="1" x14ac:dyDescent="0.4">
      <c r="W2761" s="49">
        <v>49953</v>
      </c>
      <c r="X2761" s="49">
        <v>49953</v>
      </c>
      <c r="Y2761" s="49">
        <v>49953</v>
      </c>
      <c r="AY2761" s="49">
        <v>49953</v>
      </c>
      <c r="AZ2761" s="49">
        <v>49953</v>
      </c>
      <c r="BA2761" s="49">
        <v>49953</v>
      </c>
    </row>
    <row r="2762" spans="23:53" ht="16.2" customHeight="1" x14ac:dyDescent="0.4">
      <c r="W2762" s="49">
        <v>49957</v>
      </c>
      <c r="X2762" s="49">
        <v>49957</v>
      </c>
      <c r="Y2762" s="49">
        <v>49957</v>
      </c>
      <c r="AY2762" s="49">
        <v>49957</v>
      </c>
      <c r="AZ2762" s="49">
        <v>49957</v>
      </c>
      <c r="BA2762" s="49">
        <v>49957</v>
      </c>
    </row>
    <row r="2763" spans="23:53" ht="16.2" customHeight="1" x14ac:dyDescent="0.4">
      <c r="W2763" s="49">
        <v>49959</v>
      </c>
      <c r="X2763" s="49">
        <v>49959</v>
      </c>
      <c r="Y2763" s="49">
        <v>49959</v>
      </c>
      <c r="AY2763" s="49">
        <v>49959</v>
      </c>
      <c r="AZ2763" s="49">
        <v>49959</v>
      </c>
      <c r="BA2763" s="49">
        <v>49959</v>
      </c>
    </row>
    <row r="2764" spans="23:53" ht="16.2" customHeight="1" x14ac:dyDescent="0.4">
      <c r="W2764" s="49">
        <v>49960</v>
      </c>
      <c r="X2764" s="49">
        <v>49960</v>
      </c>
      <c r="Y2764" s="49">
        <v>49960</v>
      </c>
      <c r="AY2764" s="49">
        <v>49960</v>
      </c>
      <c r="AZ2764" s="49">
        <v>49960</v>
      </c>
      <c r="BA2764" s="49">
        <v>49960</v>
      </c>
    </row>
    <row r="2765" spans="23:53" ht="16.2" customHeight="1" x14ac:dyDescent="0.4">
      <c r="W2765" s="49">
        <v>49966</v>
      </c>
      <c r="X2765" s="49">
        <v>49966</v>
      </c>
      <c r="Y2765" s="49">
        <v>49966</v>
      </c>
      <c r="AY2765" s="49">
        <v>49966</v>
      </c>
      <c r="AZ2765" s="49">
        <v>49966</v>
      </c>
      <c r="BA2765" s="49">
        <v>49966</v>
      </c>
    </row>
    <row r="2766" spans="23:53" ht="16.2" customHeight="1" x14ac:dyDescent="0.4">
      <c r="W2766" s="49">
        <v>49967</v>
      </c>
      <c r="X2766" s="49">
        <v>49967</v>
      </c>
      <c r="Y2766" s="49">
        <v>49967</v>
      </c>
      <c r="AY2766" s="49">
        <v>49967</v>
      </c>
      <c r="AZ2766" s="49">
        <v>49967</v>
      </c>
      <c r="BA2766" s="49">
        <v>49967</v>
      </c>
    </row>
    <row r="2767" spans="23:53" ht="16.2" customHeight="1" x14ac:dyDescent="0.4">
      <c r="W2767" s="49">
        <v>49973</v>
      </c>
      <c r="X2767" s="49">
        <v>49973</v>
      </c>
      <c r="Y2767" s="49">
        <v>49973</v>
      </c>
      <c r="AY2767" s="49">
        <v>49973</v>
      </c>
      <c r="AZ2767" s="49">
        <v>49973</v>
      </c>
      <c r="BA2767" s="49">
        <v>49973</v>
      </c>
    </row>
    <row r="2768" spans="23:53" ht="16.2" customHeight="1" x14ac:dyDescent="0.4">
      <c r="W2768" s="49">
        <v>49974</v>
      </c>
      <c r="X2768" s="49">
        <v>49974</v>
      </c>
      <c r="Y2768" s="49">
        <v>49974</v>
      </c>
      <c r="AY2768" s="49">
        <v>49974</v>
      </c>
      <c r="AZ2768" s="49">
        <v>49974</v>
      </c>
      <c r="BA2768" s="49">
        <v>49974</v>
      </c>
    </row>
    <row r="2769" spans="23:53" ht="16.2" customHeight="1" x14ac:dyDescent="0.4">
      <c r="W2769" s="49">
        <v>49980</v>
      </c>
      <c r="X2769" s="49">
        <v>49980</v>
      </c>
      <c r="Y2769" s="49">
        <v>49980</v>
      </c>
      <c r="AY2769" s="49">
        <v>49980</v>
      </c>
      <c r="AZ2769" s="49">
        <v>49980</v>
      </c>
      <c r="BA2769" s="49">
        <v>49980</v>
      </c>
    </row>
    <row r="2770" spans="23:53" ht="16.2" customHeight="1" x14ac:dyDescent="0.4">
      <c r="W2770" s="49">
        <v>49981</v>
      </c>
      <c r="X2770" s="49">
        <v>49981</v>
      </c>
      <c r="Y2770" s="49">
        <v>49981</v>
      </c>
      <c r="AY2770" s="49">
        <v>49981</v>
      </c>
      <c r="AZ2770" s="49">
        <v>49981</v>
      </c>
      <c r="BA2770" s="49">
        <v>49981</v>
      </c>
    </row>
    <row r="2771" spans="23:53" ht="16.2" customHeight="1" x14ac:dyDescent="0.4">
      <c r="W2771" s="49">
        <v>49987</v>
      </c>
      <c r="X2771" s="49">
        <v>49987</v>
      </c>
      <c r="Y2771" s="49">
        <v>49987</v>
      </c>
      <c r="AY2771" s="49">
        <v>49987</v>
      </c>
      <c r="AZ2771" s="49">
        <v>49987</v>
      </c>
      <c r="BA2771" s="49">
        <v>49987</v>
      </c>
    </row>
    <row r="2772" spans="23:53" ht="16.2" customHeight="1" x14ac:dyDescent="0.4">
      <c r="W2772" s="49">
        <v>49988</v>
      </c>
      <c r="X2772" s="49">
        <v>49988</v>
      </c>
      <c r="Y2772" s="49">
        <v>49988</v>
      </c>
      <c r="AY2772" s="49">
        <v>49988</v>
      </c>
      <c r="AZ2772" s="49">
        <v>49988</v>
      </c>
      <c r="BA2772" s="49">
        <v>49988</v>
      </c>
    </row>
    <row r="2773" spans="23:53" ht="16.2" customHeight="1" x14ac:dyDescent="0.4">
      <c r="W2773" s="49">
        <v>49994</v>
      </c>
      <c r="X2773" s="49">
        <v>49994</v>
      </c>
      <c r="Y2773" s="49">
        <v>49994</v>
      </c>
      <c r="AY2773" s="49">
        <v>49994</v>
      </c>
      <c r="AZ2773" s="49">
        <v>49994</v>
      </c>
      <c r="BA2773" s="49">
        <v>49994</v>
      </c>
    </row>
    <row r="2774" spans="23:53" ht="16.2" customHeight="1" x14ac:dyDescent="0.4">
      <c r="W2774" s="49">
        <v>49995</v>
      </c>
      <c r="X2774" s="49">
        <v>49995</v>
      </c>
      <c r="Y2774" s="49">
        <v>49995</v>
      </c>
      <c r="AY2774" s="49">
        <v>49995</v>
      </c>
      <c r="AZ2774" s="49">
        <v>49995</v>
      </c>
      <c r="BA2774" s="49">
        <v>49995</v>
      </c>
    </row>
    <row r="2775" spans="23:53" ht="16.2" customHeight="1" x14ac:dyDescent="0.4">
      <c r="W2775" s="49">
        <v>50001</v>
      </c>
      <c r="X2775" s="49">
        <v>50001</v>
      </c>
      <c r="Y2775" s="49">
        <v>50001</v>
      </c>
      <c r="AY2775" s="49">
        <v>50001</v>
      </c>
      <c r="AZ2775" s="49">
        <v>50001</v>
      </c>
      <c r="BA2775" s="49">
        <v>50001</v>
      </c>
    </row>
    <row r="2776" spans="23:53" ht="16.2" customHeight="1" x14ac:dyDescent="0.4">
      <c r="W2776" s="49">
        <v>50002</v>
      </c>
      <c r="X2776" s="49">
        <v>50002</v>
      </c>
      <c r="Y2776" s="49">
        <v>50002</v>
      </c>
      <c r="AY2776" s="49">
        <v>50002</v>
      </c>
      <c r="AZ2776" s="49">
        <v>50002</v>
      </c>
      <c r="BA2776" s="49">
        <v>50002</v>
      </c>
    </row>
    <row r="2777" spans="23:53" ht="16.2" customHeight="1" x14ac:dyDescent="0.4">
      <c r="W2777" s="49">
        <v>50008</v>
      </c>
      <c r="X2777" s="49">
        <v>50008</v>
      </c>
      <c r="Y2777" s="49">
        <v>50008</v>
      </c>
      <c r="AY2777" s="49">
        <v>50008</v>
      </c>
      <c r="AZ2777" s="49">
        <v>50008</v>
      </c>
      <c r="BA2777" s="49">
        <v>50008</v>
      </c>
    </row>
    <row r="2778" spans="23:53" ht="16.2" customHeight="1" x14ac:dyDescent="0.4">
      <c r="W2778" s="49">
        <v>50009</v>
      </c>
      <c r="X2778" s="49">
        <v>50009</v>
      </c>
      <c r="Y2778" s="49">
        <v>50009</v>
      </c>
      <c r="AY2778" s="49">
        <v>50009</v>
      </c>
      <c r="AZ2778" s="49">
        <v>50009</v>
      </c>
      <c r="BA2778" s="49">
        <v>50009</v>
      </c>
    </row>
    <row r="2779" spans="23:53" ht="16.2" customHeight="1" x14ac:dyDescent="0.4">
      <c r="W2779" s="49">
        <v>50015</v>
      </c>
      <c r="X2779" s="49">
        <v>50015</v>
      </c>
      <c r="Y2779" s="49">
        <v>50015</v>
      </c>
      <c r="AY2779" s="49">
        <v>50015</v>
      </c>
      <c r="AZ2779" s="49">
        <v>50015</v>
      </c>
      <c r="BA2779" s="49">
        <v>50015</v>
      </c>
    </row>
    <row r="2780" spans="23:53" ht="16.2" customHeight="1" x14ac:dyDescent="0.4">
      <c r="W2780" s="49">
        <v>50016</v>
      </c>
      <c r="X2780" s="49">
        <v>50016</v>
      </c>
      <c r="Y2780" s="49">
        <v>50016</v>
      </c>
      <c r="AY2780" s="49">
        <v>50016</v>
      </c>
      <c r="AZ2780" s="49">
        <v>50016</v>
      </c>
      <c r="BA2780" s="49">
        <v>50016</v>
      </c>
    </row>
    <row r="2781" spans="23:53" ht="16.2" customHeight="1" x14ac:dyDescent="0.4">
      <c r="W2781" s="49">
        <v>50022</v>
      </c>
      <c r="X2781" s="49">
        <v>50022</v>
      </c>
      <c r="Y2781" s="49">
        <v>50022</v>
      </c>
      <c r="AY2781" s="49">
        <v>50022</v>
      </c>
      <c r="AZ2781" s="49">
        <v>50022</v>
      </c>
      <c r="BA2781" s="49">
        <v>50022</v>
      </c>
    </row>
    <row r="2782" spans="23:53" ht="16.2" customHeight="1" x14ac:dyDescent="0.4">
      <c r="W2782" s="49">
        <v>50023</v>
      </c>
      <c r="X2782" s="49">
        <v>50023</v>
      </c>
      <c r="Y2782" s="49">
        <v>50023</v>
      </c>
      <c r="AY2782" s="49">
        <v>50023</v>
      </c>
      <c r="AZ2782" s="49">
        <v>50023</v>
      </c>
      <c r="BA2782" s="49">
        <v>50023</v>
      </c>
    </row>
    <row r="2783" spans="23:53" ht="16.2" customHeight="1" x14ac:dyDescent="0.4">
      <c r="W2783" s="49">
        <v>50029</v>
      </c>
      <c r="X2783" s="49">
        <v>50029</v>
      </c>
      <c r="Y2783" s="49">
        <v>50029</v>
      </c>
      <c r="AY2783" s="49">
        <v>50029</v>
      </c>
      <c r="AZ2783" s="49">
        <v>50029</v>
      </c>
      <c r="BA2783" s="49">
        <v>50029</v>
      </c>
    </row>
    <row r="2784" spans="23:53" ht="16.2" customHeight="1" x14ac:dyDescent="0.4">
      <c r="W2784" s="49">
        <v>50030</v>
      </c>
      <c r="X2784" s="49">
        <v>50030</v>
      </c>
      <c r="Y2784" s="49">
        <v>50030</v>
      </c>
      <c r="AY2784" s="49">
        <v>50030</v>
      </c>
      <c r="AZ2784" s="49">
        <v>50030</v>
      </c>
      <c r="BA2784" s="49">
        <v>50030</v>
      </c>
    </row>
    <row r="2785" spans="23:53" ht="16.2" customHeight="1" x14ac:dyDescent="0.4">
      <c r="W2785" s="49">
        <v>50034</v>
      </c>
      <c r="X2785" s="49">
        <v>50034</v>
      </c>
      <c r="Y2785" s="49">
        <v>50034</v>
      </c>
      <c r="AY2785" s="49">
        <v>50034</v>
      </c>
      <c r="AZ2785" s="49">
        <v>50034</v>
      </c>
      <c r="BA2785" s="49">
        <v>50034</v>
      </c>
    </row>
    <row r="2786" spans="23:53" ht="16.2" customHeight="1" x14ac:dyDescent="0.4">
      <c r="W2786" s="49">
        <v>50036</v>
      </c>
      <c r="X2786" s="49">
        <v>50036</v>
      </c>
      <c r="Y2786" s="49">
        <v>50036</v>
      </c>
      <c r="AY2786" s="49">
        <v>50036</v>
      </c>
      <c r="AZ2786" s="49">
        <v>50036</v>
      </c>
      <c r="BA2786" s="49">
        <v>50036</v>
      </c>
    </row>
    <row r="2787" spans="23:53" ht="16.2" customHeight="1" x14ac:dyDescent="0.4">
      <c r="W2787" s="49">
        <v>50037</v>
      </c>
      <c r="X2787" s="49">
        <v>50037</v>
      </c>
      <c r="Y2787" s="49">
        <v>50037</v>
      </c>
      <c r="AY2787" s="49">
        <v>50037</v>
      </c>
      <c r="AZ2787" s="49">
        <v>50037</v>
      </c>
      <c r="BA2787" s="49">
        <v>50037</v>
      </c>
    </row>
    <row r="2788" spans="23:53" ht="16.2" customHeight="1" x14ac:dyDescent="0.4">
      <c r="W2788" s="49">
        <v>50041</v>
      </c>
      <c r="X2788" s="49">
        <v>50041</v>
      </c>
      <c r="Y2788" s="49">
        <v>50041</v>
      </c>
      <c r="AY2788" s="49">
        <v>50041</v>
      </c>
      <c r="AZ2788" s="49">
        <v>50041</v>
      </c>
      <c r="BA2788" s="49">
        <v>50041</v>
      </c>
    </row>
    <row r="2789" spans="23:53" ht="16.2" customHeight="1" x14ac:dyDescent="0.4">
      <c r="W2789" s="49">
        <v>50043</v>
      </c>
      <c r="X2789" s="49">
        <v>50043</v>
      </c>
      <c r="Y2789" s="49">
        <v>50043</v>
      </c>
      <c r="AY2789" s="49">
        <v>50043</v>
      </c>
      <c r="AZ2789" s="49">
        <v>50043</v>
      </c>
      <c r="BA2789" s="49">
        <v>50043</v>
      </c>
    </row>
    <row r="2790" spans="23:53" ht="16.2" customHeight="1" x14ac:dyDescent="0.4">
      <c r="W2790" s="49">
        <v>50044</v>
      </c>
      <c r="X2790" s="49">
        <v>50044</v>
      </c>
      <c r="Y2790" s="49">
        <v>50044</v>
      </c>
      <c r="AY2790" s="49">
        <v>50044</v>
      </c>
      <c r="AZ2790" s="49">
        <v>50044</v>
      </c>
      <c r="BA2790" s="49">
        <v>50044</v>
      </c>
    </row>
    <row r="2791" spans="23:53" ht="16.2" customHeight="1" x14ac:dyDescent="0.4">
      <c r="W2791" s="49">
        <v>50050</v>
      </c>
      <c r="X2791" s="49">
        <v>50050</v>
      </c>
      <c r="Y2791" s="49">
        <v>50050</v>
      </c>
      <c r="AY2791" s="49">
        <v>50050</v>
      </c>
      <c r="AZ2791" s="49">
        <v>50050</v>
      </c>
      <c r="BA2791" s="49">
        <v>50050</v>
      </c>
    </row>
    <row r="2792" spans="23:53" ht="16.2" customHeight="1" x14ac:dyDescent="0.4">
      <c r="W2792" s="49">
        <v>50051</v>
      </c>
      <c r="X2792" s="49">
        <v>50051</v>
      </c>
      <c r="Y2792" s="49">
        <v>50051</v>
      </c>
      <c r="AY2792" s="49">
        <v>50051</v>
      </c>
      <c r="AZ2792" s="49">
        <v>50051</v>
      </c>
      <c r="BA2792" s="49">
        <v>50051</v>
      </c>
    </row>
    <row r="2793" spans="23:53" ht="16.2" customHeight="1" x14ac:dyDescent="0.4">
      <c r="W2793" s="49">
        <v>50057</v>
      </c>
      <c r="X2793" s="49">
        <v>50057</v>
      </c>
      <c r="Y2793" s="49">
        <v>50057</v>
      </c>
      <c r="AY2793" s="49">
        <v>50057</v>
      </c>
      <c r="AZ2793" s="49">
        <v>50057</v>
      </c>
      <c r="BA2793" s="49">
        <v>50057</v>
      </c>
    </row>
    <row r="2794" spans="23:53" ht="16.2" customHeight="1" x14ac:dyDescent="0.4">
      <c r="W2794" s="49">
        <v>50058</v>
      </c>
      <c r="X2794" s="49">
        <v>50058</v>
      </c>
      <c r="Y2794" s="49">
        <v>50058</v>
      </c>
      <c r="AY2794" s="49">
        <v>50058</v>
      </c>
      <c r="AZ2794" s="49">
        <v>50058</v>
      </c>
      <c r="BA2794" s="49">
        <v>50058</v>
      </c>
    </row>
    <row r="2795" spans="23:53" ht="16.2" customHeight="1" x14ac:dyDescent="0.4">
      <c r="W2795" s="49">
        <v>50064</v>
      </c>
      <c r="X2795" s="49">
        <v>50064</v>
      </c>
      <c r="Y2795" s="49">
        <v>50064</v>
      </c>
      <c r="AY2795" s="49">
        <v>50064</v>
      </c>
      <c r="AZ2795" s="49">
        <v>50064</v>
      </c>
      <c r="BA2795" s="49">
        <v>50064</v>
      </c>
    </row>
    <row r="2796" spans="23:53" ht="16.2" customHeight="1" x14ac:dyDescent="0.4">
      <c r="W2796" s="49">
        <v>50065</v>
      </c>
      <c r="X2796" s="49">
        <v>50065</v>
      </c>
      <c r="Y2796" s="49">
        <v>50065</v>
      </c>
      <c r="AY2796" s="49">
        <v>50065</v>
      </c>
      <c r="AZ2796" s="49">
        <v>50065</v>
      </c>
      <c r="BA2796" s="49">
        <v>50065</v>
      </c>
    </row>
    <row r="2797" spans="23:53" ht="16.2" customHeight="1" x14ac:dyDescent="0.4">
      <c r="W2797" s="49">
        <v>50071</v>
      </c>
      <c r="X2797" s="49">
        <v>50071</v>
      </c>
      <c r="Y2797" s="49">
        <v>50071</v>
      </c>
      <c r="AY2797" s="49">
        <v>50071</v>
      </c>
      <c r="AZ2797" s="49">
        <v>50071</v>
      </c>
      <c r="BA2797" s="49">
        <v>50071</v>
      </c>
    </row>
    <row r="2798" spans="23:53" ht="16.2" customHeight="1" x14ac:dyDescent="0.4">
      <c r="W2798" s="49">
        <v>50072</v>
      </c>
      <c r="X2798" s="49">
        <v>50072</v>
      </c>
      <c r="Y2798" s="49">
        <v>50072</v>
      </c>
      <c r="AY2798" s="49">
        <v>50072</v>
      </c>
      <c r="AZ2798" s="49">
        <v>50072</v>
      </c>
      <c r="BA2798" s="49">
        <v>50072</v>
      </c>
    </row>
    <row r="2799" spans="23:53" ht="16.2" customHeight="1" x14ac:dyDescent="0.4">
      <c r="W2799" s="49">
        <v>50078</v>
      </c>
      <c r="X2799" s="49">
        <v>50078</v>
      </c>
      <c r="Y2799" s="49">
        <v>50078</v>
      </c>
      <c r="AY2799" s="49">
        <v>50078</v>
      </c>
      <c r="AZ2799" s="49">
        <v>50078</v>
      </c>
      <c r="BA2799" s="49">
        <v>50078</v>
      </c>
    </row>
    <row r="2800" spans="23:53" ht="16.2" customHeight="1" x14ac:dyDescent="0.4">
      <c r="W2800" s="49">
        <v>50079</v>
      </c>
      <c r="X2800" s="49">
        <v>50079</v>
      </c>
      <c r="Y2800" s="49">
        <v>50079</v>
      </c>
      <c r="AY2800" s="49">
        <v>50079</v>
      </c>
      <c r="AZ2800" s="49">
        <v>50079</v>
      </c>
      <c r="BA2800" s="49">
        <v>50079</v>
      </c>
    </row>
    <row r="2801" spans="23:53" ht="16.2" customHeight="1" x14ac:dyDescent="0.4">
      <c r="W2801" s="49">
        <v>50086</v>
      </c>
      <c r="X2801" s="49">
        <v>50086</v>
      </c>
      <c r="Y2801" s="49">
        <v>50086</v>
      </c>
      <c r="AY2801" s="49">
        <v>50086</v>
      </c>
      <c r="AZ2801" s="49">
        <v>50086</v>
      </c>
      <c r="BA2801" s="49">
        <v>50086</v>
      </c>
    </row>
    <row r="2802" spans="23:53" ht="16.2" customHeight="1" x14ac:dyDescent="0.4">
      <c r="W2802" s="49">
        <v>50087</v>
      </c>
      <c r="X2802" s="49">
        <v>50087</v>
      </c>
      <c r="Y2802" s="49">
        <v>50087</v>
      </c>
      <c r="AY2802" s="49">
        <v>50087</v>
      </c>
      <c r="AZ2802" s="49">
        <v>50087</v>
      </c>
      <c r="BA2802" s="49">
        <v>50087</v>
      </c>
    </row>
    <row r="2803" spans="23:53" ht="16.2" customHeight="1" x14ac:dyDescent="0.4">
      <c r="W2803" s="49">
        <v>50092</v>
      </c>
      <c r="X2803" s="49">
        <v>50092</v>
      </c>
      <c r="Y2803" s="49">
        <v>50092</v>
      </c>
      <c r="AY2803" s="49">
        <v>50092</v>
      </c>
      <c r="AZ2803" s="49">
        <v>50092</v>
      </c>
      <c r="BA2803" s="49">
        <v>50092</v>
      </c>
    </row>
    <row r="2804" spans="23:53" ht="16.2" customHeight="1" x14ac:dyDescent="0.4">
      <c r="W2804" s="49">
        <v>50093</v>
      </c>
      <c r="X2804" s="49">
        <v>50093</v>
      </c>
      <c r="Y2804" s="49">
        <v>50093</v>
      </c>
      <c r="AY2804" s="49">
        <v>50093</v>
      </c>
      <c r="AZ2804" s="49">
        <v>50093</v>
      </c>
      <c r="BA2804" s="49">
        <v>50093</v>
      </c>
    </row>
    <row r="2805" spans="23:53" ht="16.2" customHeight="1" x14ac:dyDescent="0.4">
      <c r="W2805" s="49">
        <v>50099</v>
      </c>
      <c r="X2805" s="49">
        <v>50099</v>
      </c>
      <c r="Y2805" s="49">
        <v>50099</v>
      </c>
      <c r="AY2805" s="49">
        <v>50099</v>
      </c>
      <c r="AZ2805" s="49">
        <v>50099</v>
      </c>
      <c r="BA2805" s="49">
        <v>50099</v>
      </c>
    </row>
    <row r="2806" spans="23:53" ht="16.2" customHeight="1" x14ac:dyDescent="0.4">
      <c r="W2806" s="49">
        <v>50100</v>
      </c>
      <c r="X2806" s="49">
        <v>50100</v>
      </c>
      <c r="Y2806" s="49">
        <v>50100</v>
      </c>
      <c r="AY2806" s="49">
        <v>50100</v>
      </c>
      <c r="AZ2806" s="49">
        <v>50100</v>
      </c>
      <c r="BA2806" s="49">
        <v>50100</v>
      </c>
    </row>
    <row r="2807" spans="23:53" ht="16.2" customHeight="1" x14ac:dyDescent="0.4">
      <c r="W2807" s="49">
        <v>50106</v>
      </c>
      <c r="X2807" s="49">
        <v>50106</v>
      </c>
      <c r="Y2807" s="49">
        <v>50106</v>
      </c>
      <c r="AY2807" s="49">
        <v>50106</v>
      </c>
      <c r="AZ2807" s="49">
        <v>50106</v>
      </c>
      <c r="BA2807" s="49">
        <v>50106</v>
      </c>
    </row>
    <row r="2808" spans="23:53" ht="16.2" customHeight="1" x14ac:dyDescent="0.4">
      <c r="W2808" s="49">
        <v>50107</v>
      </c>
      <c r="X2808" s="49">
        <v>50107</v>
      </c>
      <c r="Y2808" s="49">
        <v>50107</v>
      </c>
      <c r="AY2808" s="49">
        <v>50107</v>
      </c>
      <c r="AZ2808" s="49">
        <v>50107</v>
      </c>
      <c r="BA2808" s="49">
        <v>50107</v>
      </c>
    </row>
    <row r="2809" spans="23:53" ht="16.2" customHeight="1" x14ac:dyDescent="0.4">
      <c r="W2809" s="49">
        <v>50113</v>
      </c>
      <c r="X2809" s="49">
        <v>50113</v>
      </c>
      <c r="Y2809" s="49">
        <v>50113</v>
      </c>
      <c r="AY2809" s="49">
        <v>50113</v>
      </c>
      <c r="AZ2809" s="49">
        <v>50113</v>
      </c>
      <c r="BA2809" s="49">
        <v>50113</v>
      </c>
    </row>
    <row r="2810" spans="23:53" ht="16.2" customHeight="1" x14ac:dyDescent="0.4">
      <c r="W2810" s="49">
        <v>50114</v>
      </c>
      <c r="X2810" s="49">
        <v>50114</v>
      </c>
      <c r="Y2810" s="49">
        <v>50114</v>
      </c>
      <c r="AY2810" s="49">
        <v>50114</v>
      </c>
      <c r="AZ2810" s="49">
        <v>50114</v>
      </c>
      <c r="BA2810" s="49">
        <v>50114</v>
      </c>
    </row>
    <row r="2811" spans="23:53" ht="16.2" customHeight="1" x14ac:dyDescent="0.4">
      <c r="W2811" s="49">
        <v>50120</v>
      </c>
      <c r="X2811" s="49">
        <v>50120</v>
      </c>
      <c r="Y2811" s="49">
        <v>50120</v>
      </c>
      <c r="AY2811" s="49">
        <v>50120</v>
      </c>
      <c r="AZ2811" s="49">
        <v>50120</v>
      </c>
      <c r="BA2811" s="49">
        <v>50120</v>
      </c>
    </row>
    <row r="2812" spans="23:53" ht="16.2" customHeight="1" x14ac:dyDescent="0.4">
      <c r="W2812" s="49">
        <v>50121</v>
      </c>
      <c r="X2812" s="49">
        <v>50121</v>
      </c>
      <c r="Y2812" s="49">
        <v>50121</v>
      </c>
      <c r="AY2812" s="49">
        <v>50121</v>
      </c>
      <c r="AZ2812" s="49">
        <v>50121</v>
      </c>
      <c r="BA2812" s="49">
        <v>50121</v>
      </c>
    </row>
    <row r="2813" spans="23:53" ht="16.2" customHeight="1" x14ac:dyDescent="0.4">
      <c r="W2813" s="49">
        <v>50127</v>
      </c>
      <c r="X2813" s="49">
        <v>50127</v>
      </c>
      <c r="Y2813" s="49">
        <v>50127</v>
      </c>
      <c r="AY2813" s="49">
        <v>50127</v>
      </c>
      <c r="AZ2813" s="49">
        <v>50127</v>
      </c>
      <c r="BA2813" s="49">
        <v>50127</v>
      </c>
    </row>
    <row r="2814" spans="23:53" ht="16.2" customHeight="1" x14ac:dyDescent="0.4">
      <c r="W2814" s="49">
        <v>50128</v>
      </c>
      <c r="X2814" s="49">
        <v>50128</v>
      </c>
      <c r="Y2814" s="49">
        <v>50128</v>
      </c>
      <c r="AY2814" s="49">
        <v>50128</v>
      </c>
      <c r="AZ2814" s="49">
        <v>50128</v>
      </c>
      <c r="BA2814" s="49">
        <v>50128</v>
      </c>
    </row>
    <row r="2815" spans="23:53" ht="16.2" customHeight="1" x14ac:dyDescent="0.4">
      <c r="W2815" s="49">
        <v>50134</v>
      </c>
      <c r="X2815" s="49">
        <v>50134</v>
      </c>
      <c r="Y2815" s="49">
        <v>50134</v>
      </c>
      <c r="AY2815" s="49">
        <v>50134</v>
      </c>
      <c r="AZ2815" s="49">
        <v>50134</v>
      </c>
      <c r="BA2815" s="49">
        <v>50134</v>
      </c>
    </row>
    <row r="2816" spans="23:53" ht="16.2" customHeight="1" x14ac:dyDescent="0.4">
      <c r="W2816" s="49">
        <v>50135</v>
      </c>
      <c r="X2816" s="49">
        <v>50135</v>
      </c>
      <c r="Y2816" s="49">
        <v>50135</v>
      </c>
      <c r="AY2816" s="49">
        <v>50135</v>
      </c>
      <c r="AZ2816" s="49">
        <v>50135</v>
      </c>
      <c r="BA2816" s="49">
        <v>50135</v>
      </c>
    </row>
    <row r="2817" spans="23:53" ht="16.2" customHeight="1" x14ac:dyDescent="0.4">
      <c r="W2817" s="49">
        <v>50141</v>
      </c>
      <c r="X2817" s="49">
        <v>50141</v>
      </c>
      <c r="Y2817" s="49">
        <v>50141</v>
      </c>
      <c r="AY2817" s="49">
        <v>50141</v>
      </c>
      <c r="AZ2817" s="49">
        <v>50141</v>
      </c>
      <c r="BA2817" s="49">
        <v>50141</v>
      </c>
    </row>
    <row r="2818" spans="23:53" ht="16.2" customHeight="1" x14ac:dyDescent="0.4">
      <c r="W2818" s="49">
        <v>50142</v>
      </c>
      <c r="X2818" s="49">
        <v>50142</v>
      </c>
      <c r="Y2818" s="49">
        <v>50142</v>
      </c>
      <c r="AY2818" s="49">
        <v>50142</v>
      </c>
      <c r="AZ2818" s="49">
        <v>50142</v>
      </c>
      <c r="BA2818" s="49">
        <v>50142</v>
      </c>
    </row>
    <row r="2819" spans="23:53" ht="16.2" customHeight="1" x14ac:dyDescent="0.4">
      <c r="W2819" s="49">
        <v>50148</v>
      </c>
      <c r="X2819" s="49">
        <v>50148</v>
      </c>
      <c r="Y2819" s="49">
        <v>50148</v>
      </c>
      <c r="AY2819" s="49">
        <v>50148</v>
      </c>
      <c r="AZ2819" s="49">
        <v>50148</v>
      </c>
      <c r="BA2819" s="49">
        <v>50148</v>
      </c>
    </row>
    <row r="2820" spans="23:53" ht="16.2" customHeight="1" x14ac:dyDescent="0.4">
      <c r="W2820" s="49">
        <v>50149</v>
      </c>
      <c r="X2820" s="49">
        <v>50149</v>
      </c>
      <c r="Y2820" s="49">
        <v>50149</v>
      </c>
      <c r="AY2820" s="49">
        <v>50149</v>
      </c>
      <c r="AZ2820" s="49">
        <v>50149</v>
      </c>
      <c r="BA2820" s="49">
        <v>50149</v>
      </c>
    </row>
    <row r="2821" spans="23:53" ht="16.2" customHeight="1" x14ac:dyDescent="0.4">
      <c r="W2821" s="49">
        <v>50155</v>
      </c>
      <c r="X2821" s="49">
        <v>50155</v>
      </c>
      <c r="Y2821" s="49">
        <v>50155</v>
      </c>
      <c r="AY2821" s="49">
        <v>50155</v>
      </c>
      <c r="AZ2821" s="49">
        <v>50155</v>
      </c>
      <c r="BA2821" s="49">
        <v>50155</v>
      </c>
    </row>
    <row r="2822" spans="23:53" ht="16.2" customHeight="1" x14ac:dyDescent="0.4">
      <c r="W2822" s="49">
        <v>50156</v>
      </c>
      <c r="X2822" s="49">
        <v>50156</v>
      </c>
      <c r="Y2822" s="49">
        <v>50156</v>
      </c>
      <c r="AY2822" s="49">
        <v>50156</v>
      </c>
      <c r="AZ2822" s="49">
        <v>50156</v>
      </c>
      <c r="BA2822" s="49">
        <v>50156</v>
      </c>
    </row>
    <row r="2823" spans="23:53" ht="16.2" customHeight="1" x14ac:dyDescent="0.4">
      <c r="W2823" s="49">
        <v>50161</v>
      </c>
      <c r="X2823" s="49">
        <v>50161</v>
      </c>
      <c r="Y2823" s="49">
        <v>50161</v>
      </c>
      <c r="AY2823" s="49">
        <v>50161</v>
      </c>
      <c r="AZ2823" s="49">
        <v>50161</v>
      </c>
      <c r="BA2823" s="49">
        <v>50161</v>
      </c>
    </row>
    <row r="2824" spans="23:53" ht="16.2" customHeight="1" x14ac:dyDescent="0.4">
      <c r="W2824" s="49">
        <v>50162</v>
      </c>
      <c r="X2824" s="49">
        <v>50162</v>
      </c>
      <c r="Y2824" s="49">
        <v>50162</v>
      </c>
      <c r="AY2824" s="49">
        <v>50162</v>
      </c>
      <c r="AZ2824" s="49">
        <v>50162</v>
      </c>
      <c r="BA2824" s="49">
        <v>50162</v>
      </c>
    </row>
    <row r="2825" spans="23:53" ht="16.2" customHeight="1" x14ac:dyDescent="0.4">
      <c r="W2825" s="49">
        <v>50163</v>
      </c>
      <c r="X2825" s="49">
        <v>50163</v>
      </c>
      <c r="Y2825" s="49">
        <v>50163</v>
      </c>
      <c r="AY2825" s="49">
        <v>50163</v>
      </c>
      <c r="AZ2825" s="49">
        <v>50163</v>
      </c>
      <c r="BA2825" s="49">
        <v>50163</v>
      </c>
    </row>
    <row r="2826" spans="23:53" ht="16.2" customHeight="1" x14ac:dyDescent="0.4">
      <c r="W2826" s="49">
        <v>50165</v>
      </c>
      <c r="X2826" s="49">
        <v>50165</v>
      </c>
      <c r="Y2826" s="49">
        <v>50165</v>
      </c>
      <c r="AY2826" s="49">
        <v>50165</v>
      </c>
      <c r="AZ2826" s="49">
        <v>50165</v>
      </c>
      <c r="BA2826" s="49">
        <v>50165</v>
      </c>
    </row>
    <row r="2827" spans="23:53" ht="16.2" customHeight="1" x14ac:dyDescent="0.4">
      <c r="W2827" s="49">
        <v>50169</v>
      </c>
      <c r="X2827" s="49">
        <v>50169</v>
      </c>
      <c r="Y2827" s="49">
        <v>50169</v>
      </c>
      <c r="AY2827" s="49">
        <v>50169</v>
      </c>
      <c r="AZ2827" s="49">
        <v>50169</v>
      </c>
      <c r="BA2827" s="49">
        <v>50169</v>
      </c>
    </row>
    <row r="2828" spans="23:53" ht="16.2" customHeight="1" x14ac:dyDescent="0.4">
      <c r="W2828" s="49">
        <v>50170</v>
      </c>
      <c r="X2828" s="49">
        <v>50170</v>
      </c>
      <c r="Y2828" s="49">
        <v>50170</v>
      </c>
      <c r="AY2828" s="49">
        <v>50170</v>
      </c>
      <c r="AZ2828" s="49">
        <v>50170</v>
      </c>
      <c r="BA2828" s="49">
        <v>50170</v>
      </c>
    </row>
    <row r="2829" spans="23:53" ht="16.2" customHeight="1" x14ac:dyDescent="0.4">
      <c r="W2829" s="49">
        <v>50176</v>
      </c>
      <c r="X2829" s="49">
        <v>50176</v>
      </c>
      <c r="Y2829" s="49">
        <v>50176</v>
      </c>
      <c r="AY2829" s="49">
        <v>50176</v>
      </c>
      <c r="AZ2829" s="49">
        <v>50176</v>
      </c>
      <c r="BA2829" s="49">
        <v>50176</v>
      </c>
    </row>
    <row r="2830" spans="23:53" ht="16.2" customHeight="1" x14ac:dyDescent="0.4">
      <c r="W2830" s="49">
        <v>50177</v>
      </c>
      <c r="X2830" s="49">
        <v>50177</v>
      </c>
      <c r="Y2830" s="49">
        <v>50177</v>
      </c>
      <c r="AY2830" s="49">
        <v>50177</v>
      </c>
      <c r="AZ2830" s="49">
        <v>50177</v>
      </c>
      <c r="BA2830" s="49">
        <v>50177</v>
      </c>
    </row>
    <row r="2831" spans="23:53" ht="16.2" customHeight="1" x14ac:dyDescent="0.4">
      <c r="W2831" s="49">
        <v>50182</v>
      </c>
      <c r="X2831" s="49">
        <v>50182</v>
      </c>
      <c r="Y2831" s="49">
        <v>50182</v>
      </c>
      <c r="AY2831" s="49">
        <v>50182</v>
      </c>
      <c r="AZ2831" s="49">
        <v>50182</v>
      </c>
      <c r="BA2831" s="49">
        <v>50182</v>
      </c>
    </row>
    <row r="2832" spans="23:53" ht="16.2" customHeight="1" x14ac:dyDescent="0.4">
      <c r="W2832" s="49">
        <v>50183</v>
      </c>
      <c r="X2832" s="49">
        <v>50183</v>
      </c>
      <c r="Y2832" s="49">
        <v>50183</v>
      </c>
      <c r="AY2832" s="49">
        <v>50183</v>
      </c>
      <c r="AZ2832" s="49">
        <v>50183</v>
      </c>
      <c r="BA2832" s="49">
        <v>50183</v>
      </c>
    </row>
    <row r="2833" spans="23:53" ht="16.2" customHeight="1" x14ac:dyDescent="0.4">
      <c r="W2833" s="49">
        <v>50184</v>
      </c>
      <c r="X2833" s="49">
        <v>50184</v>
      </c>
      <c r="Y2833" s="49">
        <v>50184</v>
      </c>
      <c r="AY2833" s="49">
        <v>50184</v>
      </c>
      <c r="AZ2833" s="49">
        <v>50184</v>
      </c>
      <c r="BA2833" s="49">
        <v>50184</v>
      </c>
    </row>
    <row r="2834" spans="23:53" ht="16.2" customHeight="1" x14ac:dyDescent="0.4">
      <c r="W2834" s="49">
        <v>50190</v>
      </c>
      <c r="X2834" s="49">
        <v>50190</v>
      </c>
      <c r="Y2834" s="49">
        <v>50190</v>
      </c>
      <c r="AY2834" s="49">
        <v>50190</v>
      </c>
      <c r="AZ2834" s="49">
        <v>50190</v>
      </c>
      <c r="BA2834" s="49">
        <v>50190</v>
      </c>
    </row>
    <row r="2835" spans="23:53" ht="16.2" customHeight="1" x14ac:dyDescent="0.4">
      <c r="W2835" s="49">
        <v>50191</v>
      </c>
      <c r="X2835" s="49">
        <v>50191</v>
      </c>
      <c r="Y2835" s="49">
        <v>50191</v>
      </c>
      <c r="AY2835" s="49">
        <v>50191</v>
      </c>
      <c r="AZ2835" s="49">
        <v>50191</v>
      </c>
      <c r="BA2835" s="49">
        <v>50191</v>
      </c>
    </row>
    <row r="2836" spans="23:53" ht="16.2" customHeight="1" x14ac:dyDescent="0.4">
      <c r="W2836" s="49">
        <v>50198</v>
      </c>
      <c r="X2836" s="49">
        <v>50198</v>
      </c>
      <c r="Y2836" s="49">
        <v>50198</v>
      </c>
      <c r="AY2836" s="49">
        <v>50198</v>
      </c>
      <c r="AZ2836" s="49">
        <v>50198</v>
      </c>
      <c r="BA2836" s="49">
        <v>50198</v>
      </c>
    </row>
    <row r="2837" spans="23:53" ht="16.2" customHeight="1" x14ac:dyDescent="0.4">
      <c r="W2837" s="49">
        <v>50204</v>
      </c>
      <c r="X2837" s="49">
        <v>50204</v>
      </c>
      <c r="Y2837" s="49">
        <v>50204</v>
      </c>
      <c r="AY2837" s="49">
        <v>50204</v>
      </c>
      <c r="AZ2837" s="49">
        <v>50204</v>
      </c>
      <c r="BA2837" s="49">
        <v>50204</v>
      </c>
    </row>
    <row r="2838" spans="23:53" ht="16.2" customHeight="1" x14ac:dyDescent="0.4">
      <c r="W2838" s="49">
        <v>50205</v>
      </c>
      <c r="X2838" s="49">
        <v>50205</v>
      </c>
      <c r="Y2838" s="49">
        <v>50205</v>
      </c>
      <c r="AY2838" s="49">
        <v>50205</v>
      </c>
      <c r="AZ2838" s="49">
        <v>50205</v>
      </c>
      <c r="BA2838" s="49">
        <v>50205</v>
      </c>
    </row>
    <row r="2839" spans="23:53" ht="16.2" customHeight="1" x14ac:dyDescent="0.4">
      <c r="W2839" s="49">
        <v>50211</v>
      </c>
      <c r="X2839" s="49">
        <v>50211</v>
      </c>
      <c r="Y2839" s="49">
        <v>50211</v>
      </c>
      <c r="AY2839" s="49">
        <v>50211</v>
      </c>
      <c r="AZ2839" s="49">
        <v>50211</v>
      </c>
      <c r="BA2839" s="49">
        <v>50211</v>
      </c>
    </row>
    <row r="2840" spans="23:53" ht="16.2" customHeight="1" x14ac:dyDescent="0.4">
      <c r="W2840" s="49">
        <v>50212</v>
      </c>
      <c r="X2840" s="49">
        <v>50212</v>
      </c>
      <c r="Y2840" s="49">
        <v>50212</v>
      </c>
      <c r="AY2840" s="49">
        <v>50212</v>
      </c>
      <c r="AZ2840" s="49">
        <v>50212</v>
      </c>
      <c r="BA2840" s="49">
        <v>50212</v>
      </c>
    </row>
    <row r="2841" spans="23:53" ht="16.2" customHeight="1" x14ac:dyDescent="0.4">
      <c r="W2841" s="49">
        <v>50218</v>
      </c>
      <c r="X2841" s="49">
        <v>50218</v>
      </c>
      <c r="Y2841" s="49">
        <v>50218</v>
      </c>
      <c r="AY2841" s="49">
        <v>50218</v>
      </c>
      <c r="AZ2841" s="49">
        <v>50218</v>
      </c>
      <c r="BA2841" s="49">
        <v>50218</v>
      </c>
    </row>
    <row r="2842" spans="23:53" ht="16.2" customHeight="1" x14ac:dyDescent="0.4">
      <c r="W2842" s="49">
        <v>50219</v>
      </c>
      <c r="X2842" s="49">
        <v>50219</v>
      </c>
      <c r="Y2842" s="49">
        <v>50219</v>
      </c>
      <c r="AY2842" s="49">
        <v>50219</v>
      </c>
      <c r="AZ2842" s="49">
        <v>50219</v>
      </c>
      <c r="BA2842" s="49">
        <v>50219</v>
      </c>
    </row>
    <row r="2843" spans="23:53" ht="16.2" customHeight="1" x14ac:dyDescent="0.4">
      <c r="W2843" s="49">
        <v>50225</v>
      </c>
      <c r="X2843" s="49">
        <v>50225</v>
      </c>
      <c r="Y2843" s="49">
        <v>50225</v>
      </c>
      <c r="AY2843" s="49">
        <v>50225</v>
      </c>
      <c r="AZ2843" s="49">
        <v>50225</v>
      </c>
      <c r="BA2843" s="49">
        <v>50225</v>
      </c>
    </row>
    <row r="2844" spans="23:53" ht="16.2" customHeight="1" x14ac:dyDescent="0.4">
      <c r="W2844" s="49">
        <v>50226</v>
      </c>
      <c r="X2844" s="49">
        <v>50226</v>
      </c>
      <c r="Y2844" s="49">
        <v>50226</v>
      </c>
      <c r="AY2844" s="49">
        <v>50226</v>
      </c>
      <c r="AZ2844" s="49">
        <v>50226</v>
      </c>
      <c r="BA2844" s="49">
        <v>50226</v>
      </c>
    </row>
    <row r="2845" spans="23:53" ht="16.2" customHeight="1" x14ac:dyDescent="0.4">
      <c r="W2845" s="49">
        <v>50232</v>
      </c>
      <c r="X2845" s="49">
        <v>50232</v>
      </c>
      <c r="Y2845" s="49">
        <v>50232</v>
      </c>
      <c r="AY2845" s="49">
        <v>50232</v>
      </c>
      <c r="AZ2845" s="49">
        <v>50232</v>
      </c>
      <c r="BA2845" s="49">
        <v>50232</v>
      </c>
    </row>
    <row r="2846" spans="23:53" ht="16.2" customHeight="1" x14ac:dyDescent="0.4">
      <c r="W2846" s="49">
        <v>50233</v>
      </c>
      <c r="X2846" s="49">
        <v>50233</v>
      </c>
      <c r="Y2846" s="49">
        <v>50233</v>
      </c>
      <c r="AY2846" s="49">
        <v>50233</v>
      </c>
      <c r="AZ2846" s="49">
        <v>50233</v>
      </c>
      <c r="BA2846" s="49">
        <v>50233</v>
      </c>
    </row>
    <row r="2847" spans="23:53" ht="16.2" customHeight="1" x14ac:dyDescent="0.4">
      <c r="W2847" s="49">
        <v>50239</v>
      </c>
      <c r="X2847" s="49">
        <v>50239</v>
      </c>
      <c r="Y2847" s="49">
        <v>50239</v>
      </c>
      <c r="AY2847" s="49">
        <v>50239</v>
      </c>
      <c r="AZ2847" s="49">
        <v>50239</v>
      </c>
      <c r="BA2847" s="49">
        <v>50239</v>
      </c>
    </row>
    <row r="2848" spans="23:53" ht="16.2" customHeight="1" x14ac:dyDescent="0.4">
      <c r="W2848" s="49">
        <v>50240</v>
      </c>
      <c r="X2848" s="49">
        <v>50240</v>
      </c>
      <c r="Y2848" s="49">
        <v>50240</v>
      </c>
      <c r="AY2848" s="49">
        <v>50240</v>
      </c>
      <c r="AZ2848" s="49">
        <v>50240</v>
      </c>
      <c r="BA2848" s="49">
        <v>50240</v>
      </c>
    </row>
    <row r="2849" spans="23:53" ht="16.2" customHeight="1" x14ac:dyDescent="0.4">
      <c r="W2849" s="49">
        <v>50246</v>
      </c>
      <c r="X2849" s="49">
        <v>50246</v>
      </c>
      <c r="Y2849" s="49">
        <v>50246</v>
      </c>
      <c r="AY2849" s="49">
        <v>50246</v>
      </c>
      <c r="AZ2849" s="49">
        <v>50246</v>
      </c>
      <c r="BA2849" s="49">
        <v>50246</v>
      </c>
    </row>
    <row r="2850" spans="23:53" ht="16.2" customHeight="1" x14ac:dyDescent="0.4">
      <c r="W2850" s="49">
        <v>50247</v>
      </c>
      <c r="X2850" s="49">
        <v>50247</v>
      </c>
      <c r="Y2850" s="49">
        <v>50247</v>
      </c>
      <c r="AY2850" s="49">
        <v>50247</v>
      </c>
      <c r="AZ2850" s="49">
        <v>50247</v>
      </c>
      <c r="BA2850" s="49">
        <v>50247</v>
      </c>
    </row>
    <row r="2851" spans="23:53" ht="16.2" customHeight="1" x14ac:dyDescent="0.4">
      <c r="W2851" s="49">
        <v>50253</v>
      </c>
      <c r="X2851" s="49">
        <v>50253</v>
      </c>
      <c r="Y2851" s="49">
        <v>50253</v>
      </c>
      <c r="AY2851" s="49">
        <v>50253</v>
      </c>
      <c r="AZ2851" s="49">
        <v>50253</v>
      </c>
      <c r="BA2851" s="49">
        <v>50253</v>
      </c>
    </row>
    <row r="2852" spans="23:53" ht="16.2" customHeight="1" x14ac:dyDescent="0.4">
      <c r="W2852" s="49">
        <v>50254</v>
      </c>
      <c r="X2852" s="49">
        <v>50254</v>
      </c>
      <c r="Y2852" s="49">
        <v>50254</v>
      </c>
      <c r="AY2852" s="49">
        <v>50254</v>
      </c>
      <c r="AZ2852" s="49">
        <v>50254</v>
      </c>
      <c r="BA2852" s="49">
        <v>50254</v>
      </c>
    </row>
    <row r="2853" spans="23:53" ht="16.2" customHeight="1" x14ac:dyDescent="0.4">
      <c r="W2853" s="49">
        <v>50260</v>
      </c>
      <c r="X2853" s="49">
        <v>50260</v>
      </c>
      <c r="Y2853" s="49">
        <v>50260</v>
      </c>
      <c r="AY2853" s="49">
        <v>50260</v>
      </c>
      <c r="AZ2853" s="49">
        <v>50260</v>
      </c>
      <c r="BA2853" s="49">
        <v>50260</v>
      </c>
    </row>
    <row r="2854" spans="23:53" ht="16.2" customHeight="1" x14ac:dyDescent="0.4">
      <c r="W2854" s="49">
        <v>50261</v>
      </c>
      <c r="X2854" s="49">
        <v>50261</v>
      </c>
      <c r="Y2854" s="49">
        <v>50261</v>
      </c>
      <c r="AY2854" s="49">
        <v>50261</v>
      </c>
      <c r="AZ2854" s="49">
        <v>50261</v>
      </c>
      <c r="BA2854" s="49">
        <v>50261</v>
      </c>
    </row>
    <row r="2855" spans="23:53" ht="16.2" customHeight="1" x14ac:dyDescent="0.4">
      <c r="W2855" s="49">
        <v>50268</v>
      </c>
      <c r="X2855" s="49">
        <v>50268</v>
      </c>
      <c r="Y2855" s="49">
        <v>50268</v>
      </c>
      <c r="AY2855" s="49">
        <v>50268</v>
      </c>
      <c r="AZ2855" s="49">
        <v>50268</v>
      </c>
      <c r="BA2855" s="49">
        <v>50268</v>
      </c>
    </row>
    <row r="2856" spans="23:53" ht="16.2" customHeight="1" x14ac:dyDescent="0.4">
      <c r="W2856" s="49">
        <v>50274</v>
      </c>
      <c r="X2856" s="49">
        <v>50274</v>
      </c>
      <c r="Y2856" s="49">
        <v>50274</v>
      </c>
      <c r="AY2856" s="49">
        <v>50274</v>
      </c>
      <c r="AZ2856" s="49">
        <v>50274</v>
      </c>
      <c r="BA2856" s="49">
        <v>50274</v>
      </c>
    </row>
    <row r="2857" spans="23:53" ht="16.2" customHeight="1" x14ac:dyDescent="0.4">
      <c r="W2857" s="49">
        <v>50275</v>
      </c>
      <c r="X2857" s="49">
        <v>50275</v>
      </c>
      <c r="Y2857" s="49">
        <v>50275</v>
      </c>
      <c r="AY2857" s="49">
        <v>50275</v>
      </c>
      <c r="AZ2857" s="49">
        <v>50275</v>
      </c>
      <c r="BA2857" s="49">
        <v>50275</v>
      </c>
    </row>
    <row r="2858" spans="23:53" ht="16.2" customHeight="1" x14ac:dyDescent="0.4">
      <c r="W2858" s="49">
        <v>50281</v>
      </c>
      <c r="X2858" s="49">
        <v>50281</v>
      </c>
      <c r="Y2858" s="49">
        <v>50281</v>
      </c>
      <c r="AY2858" s="49">
        <v>50281</v>
      </c>
      <c r="AZ2858" s="49">
        <v>50281</v>
      </c>
      <c r="BA2858" s="49">
        <v>50281</v>
      </c>
    </row>
    <row r="2859" spans="23:53" ht="16.2" customHeight="1" x14ac:dyDescent="0.4">
      <c r="W2859" s="49">
        <v>50282</v>
      </c>
      <c r="X2859" s="49">
        <v>50282</v>
      </c>
      <c r="Y2859" s="49">
        <v>50282</v>
      </c>
      <c r="AY2859" s="49">
        <v>50282</v>
      </c>
      <c r="AZ2859" s="49">
        <v>50282</v>
      </c>
      <c r="BA2859" s="49">
        <v>50282</v>
      </c>
    </row>
    <row r="2860" spans="23:53" ht="16.2" customHeight="1" x14ac:dyDescent="0.4">
      <c r="W2860" s="49">
        <v>50288</v>
      </c>
      <c r="X2860" s="49">
        <v>50288</v>
      </c>
      <c r="Y2860" s="49">
        <v>50288</v>
      </c>
      <c r="AY2860" s="49">
        <v>50288</v>
      </c>
      <c r="AZ2860" s="49">
        <v>50288</v>
      </c>
      <c r="BA2860" s="49">
        <v>50288</v>
      </c>
    </row>
    <row r="2861" spans="23:53" ht="16.2" customHeight="1" x14ac:dyDescent="0.4">
      <c r="W2861" s="49">
        <v>50289</v>
      </c>
      <c r="X2861" s="49">
        <v>50289</v>
      </c>
      <c r="Y2861" s="49">
        <v>50289</v>
      </c>
      <c r="AY2861" s="49">
        <v>50289</v>
      </c>
      <c r="AZ2861" s="49">
        <v>50289</v>
      </c>
      <c r="BA2861" s="49">
        <v>50289</v>
      </c>
    </row>
    <row r="2862" spans="23:53" ht="16.2" customHeight="1" x14ac:dyDescent="0.4">
      <c r="W2862" s="49">
        <v>50295</v>
      </c>
      <c r="X2862" s="49">
        <v>50295</v>
      </c>
      <c r="Y2862" s="49">
        <v>50295</v>
      </c>
      <c r="AY2862" s="49">
        <v>50295</v>
      </c>
      <c r="AZ2862" s="49">
        <v>50295</v>
      </c>
      <c r="BA2862" s="49">
        <v>50295</v>
      </c>
    </row>
    <row r="2863" spans="23:53" ht="16.2" customHeight="1" x14ac:dyDescent="0.4">
      <c r="W2863" s="49">
        <v>50296</v>
      </c>
      <c r="X2863" s="49">
        <v>50296</v>
      </c>
      <c r="Y2863" s="49">
        <v>50296</v>
      </c>
      <c r="AY2863" s="49">
        <v>50296</v>
      </c>
      <c r="AZ2863" s="49">
        <v>50296</v>
      </c>
      <c r="BA2863" s="49">
        <v>50296</v>
      </c>
    </row>
    <row r="2864" spans="23:53" ht="16.2" customHeight="1" x14ac:dyDescent="0.4">
      <c r="W2864" s="49">
        <v>50302</v>
      </c>
      <c r="X2864" s="49">
        <v>50302</v>
      </c>
      <c r="Y2864" s="49">
        <v>50302</v>
      </c>
      <c r="AY2864" s="49">
        <v>50302</v>
      </c>
      <c r="AZ2864" s="49">
        <v>50302</v>
      </c>
      <c r="BA2864" s="49">
        <v>50302</v>
      </c>
    </row>
    <row r="2865" spans="23:53" ht="16.2" customHeight="1" x14ac:dyDescent="0.4">
      <c r="W2865" s="49">
        <v>50303</v>
      </c>
      <c r="X2865" s="49">
        <v>50303</v>
      </c>
      <c r="Y2865" s="49">
        <v>50303</v>
      </c>
      <c r="AY2865" s="49">
        <v>50303</v>
      </c>
      <c r="AZ2865" s="49">
        <v>50303</v>
      </c>
      <c r="BA2865" s="49">
        <v>50303</v>
      </c>
    </row>
    <row r="2866" spans="23:53" ht="16.2" customHeight="1" x14ac:dyDescent="0.4">
      <c r="W2866" s="49">
        <v>50306</v>
      </c>
      <c r="X2866" s="49">
        <v>50306</v>
      </c>
      <c r="Y2866" s="49">
        <v>50306</v>
      </c>
      <c r="AY2866" s="49">
        <v>50306</v>
      </c>
      <c r="AZ2866" s="49">
        <v>50306</v>
      </c>
      <c r="BA2866" s="49">
        <v>50306</v>
      </c>
    </row>
    <row r="2867" spans="23:53" ht="16.2" customHeight="1" x14ac:dyDescent="0.4">
      <c r="W2867" s="49">
        <v>50307</v>
      </c>
      <c r="X2867" s="49">
        <v>50307</v>
      </c>
      <c r="Y2867" s="49">
        <v>50307</v>
      </c>
      <c r="AY2867" s="49">
        <v>50307</v>
      </c>
      <c r="AZ2867" s="49">
        <v>50307</v>
      </c>
      <c r="BA2867" s="49">
        <v>50307</v>
      </c>
    </row>
    <row r="2868" spans="23:53" ht="16.2" customHeight="1" x14ac:dyDescent="0.4">
      <c r="W2868" s="49">
        <v>50308</v>
      </c>
      <c r="X2868" s="49">
        <v>50308</v>
      </c>
      <c r="Y2868" s="49">
        <v>50308</v>
      </c>
      <c r="AY2868" s="49">
        <v>50308</v>
      </c>
      <c r="AZ2868" s="49">
        <v>50308</v>
      </c>
      <c r="BA2868" s="49">
        <v>50308</v>
      </c>
    </row>
    <row r="2869" spans="23:53" ht="16.2" customHeight="1" x14ac:dyDescent="0.4">
      <c r="W2869" s="49">
        <v>50309</v>
      </c>
      <c r="X2869" s="49">
        <v>50309</v>
      </c>
      <c r="Y2869" s="49">
        <v>50309</v>
      </c>
      <c r="AY2869" s="49">
        <v>50309</v>
      </c>
      <c r="AZ2869" s="49">
        <v>50309</v>
      </c>
      <c r="BA2869" s="49">
        <v>50309</v>
      </c>
    </row>
    <row r="2870" spans="23:53" ht="16.2" customHeight="1" x14ac:dyDescent="0.4">
      <c r="W2870" s="49">
        <v>50310</v>
      </c>
      <c r="X2870" s="49">
        <v>50310</v>
      </c>
      <c r="Y2870" s="49">
        <v>50310</v>
      </c>
      <c r="AY2870" s="49">
        <v>50310</v>
      </c>
      <c r="AZ2870" s="49">
        <v>50310</v>
      </c>
      <c r="BA2870" s="49">
        <v>50310</v>
      </c>
    </row>
    <row r="2871" spans="23:53" ht="16.2" customHeight="1" x14ac:dyDescent="0.4">
      <c r="W2871" s="49">
        <v>50317</v>
      </c>
      <c r="X2871" s="49">
        <v>50317</v>
      </c>
      <c r="Y2871" s="49">
        <v>50317</v>
      </c>
      <c r="AY2871" s="49">
        <v>50317</v>
      </c>
      <c r="AZ2871" s="49">
        <v>50317</v>
      </c>
      <c r="BA2871" s="49">
        <v>50317</v>
      </c>
    </row>
    <row r="2872" spans="23:53" ht="16.2" customHeight="1" x14ac:dyDescent="0.4">
      <c r="W2872" s="49">
        <v>50322</v>
      </c>
      <c r="X2872" s="49">
        <v>50322</v>
      </c>
      <c r="Y2872" s="49">
        <v>50322</v>
      </c>
      <c r="AY2872" s="49">
        <v>50322</v>
      </c>
      <c r="AZ2872" s="49">
        <v>50322</v>
      </c>
      <c r="BA2872" s="49">
        <v>50322</v>
      </c>
    </row>
    <row r="2873" spans="23:53" ht="16.2" customHeight="1" x14ac:dyDescent="0.4">
      <c r="W2873" s="49">
        <v>50323</v>
      </c>
      <c r="X2873" s="49">
        <v>50323</v>
      </c>
      <c r="Y2873" s="49">
        <v>50323</v>
      </c>
      <c r="AY2873" s="49">
        <v>50323</v>
      </c>
      <c r="AZ2873" s="49">
        <v>50323</v>
      </c>
      <c r="BA2873" s="49">
        <v>50323</v>
      </c>
    </row>
    <row r="2874" spans="23:53" ht="16.2" customHeight="1" x14ac:dyDescent="0.4">
      <c r="W2874" s="49">
        <v>50324</v>
      </c>
      <c r="X2874" s="49">
        <v>50324</v>
      </c>
      <c r="Y2874" s="49">
        <v>50324</v>
      </c>
      <c r="AY2874" s="49">
        <v>50324</v>
      </c>
      <c r="AZ2874" s="49">
        <v>50324</v>
      </c>
      <c r="BA2874" s="49">
        <v>50324</v>
      </c>
    </row>
    <row r="2875" spans="23:53" ht="16.2" customHeight="1" x14ac:dyDescent="0.4">
      <c r="W2875" s="49">
        <v>50330</v>
      </c>
      <c r="X2875" s="49">
        <v>50330</v>
      </c>
      <c r="Y2875" s="49">
        <v>50330</v>
      </c>
      <c r="AY2875" s="49">
        <v>50330</v>
      </c>
      <c r="AZ2875" s="49">
        <v>50330</v>
      </c>
      <c r="BA2875" s="49">
        <v>50330</v>
      </c>
    </row>
    <row r="2876" spans="23:53" ht="16.2" customHeight="1" x14ac:dyDescent="0.4">
      <c r="W2876" s="49">
        <v>50331</v>
      </c>
      <c r="X2876" s="49">
        <v>50331</v>
      </c>
      <c r="Y2876" s="49">
        <v>50331</v>
      </c>
      <c r="AY2876" s="49">
        <v>50331</v>
      </c>
      <c r="AZ2876" s="49">
        <v>50331</v>
      </c>
      <c r="BA2876" s="49">
        <v>50331</v>
      </c>
    </row>
    <row r="2877" spans="23:53" ht="16.2" customHeight="1" x14ac:dyDescent="0.4">
      <c r="W2877" s="49">
        <v>50337</v>
      </c>
      <c r="X2877" s="49">
        <v>50337</v>
      </c>
      <c r="Y2877" s="49">
        <v>50337</v>
      </c>
      <c r="AY2877" s="49">
        <v>50337</v>
      </c>
      <c r="AZ2877" s="49">
        <v>50337</v>
      </c>
      <c r="BA2877" s="49">
        <v>50337</v>
      </c>
    </row>
    <row r="2878" spans="23:53" ht="16.2" customHeight="1" x14ac:dyDescent="0.4">
      <c r="W2878" s="49">
        <v>50338</v>
      </c>
      <c r="X2878" s="49">
        <v>50338</v>
      </c>
      <c r="Y2878" s="49">
        <v>50338</v>
      </c>
      <c r="AY2878" s="49">
        <v>50338</v>
      </c>
      <c r="AZ2878" s="49">
        <v>50338</v>
      </c>
      <c r="BA2878" s="49">
        <v>50338</v>
      </c>
    </row>
    <row r="2879" spans="23:53" ht="16.2" customHeight="1" x14ac:dyDescent="0.4">
      <c r="W2879" s="49">
        <v>50344</v>
      </c>
      <c r="X2879" s="49">
        <v>50344</v>
      </c>
      <c r="Y2879" s="49">
        <v>50344</v>
      </c>
      <c r="AY2879" s="49">
        <v>50344</v>
      </c>
      <c r="AZ2879" s="49">
        <v>50344</v>
      </c>
      <c r="BA2879" s="49">
        <v>50344</v>
      </c>
    </row>
    <row r="2880" spans="23:53" ht="16.2" customHeight="1" x14ac:dyDescent="0.4">
      <c r="W2880" s="49">
        <v>50345</v>
      </c>
      <c r="X2880" s="49">
        <v>50345</v>
      </c>
      <c r="Y2880" s="49">
        <v>50345</v>
      </c>
      <c r="AY2880" s="49">
        <v>50345</v>
      </c>
      <c r="AZ2880" s="49">
        <v>50345</v>
      </c>
      <c r="BA2880" s="49">
        <v>50345</v>
      </c>
    </row>
    <row r="2881" spans="23:53" ht="16.2" customHeight="1" x14ac:dyDescent="0.4">
      <c r="W2881" s="49">
        <v>50351</v>
      </c>
      <c r="X2881" s="49">
        <v>50351</v>
      </c>
      <c r="Y2881" s="49">
        <v>50351</v>
      </c>
      <c r="AY2881" s="49">
        <v>50351</v>
      </c>
      <c r="AZ2881" s="49">
        <v>50351</v>
      </c>
      <c r="BA2881" s="49">
        <v>50351</v>
      </c>
    </row>
    <row r="2882" spans="23:53" ht="16.2" customHeight="1" x14ac:dyDescent="0.4">
      <c r="W2882" s="49">
        <v>50352</v>
      </c>
      <c r="X2882" s="49">
        <v>50352</v>
      </c>
      <c r="Y2882" s="49">
        <v>50352</v>
      </c>
      <c r="AY2882" s="49">
        <v>50352</v>
      </c>
      <c r="AZ2882" s="49">
        <v>50352</v>
      </c>
      <c r="BA2882" s="49">
        <v>50352</v>
      </c>
    </row>
    <row r="2883" spans="23:53" ht="16.2" customHeight="1" x14ac:dyDescent="0.4">
      <c r="W2883" s="49">
        <v>50358</v>
      </c>
      <c r="X2883" s="49">
        <v>50358</v>
      </c>
      <c r="Y2883" s="49">
        <v>50358</v>
      </c>
      <c r="AY2883" s="49">
        <v>50358</v>
      </c>
      <c r="AZ2883" s="49">
        <v>50358</v>
      </c>
      <c r="BA2883" s="49">
        <v>50358</v>
      </c>
    </row>
    <row r="2884" spans="23:53" ht="16.2" customHeight="1" x14ac:dyDescent="0.4">
      <c r="W2884" s="49">
        <v>50359</v>
      </c>
      <c r="X2884" s="49">
        <v>50359</v>
      </c>
      <c r="Y2884" s="49">
        <v>50359</v>
      </c>
      <c r="AY2884" s="49">
        <v>50359</v>
      </c>
      <c r="AZ2884" s="49">
        <v>50359</v>
      </c>
      <c r="BA2884" s="49">
        <v>50359</v>
      </c>
    </row>
    <row r="2885" spans="23:53" ht="16.2" customHeight="1" x14ac:dyDescent="0.4">
      <c r="W2885" s="49">
        <v>50365</v>
      </c>
      <c r="X2885" s="49">
        <v>50365</v>
      </c>
      <c r="Y2885" s="49">
        <v>50365</v>
      </c>
      <c r="AY2885" s="49">
        <v>50365</v>
      </c>
      <c r="AZ2885" s="49">
        <v>50365</v>
      </c>
      <c r="BA2885" s="49">
        <v>50365</v>
      </c>
    </row>
    <row r="2886" spans="23:53" ht="16.2" customHeight="1" x14ac:dyDescent="0.4">
      <c r="W2886" s="49">
        <v>50366</v>
      </c>
      <c r="X2886" s="49">
        <v>50366</v>
      </c>
      <c r="Y2886" s="49">
        <v>50366</v>
      </c>
      <c r="AY2886" s="49">
        <v>50366</v>
      </c>
      <c r="AZ2886" s="49">
        <v>50366</v>
      </c>
      <c r="BA2886" s="49">
        <v>50366</v>
      </c>
    </row>
    <row r="2887" spans="23:53" ht="16.2" customHeight="1" x14ac:dyDescent="0.4">
      <c r="W2887" s="49">
        <v>50372</v>
      </c>
      <c r="X2887" s="49">
        <v>50372</v>
      </c>
      <c r="Y2887" s="49">
        <v>50372</v>
      </c>
      <c r="AY2887" s="49">
        <v>50372</v>
      </c>
      <c r="AZ2887" s="49">
        <v>50372</v>
      </c>
      <c r="BA2887" s="49">
        <v>50372</v>
      </c>
    </row>
    <row r="2888" spans="23:53" ht="16.2" customHeight="1" x14ac:dyDescent="0.4">
      <c r="W2888" s="49">
        <v>50373</v>
      </c>
      <c r="X2888" s="49">
        <v>50373</v>
      </c>
      <c r="Y2888" s="49">
        <v>50373</v>
      </c>
      <c r="AY2888" s="49">
        <v>50373</v>
      </c>
      <c r="AZ2888" s="49">
        <v>50373</v>
      </c>
      <c r="BA2888" s="49">
        <v>50373</v>
      </c>
    </row>
    <row r="2889" spans="23:53" ht="16.2" customHeight="1" x14ac:dyDescent="0.4">
      <c r="W2889" s="49">
        <v>50379</v>
      </c>
      <c r="X2889" s="49">
        <v>50379</v>
      </c>
      <c r="Y2889" s="49">
        <v>50379</v>
      </c>
      <c r="AY2889" s="49">
        <v>50379</v>
      </c>
      <c r="AZ2889" s="49">
        <v>50379</v>
      </c>
      <c r="BA2889" s="49">
        <v>50379</v>
      </c>
    </row>
    <row r="2890" spans="23:53" ht="16.2" customHeight="1" x14ac:dyDescent="0.4">
      <c r="W2890" s="49">
        <v>50380</v>
      </c>
      <c r="X2890" s="49">
        <v>50380</v>
      </c>
      <c r="Y2890" s="49">
        <v>50380</v>
      </c>
      <c r="AY2890" s="49">
        <v>50380</v>
      </c>
      <c r="AZ2890" s="49">
        <v>50380</v>
      </c>
      <c r="BA2890" s="49">
        <v>50380</v>
      </c>
    </row>
    <row r="2891" spans="23:53" ht="16.2" customHeight="1" x14ac:dyDescent="0.4">
      <c r="W2891" s="49">
        <v>50386</v>
      </c>
      <c r="X2891" s="49">
        <v>50386</v>
      </c>
      <c r="Y2891" s="49">
        <v>50386</v>
      </c>
      <c r="AY2891" s="49">
        <v>50386</v>
      </c>
      <c r="AZ2891" s="49">
        <v>50386</v>
      </c>
      <c r="BA2891" s="49">
        <v>50386</v>
      </c>
    </row>
    <row r="2892" spans="23:53" ht="16.2" customHeight="1" x14ac:dyDescent="0.4">
      <c r="W2892" s="49">
        <v>50387</v>
      </c>
      <c r="X2892" s="49">
        <v>50387</v>
      </c>
      <c r="Y2892" s="49">
        <v>50387</v>
      </c>
      <c r="AY2892" s="49">
        <v>50387</v>
      </c>
      <c r="AZ2892" s="49">
        <v>50387</v>
      </c>
      <c r="BA2892" s="49">
        <v>50387</v>
      </c>
    </row>
    <row r="2893" spans="23:53" ht="16.2" customHeight="1" x14ac:dyDescent="0.4">
      <c r="W2893" s="49">
        <v>50393</v>
      </c>
      <c r="X2893" s="49">
        <v>50393</v>
      </c>
      <c r="Y2893" s="49">
        <v>50393</v>
      </c>
      <c r="AY2893" s="49">
        <v>50393</v>
      </c>
      <c r="AZ2893" s="49">
        <v>50393</v>
      </c>
      <c r="BA2893" s="49">
        <v>50393</v>
      </c>
    </row>
    <row r="2894" spans="23:53" ht="16.2" customHeight="1" x14ac:dyDescent="0.4">
      <c r="W2894" s="49">
        <v>50394</v>
      </c>
      <c r="X2894" s="49">
        <v>50394</v>
      </c>
      <c r="Y2894" s="49">
        <v>50394</v>
      </c>
      <c r="AY2894" s="49">
        <v>50394</v>
      </c>
      <c r="AZ2894" s="49">
        <v>50394</v>
      </c>
      <c r="BA2894" s="49">
        <v>50394</v>
      </c>
    </row>
    <row r="2895" spans="23:53" ht="16.2" customHeight="1" x14ac:dyDescent="0.4">
      <c r="W2895" s="49">
        <v>50399</v>
      </c>
      <c r="X2895" s="49">
        <v>50399</v>
      </c>
      <c r="Y2895" s="49">
        <v>50399</v>
      </c>
      <c r="AY2895" s="49">
        <v>50399</v>
      </c>
      <c r="AZ2895" s="49">
        <v>50399</v>
      </c>
      <c r="BA2895" s="49">
        <v>50399</v>
      </c>
    </row>
    <row r="2896" spans="23:53" ht="16.2" customHeight="1" x14ac:dyDescent="0.4">
      <c r="W2896" s="49">
        <v>50400</v>
      </c>
      <c r="X2896" s="49">
        <v>50400</v>
      </c>
      <c r="Y2896" s="49">
        <v>50400</v>
      </c>
      <c r="AY2896" s="49">
        <v>50400</v>
      </c>
      <c r="AZ2896" s="49">
        <v>50400</v>
      </c>
      <c r="BA2896" s="49">
        <v>50400</v>
      </c>
    </row>
    <row r="2897" spans="23:53" ht="16.2" customHeight="1" x14ac:dyDescent="0.4">
      <c r="W2897" s="49">
        <v>50401</v>
      </c>
      <c r="X2897" s="49">
        <v>50401</v>
      </c>
      <c r="Y2897" s="49">
        <v>50401</v>
      </c>
      <c r="AY2897" s="49">
        <v>50401</v>
      </c>
      <c r="AZ2897" s="49">
        <v>50401</v>
      </c>
      <c r="BA2897" s="49">
        <v>50401</v>
      </c>
    </row>
    <row r="2898" spans="23:53" ht="16.2" customHeight="1" x14ac:dyDescent="0.4">
      <c r="W2898" s="49">
        <v>50406</v>
      </c>
      <c r="X2898" s="49">
        <v>50406</v>
      </c>
      <c r="Y2898" s="49">
        <v>50406</v>
      </c>
      <c r="AY2898" s="49">
        <v>50406</v>
      </c>
      <c r="AZ2898" s="49">
        <v>50406</v>
      </c>
      <c r="BA2898" s="49">
        <v>50406</v>
      </c>
    </row>
    <row r="2899" spans="23:53" ht="16.2" customHeight="1" x14ac:dyDescent="0.4">
      <c r="W2899" s="49">
        <v>50407</v>
      </c>
      <c r="X2899" s="49">
        <v>50407</v>
      </c>
      <c r="Y2899" s="49">
        <v>50407</v>
      </c>
      <c r="AY2899" s="49">
        <v>50407</v>
      </c>
      <c r="AZ2899" s="49">
        <v>50407</v>
      </c>
      <c r="BA2899" s="49">
        <v>50407</v>
      </c>
    </row>
    <row r="2900" spans="23:53" ht="16.2" customHeight="1" x14ac:dyDescent="0.4">
      <c r="W2900" s="49">
        <v>50408</v>
      </c>
      <c r="X2900" s="49">
        <v>50408</v>
      </c>
      <c r="Y2900" s="49">
        <v>50408</v>
      </c>
      <c r="AY2900" s="49">
        <v>50408</v>
      </c>
      <c r="AZ2900" s="49">
        <v>50408</v>
      </c>
      <c r="BA2900" s="49">
        <v>50408</v>
      </c>
    </row>
    <row r="2901" spans="23:53" ht="16.2" customHeight="1" x14ac:dyDescent="0.4">
      <c r="W2901" s="49">
        <v>50414</v>
      </c>
      <c r="X2901" s="49">
        <v>50414</v>
      </c>
      <c r="Y2901" s="49">
        <v>50414</v>
      </c>
      <c r="AY2901" s="49">
        <v>50414</v>
      </c>
      <c r="AZ2901" s="49">
        <v>50414</v>
      </c>
      <c r="BA2901" s="49">
        <v>50414</v>
      </c>
    </row>
    <row r="2902" spans="23:53" ht="16.2" customHeight="1" x14ac:dyDescent="0.4">
      <c r="W2902" s="49">
        <v>50415</v>
      </c>
      <c r="X2902" s="49">
        <v>50415</v>
      </c>
      <c r="Y2902" s="49">
        <v>50415</v>
      </c>
      <c r="AY2902" s="49">
        <v>50415</v>
      </c>
      <c r="AZ2902" s="49">
        <v>50415</v>
      </c>
      <c r="BA2902" s="49">
        <v>50415</v>
      </c>
    </row>
    <row r="2903" spans="23:53" ht="16.2" customHeight="1" x14ac:dyDescent="0.4">
      <c r="W2903" s="49">
        <v>50421</v>
      </c>
      <c r="X2903" s="49">
        <v>50421</v>
      </c>
      <c r="Y2903" s="49">
        <v>50421</v>
      </c>
      <c r="AY2903" s="49">
        <v>50421</v>
      </c>
      <c r="AZ2903" s="49">
        <v>50421</v>
      </c>
      <c r="BA2903" s="49">
        <v>50421</v>
      </c>
    </row>
    <row r="2904" spans="23:53" ht="16.2" customHeight="1" x14ac:dyDescent="0.4">
      <c r="W2904" s="49">
        <v>50422</v>
      </c>
      <c r="X2904" s="49">
        <v>50422</v>
      </c>
      <c r="Y2904" s="49">
        <v>50422</v>
      </c>
      <c r="AY2904" s="49">
        <v>50422</v>
      </c>
      <c r="AZ2904" s="49">
        <v>50422</v>
      </c>
      <c r="BA2904" s="49">
        <v>50422</v>
      </c>
    </row>
    <row r="2905" spans="23:53" ht="16.2" customHeight="1" x14ac:dyDescent="0.4">
      <c r="W2905" s="49">
        <v>50428</v>
      </c>
      <c r="X2905" s="49">
        <v>50428</v>
      </c>
      <c r="Y2905" s="49">
        <v>50428</v>
      </c>
      <c r="AY2905" s="49">
        <v>50428</v>
      </c>
      <c r="AZ2905" s="49">
        <v>50428</v>
      </c>
      <c r="BA2905" s="49">
        <v>50428</v>
      </c>
    </row>
    <row r="2906" spans="23:53" ht="16.2" customHeight="1" x14ac:dyDescent="0.4">
      <c r="W2906" s="49">
        <v>50429</v>
      </c>
      <c r="X2906" s="49">
        <v>50429</v>
      </c>
      <c r="Y2906" s="49">
        <v>50429</v>
      </c>
      <c r="AY2906" s="49">
        <v>50429</v>
      </c>
      <c r="AZ2906" s="49">
        <v>50429</v>
      </c>
      <c r="BA2906" s="49">
        <v>50429</v>
      </c>
    </row>
    <row r="2907" spans="23:53" ht="16.2" customHeight="1" x14ac:dyDescent="0.4">
      <c r="W2907" s="49">
        <v>50435</v>
      </c>
      <c r="X2907" s="49">
        <v>50435</v>
      </c>
      <c r="Y2907" s="49">
        <v>50435</v>
      </c>
      <c r="AY2907" s="49">
        <v>50435</v>
      </c>
      <c r="AZ2907" s="49">
        <v>50435</v>
      </c>
      <c r="BA2907" s="49">
        <v>50435</v>
      </c>
    </row>
    <row r="2908" spans="23:53" ht="16.2" customHeight="1" x14ac:dyDescent="0.4">
      <c r="W2908" s="49">
        <v>50436</v>
      </c>
      <c r="X2908" s="49">
        <v>50436</v>
      </c>
      <c r="Y2908" s="49">
        <v>50436</v>
      </c>
      <c r="AY2908" s="49">
        <v>50436</v>
      </c>
      <c r="AZ2908" s="49">
        <v>50436</v>
      </c>
      <c r="BA2908" s="49">
        <v>50436</v>
      </c>
    </row>
    <row r="2909" spans="23:53" ht="16.2" customHeight="1" x14ac:dyDescent="0.4">
      <c r="W2909" s="49">
        <v>50439</v>
      </c>
      <c r="X2909" s="49">
        <v>50439</v>
      </c>
      <c r="Y2909" s="49">
        <v>50439</v>
      </c>
      <c r="AY2909" s="49">
        <v>50439</v>
      </c>
      <c r="AZ2909" s="49">
        <v>50439</v>
      </c>
      <c r="BA2909" s="49">
        <v>50439</v>
      </c>
    </row>
    <row r="2910" spans="23:53" ht="16.2" customHeight="1" x14ac:dyDescent="0.4">
      <c r="W2910" s="49">
        <v>50440</v>
      </c>
      <c r="X2910" s="49">
        <v>50440</v>
      </c>
      <c r="Y2910" s="49">
        <v>50440</v>
      </c>
      <c r="AY2910" s="49">
        <v>50440</v>
      </c>
      <c r="AZ2910" s="49">
        <v>50440</v>
      </c>
      <c r="BA2910" s="49">
        <v>50440</v>
      </c>
    </row>
    <row r="2911" spans="23:53" ht="16.2" customHeight="1" x14ac:dyDescent="0.4">
      <c r="W2911" s="49">
        <v>50441</v>
      </c>
      <c r="X2911" s="49">
        <v>50441</v>
      </c>
      <c r="Y2911" s="49">
        <v>50441</v>
      </c>
      <c r="AY2911" s="49">
        <v>50441</v>
      </c>
      <c r="AZ2911" s="49">
        <v>50441</v>
      </c>
      <c r="BA2911" s="49">
        <v>50441</v>
      </c>
    </row>
    <row r="2912" spans="23:53" ht="16.2" customHeight="1" x14ac:dyDescent="0.4">
      <c r="W2912" s="49">
        <v>50442</v>
      </c>
      <c r="X2912" s="49">
        <v>50442</v>
      </c>
      <c r="Y2912" s="49">
        <v>50442</v>
      </c>
      <c r="AY2912" s="49">
        <v>50442</v>
      </c>
      <c r="AZ2912" s="49">
        <v>50442</v>
      </c>
      <c r="BA2912" s="49">
        <v>50442</v>
      </c>
    </row>
    <row r="2913" spans="23:53" ht="16.2" customHeight="1" x14ac:dyDescent="0.4">
      <c r="W2913" s="49">
        <v>50443</v>
      </c>
      <c r="X2913" s="49">
        <v>50443</v>
      </c>
      <c r="Y2913" s="49">
        <v>50443</v>
      </c>
      <c r="AY2913" s="49">
        <v>50443</v>
      </c>
      <c r="AZ2913" s="49">
        <v>50443</v>
      </c>
      <c r="BA2913" s="49">
        <v>50443</v>
      </c>
    </row>
    <row r="2914" spans="23:53" ht="16.2" customHeight="1" x14ac:dyDescent="0.4">
      <c r="W2914" s="49">
        <v>50449</v>
      </c>
      <c r="X2914" s="49">
        <v>50449</v>
      </c>
      <c r="Y2914" s="49">
        <v>50449</v>
      </c>
      <c r="AY2914" s="49">
        <v>50449</v>
      </c>
      <c r="AZ2914" s="49">
        <v>50449</v>
      </c>
      <c r="BA2914" s="49">
        <v>50449</v>
      </c>
    </row>
    <row r="2915" spans="23:53" ht="16.2" customHeight="1" x14ac:dyDescent="0.4">
      <c r="W2915" s="49">
        <v>50450</v>
      </c>
      <c r="X2915" s="49">
        <v>50450</v>
      </c>
      <c r="Y2915" s="49">
        <v>50450</v>
      </c>
      <c r="AY2915" s="49">
        <v>50450</v>
      </c>
      <c r="AZ2915" s="49">
        <v>50450</v>
      </c>
      <c r="BA2915" s="49">
        <v>50450</v>
      </c>
    </row>
    <row r="2916" spans="23:53" ht="16.2" customHeight="1" x14ac:dyDescent="0.4">
      <c r="W2916" s="49">
        <v>50456</v>
      </c>
      <c r="X2916" s="49">
        <v>50456</v>
      </c>
      <c r="Y2916" s="49">
        <v>50456</v>
      </c>
      <c r="AY2916" s="49">
        <v>50456</v>
      </c>
      <c r="AZ2916" s="49">
        <v>50456</v>
      </c>
      <c r="BA2916" s="49">
        <v>50456</v>
      </c>
    </row>
    <row r="2917" spans="23:53" ht="16.2" customHeight="1" x14ac:dyDescent="0.4">
      <c r="W2917" s="49">
        <v>50457</v>
      </c>
      <c r="X2917" s="49">
        <v>50457</v>
      </c>
      <c r="Y2917" s="49">
        <v>50457</v>
      </c>
      <c r="AY2917" s="49">
        <v>50457</v>
      </c>
      <c r="AZ2917" s="49">
        <v>50457</v>
      </c>
      <c r="BA2917" s="49">
        <v>50457</v>
      </c>
    </row>
    <row r="2918" spans="23:53" ht="16.2" customHeight="1" x14ac:dyDescent="0.4">
      <c r="W2918" s="49">
        <v>50463</v>
      </c>
      <c r="X2918" s="49">
        <v>50463</v>
      </c>
      <c r="Y2918" s="49">
        <v>50463</v>
      </c>
      <c r="AY2918" s="49">
        <v>50463</v>
      </c>
      <c r="AZ2918" s="49">
        <v>50463</v>
      </c>
      <c r="BA2918" s="49">
        <v>50463</v>
      </c>
    </row>
    <row r="2919" spans="23:53" ht="16.2" customHeight="1" x14ac:dyDescent="0.4">
      <c r="W2919" s="49">
        <v>50464</v>
      </c>
      <c r="X2919" s="49">
        <v>50464</v>
      </c>
      <c r="Y2919" s="49">
        <v>50464</v>
      </c>
      <c r="AY2919" s="49">
        <v>50464</v>
      </c>
      <c r="AZ2919" s="49">
        <v>50464</v>
      </c>
      <c r="BA2919" s="49">
        <v>50464</v>
      </c>
    </row>
    <row r="2920" spans="23:53" ht="16.2" customHeight="1" x14ac:dyDescent="0.4">
      <c r="W2920" s="49">
        <v>50465</v>
      </c>
      <c r="X2920" s="49">
        <v>50465</v>
      </c>
      <c r="Y2920" s="49">
        <v>50465</v>
      </c>
      <c r="AY2920" s="49">
        <v>50465</v>
      </c>
      <c r="AZ2920" s="49">
        <v>50465</v>
      </c>
      <c r="BA2920" s="49">
        <v>50465</v>
      </c>
    </row>
    <row r="2921" spans="23:53" ht="16.2" customHeight="1" x14ac:dyDescent="0.4">
      <c r="W2921" s="49">
        <v>50470</v>
      </c>
      <c r="X2921" s="49">
        <v>50470</v>
      </c>
      <c r="Y2921" s="49">
        <v>50470</v>
      </c>
      <c r="AY2921" s="49">
        <v>50470</v>
      </c>
      <c r="AZ2921" s="49">
        <v>50470</v>
      </c>
      <c r="BA2921" s="49">
        <v>50470</v>
      </c>
    </row>
    <row r="2922" spans="23:53" ht="16.2" customHeight="1" x14ac:dyDescent="0.4">
      <c r="W2922" s="49">
        <v>50471</v>
      </c>
      <c r="X2922" s="49">
        <v>50471</v>
      </c>
      <c r="Y2922" s="49">
        <v>50471</v>
      </c>
      <c r="AY2922" s="49">
        <v>50471</v>
      </c>
      <c r="AZ2922" s="49">
        <v>50471</v>
      </c>
      <c r="BA2922" s="49">
        <v>50471</v>
      </c>
    </row>
    <row r="2923" spans="23:53" ht="16.2" customHeight="1" x14ac:dyDescent="0.4">
      <c r="W2923" s="49">
        <v>50477</v>
      </c>
      <c r="X2923" s="49">
        <v>50477</v>
      </c>
      <c r="Y2923" s="49">
        <v>50477</v>
      </c>
      <c r="AY2923" s="49">
        <v>50477</v>
      </c>
      <c r="AZ2923" s="49">
        <v>50477</v>
      </c>
      <c r="BA2923" s="49">
        <v>50477</v>
      </c>
    </row>
    <row r="2924" spans="23:53" ht="16.2" customHeight="1" x14ac:dyDescent="0.4">
      <c r="W2924" s="49">
        <v>50478</v>
      </c>
      <c r="X2924" s="49">
        <v>50478</v>
      </c>
      <c r="Y2924" s="49">
        <v>50478</v>
      </c>
      <c r="AY2924" s="49">
        <v>50478</v>
      </c>
      <c r="AZ2924" s="49">
        <v>50478</v>
      </c>
      <c r="BA2924" s="49">
        <v>50478</v>
      </c>
    </row>
    <row r="2925" spans="23:53" ht="16.2" customHeight="1" x14ac:dyDescent="0.4">
      <c r="W2925" s="49">
        <v>50484</v>
      </c>
      <c r="X2925" s="49">
        <v>50484</v>
      </c>
      <c r="Y2925" s="49">
        <v>50484</v>
      </c>
      <c r="AY2925" s="49">
        <v>50484</v>
      </c>
      <c r="AZ2925" s="49">
        <v>50484</v>
      </c>
      <c r="BA2925" s="49">
        <v>50484</v>
      </c>
    </row>
    <row r="2926" spans="23:53" ht="16.2" customHeight="1" x14ac:dyDescent="0.4">
      <c r="W2926" s="49">
        <v>50485</v>
      </c>
      <c r="X2926" s="49">
        <v>50485</v>
      </c>
      <c r="Y2926" s="49">
        <v>50485</v>
      </c>
      <c r="AY2926" s="49">
        <v>50485</v>
      </c>
      <c r="AZ2926" s="49">
        <v>50485</v>
      </c>
      <c r="BA2926" s="49">
        <v>50485</v>
      </c>
    </row>
    <row r="2927" spans="23:53" ht="16.2" customHeight="1" x14ac:dyDescent="0.4">
      <c r="W2927" s="49">
        <v>50491</v>
      </c>
      <c r="X2927" s="49">
        <v>50491</v>
      </c>
      <c r="Y2927" s="49">
        <v>50491</v>
      </c>
      <c r="AY2927" s="49">
        <v>50491</v>
      </c>
      <c r="AZ2927" s="49">
        <v>50491</v>
      </c>
      <c r="BA2927" s="49">
        <v>50491</v>
      </c>
    </row>
    <row r="2928" spans="23:53" ht="16.2" customHeight="1" x14ac:dyDescent="0.4">
      <c r="W2928" s="49">
        <v>50492</v>
      </c>
      <c r="X2928" s="49">
        <v>50492</v>
      </c>
      <c r="Y2928" s="49">
        <v>50492</v>
      </c>
      <c r="AY2928" s="49">
        <v>50492</v>
      </c>
      <c r="AZ2928" s="49">
        <v>50492</v>
      </c>
      <c r="BA2928" s="49">
        <v>50492</v>
      </c>
    </row>
    <row r="2929" spans="23:53" ht="16.2" customHeight="1" x14ac:dyDescent="0.4">
      <c r="W2929" s="49">
        <v>50498</v>
      </c>
      <c r="X2929" s="49">
        <v>50498</v>
      </c>
      <c r="Y2929" s="49">
        <v>50498</v>
      </c>
      <c r="AY2929" s="49">
        <v>50498</v>
      </c>
      <c r="AZ2929" s="49">
        <v>50498</v>
      </c>
      <c r="BA2929" s="49">
        <v>50498</v>
      </c>
    </row>
    <row r="2930" spans="23:53" ht="16.2" customHeight="1" x14ac:dyDescent="0.4">
      <c r="W2930" s="49">
        <v>50499</v>
      </c>
      <c r="X2930" s="49">
        <v>50499</v>
      </c>
      <c r="Y2930" s="49">
        <v>50499</v>
      </c>
      <c r="AY2930" s="49">
        <v>50499</v>
      </c>
      <c r="AZ2930" s="49">
        <v>50499</v>
      </c>
      <c r="BA2930" s="49">
        <v>50499</v>
      </c>
    </row>
    <row r="2931" spans="23:53" ht="16.2" customHeight="1" x14ac:dyDescent="0.4">
      <c r="W2931" s="49">
        <v>50505</v>
      </c>
      <c r="X2931" s="49">
        <v>50505</v>
      </c>
      <c r="Y2931" s="49">
        <v>50505</v>
      </c>
      <c r="AY2931" s="49">
        <v>50505</v>
      </c>
      <c r="AZ2931" s="49">
        <v>50505</v>
      </c>
      <c r="BA2931" s="49">
        <v>50505</v>
      </c>
    </row>
    <row r="2932" spans="23:53" ht="16.2" customHeight="1" x14ac:dyDescent="0.4">
      <c r="W2932" s="49">
        <v>50506</v>
      </c>
      <c r="X2932" s="49">
        <v>50506</v>
      </c>
      <c r="Y2932" s="49">
        <v>50506</v>
      </c>
      <c r="AY2932" s="49">
        <v>50506</v>
      </c>
      <c r="AZ2932" s="49">
        <v>50506</v>
      </c>
      <c r="BA2932" s="49">
        <v>50506</v>
      </c>
    </row>
    <row r="2933" spans="23:53" ht="16.2" customHeight="1" x14ac:dyDescent="0.4">
      <c r="W2933" s="49">
        <v>50512</v>
      </c>
      <c r="X2933" s="49">
        <v>50512</v>
      </c>
      <c r="Y2933" s="49">
        <v>50512</v>
      </c>
      <c r="AY2933" s="49">
        <v>50512</v>
      </c>
      <c r="AZ2933" s="49">
        <v>50512</v>
      </c>
      <c r="BA2933" s="49">
        <v>50512</v>
      </c>
    </row>
    <row r="2934" spans="23:53" ht="16.2" customHeight="1" x14ac:dyDescent="0.4">
      <c r="W2934" s="49">
        <v>50513</v>
      </c>
      <c r="X2934" s="49">
        <v>50513</v>
      </c>
      <c r="Y2934" s="49">
        <v>50513</v>
      </c>
      <c r="AY2934" s="49">
        <v>50513</v>
      </c>
      <c r="AZ2934" s="49">
        <v>50513</v>
      </c>
      <c r="BA2934" s="49">
        <v>50513</v>
      </c>
    </row>
    <row r="2935" spans="23:53" ht="16.2" customHeight="1" x14ac:dyDescent="0.4">
      <c r="W2935" s="49">
        <v>50519</v>
      </c>
      <c r="X2935" s="49">
        <v>50519</v>
      </c>
      <c r="Y2935" s="49">
        <v>50519</v>
      </c>
      <c r="AY2935" s="49">
        <v>50519</v>
      </c>
      <c r="AZ2935" s="49">
        <v>50519</v>
      </c>
      <c r="BA2935" s="49">
        <v>50519</v>
      </c>
    </row>
    <row r="2936" spans="23:53" ht="16.2" customHeight="1" x14ac:dyDescent="0.4">
      <c r="W2936" s="49">
        <v>50520</v>
      </c>
      <c r="X2936" s="49">
        <v>50520</v>
      </c>
      <c r="Y2936" s="49">
        <v>50520</v>
      </c>
      <c r="AY2936" s="49">
        <v>50520</v>
      </c>
      <c r="AZ2936" s="49">
        <v>50520</v>
      </c>
      <c r="BA2936" s="49">
        <v>50520</v>
      </c>
    </row>
    <row r="2937" spans="23:53" ht="16.2" customHeight="1" x14ac:dyDescent="0.4">
      <c r="W2937" s="49">
        <v>50527</v>
      </c>
      <c r="X2937" s="49">
        <v>50527</v>
      </c>
      <c r="Y2937" s="49">
        <v>50527</v>
      </c>
      <c r="AY2937" s="49">
        <v>50527</v>
      </c>
      <c r="AZ2937" s="49">
        <v>50527</v>
      </c>
      <c r="BA2937" s="49">
        <v>50527</v>
      </c>
    </row>
    <row r="2938" spans="23:53" ht="16.2" customHeight="1" x14ac:dyDescent="0.4">
      <c r="W2938" s="49">
        <v>50530</v>
      </c>
      <c r="X2938" s="49">
        <v>50530</v>
      </c>
      <c r="Y2938" s="49">
        <v>50530</v>
      </c>
      <c r="AY2938" s="49">
        <v>50530</v>
      </c>
      <c r="AZ2938" s="49">
        <v>50530</v>
      </c>
      <c r="BA2938" s="49">
        <v>50530</v>
      </c>
    </row>
    <row r="2939" spans="23:53" ht="16.2" customHeight="1" x14ac:dyDescent="0.4">
      <c r="W2939" s="49">
        <v>50533</v>
      </c>
      <c r="X2939" s="49">
        <v>50533</v>
      </c>
      <c r="Y2939" s="49">
        <v>50533</v>
      </c>
      <c r="AY2939" s="49">
        <v>50533</v>
      </c>
      <c r="AZ2939" s="49">
        <v>50533</v>
      </c>
      <c r="BA2939" s="49">
        <v>50533</v>
      </c>
    </row>
    <row r="2940" spans="23:53" ht="16.2" customHeight="1" x14ac:dyDescent="0.4">
      <c r="W2940" s="49">
        <v>50534</v>
      </c>
      <c r="X2940" s="49">
        <v>50534</v>
      </c>
      <c r="Y2940" s="49">
        <v>50534</v>
      </c>
      <c r="AY2940" s="49">
        <v>50534</v>
      </c>
      <c r="AZ2940" s="49">
        <v>50534</v>
      </c>
      <c r="BA2940" s="49">
        <v>50534</v>
      </c>
    </row>
    <row r="2941" spans="23:53" ht="16.2" customHeight="1" x14ac:dyDescent="0.4">
      <c r="W2941" s="49">
        <v>50536</v>
      </c>
      <c r="X2941" s="49">
        <v>50536</v>
      </c>
      <c r="Y2941" s="49">
        <v>50536</v>
      </c>
      <c r="AY2941" s="49">
        <v>50536</v>
      </c>
      <c r="AZ2941" s="49">
        <v>50536</v>
      </c>
      <c r="BA2941" s="49">
        <v>50536</v>
      </c>
    </row>
    <row r="2942" spans="23:53" ht="16.2" customHeight="1" x14ac:dyDescent="0.4">
      <c r="W2942" s="49">
        <v>50540</v>
      </c>
      <c r="X2942" s="49">
        <v>50540</v>
      </c>
      <c r="Y2942" s="49">
        <v>50540</v>
      </c>
      <c r="AY2942" s="49">
        <v>50540</v>
      </c>
      <c r="AZ2942" s="49">
        <v>50540</v>
      </c>
      <c r="BA2942" s="49">
        <v>50540</v>
      </c>
    </row>
    <row r="2943" spans="23:53" ht="16.2" customHeight="1" x14ac:dyDescent="0.4">
      <c r="W2943" s="49">
        <v>50541</v>
      </c>
      <c r="X2943" s="49">
        <v>50541</v>
      </c>
      <c r="Y2943" s="49">
        <v>50541</v>
      </c>
      <c r="AY2943" s="49">
        <v>50541</v>
      </c>
      <c r="AZ2943" s="49">
        <v>50541</v>
      </c>
      <c r="BA2943" s="49">
        <v>50541</v>
      </c>
    </row>
    <row r="2944" spans="23:53" ht="16.2" customHeight="1" x14ac:dyDescent="0.4">
      <c r="W2944" s="49">
        <v>50547</v>
      </c>
      <c r="X2944" s="49">
        <v>50547</v>
      </c>
      <c r="Y2944" s="49">
        <v>50547</v>
      </c>
      <c r="AY2944" s="49">
        <v>50547</v>
      </c>
      <c r="AZ2944" s="49">
        <v>50547</v>
      </c>
      <c r="BA2944" s="49">
        <v>50547</v>
      </c>
    </row>
    <row r="2945" spans="23:53" ht="16.2" customHeight="1" x14ac:dyDescent="0.4">
      <c r="W2945" s="49">
        <v>50548</v>
      </c>
      <c r="X2945" s="49">
        <v>50548</v>
      </c>
      <c r="Y2945" s="49">
        <v>50548</v>
      </c>
      <c r="AY2945" s="49">
        <v>50548</v>
      </c>
      <c r="AZ2945" s="49">
        <v>50548</v>
      </c>
      <c r="BA2945" s="49">
        <v>50548</v>
      </c>
    </row>
    <row r="2946" spans="23:53" ht="16.2" customHeight="1" x14ac:dyDescent="0.4">
      <c r="W2946" s="49">
        <v>50554</v>
      </c>
      <c r="X2946" s="49">
        <v>50554</v>
      </c>
      <c r="Y2946" s="49">
        <v>50554</v>
      </c>
      <c r="AY2946" s="49">
        <v>50554</v>
      </c>
      <c r="AZ2946" s="49">
        <v>50554</v>
      </c>
      <c r="BA2946" s="49">
        <v>50554</v>
      </c>
    </row>
    <row r="2947" spans="23:53" ht="16.2" customHeight="1" x14ac:dyDescent="0.4">
      <c r="W2947" s="49">
        <v>50555</v>
      </c>
      <c r="X2947" s="49">
        <v>50555</v>
      </c>
      <c r="Y2947" s="49">
        <v>50555</v>
      </c>
      <c r="AY2947" s="49">
        <v>50555</v>
      </c>
      <c r="AZ2947" s="49">
        <v>50555</v>
      </c>
      <c r="BA2947" s="49">
        <v>50555</v>
      </c>
    </row>
    <row r="2948" spans="23:53" ht="16.2" customHeight="1" x14ac:dyDescent="0.4">
      <c r="W2948" s="49">
        <v>50561</v>
      </c>
      <c r="X2948" s="49">
        <v>50561</v>
      </c>
      <c r="Y2948" s="49">
        <v>50561</v>
      </c>
      <c r="AY2948" s="49">
        <v>50561</v>
      </c>
      <c r="AZ2948" s="49">
        <v>50561</v>
      </c>
      <c r="BA2948" s="49">
        <v>50561</v>
      </c>
    </row>
    <row r="2949" spans="23:53" ht="16.2" customHeight="1" x14ac:dyDescent="0.4">
      <c r="W2949" s="49">
        <v>50562</v>
      </c>
      <c r="X2949" s="49">
        <v>50562</v>
      </c>
      <c r="Y2949" s="49">
        <v>50562</v>
      </c>
      <c r="AY2949" s="49">
        <v>50562</v>
      </c>
      <c r="AZ2949" s="49">
        <v>50562</v>
      </c>
      <c r="BA2949" s="49">
        <v>50562</v>
      </c>
    </row>
    <row r="2950" spans="23:53" ht="16.2" customHeight="1" x14ac:dyDescent="0.4">
      <c r="W2950" s="49">
        <v>50568</v>
      </c>
      <c r="X2950" s="49">
        <v>50568</v>
      </c>
      <c r="Y2950" s="49">
        <v>50568</v>
      </c>
      <c r="AY2950" s="49">
        <v>50568</v>
      </c>
      <c r="AZ2950" s="49">
        <v>50568</v>
      </c>
      <c r="BA2950" s="49">
        <v>50568</v>
      </c>
    </row>
    <row r="2951" spans="23:53" ht="16.2" customHeight="1" x14ac:dyDescent="0.4">
      <c r="W2951" s="49">
        <v>50569</v>
      </c>
      <c r="X2951" s="49">
        <v>50569</v>
      </c>
      <c r="Y2951" s="49">
        <v>50569</v>
      </c>
      <c r="AY2951" s="49">
        <v>50569</v>
      </c>
      <c r="AZ2951" s="49">
        <v>50569</v>
      </c>
      <c r="BA2951" s="49">
        <v>50569</v>
      </c>
    </row>
    <row r="2952" spans="23:53" ht="16.2" customHeight="1" x14ac:dyDescent="0.4">
      <c r="W2952" s="49">
        <v>50575</v>
      </c>
      <c r="X2952" s="49">
        <v>50575</v>
      </c>
      <c r="Y2952" s="49">
        <v>50575</v>
      </c>
      <c r="AY2952" s="49">
        <v>50575</v>
      </c>
      <c r="AZ2952" s="49">
        <v>50575</v>
      </c>
      <c r="BA2952" s="49">
        <v>50575</v>
      </c>
    </row>
    <row r="2953" spans="23:53" ht="16.2" customHeight="1" x14ac:dyDescent="0.4">
      <c r="W2953" s="49">
        <v>50576</v>
      </c>
      <c r="X2953" s="49">
        <v>50576</v>
      </c>
      <c r="Y2953" s="49">
        <v>50576</v>
      </c>
      <c r="AY2953" s="49">
        <v>50576</v>
      </c>
      <c r="AZ2953" s="49">
        <v>50576</v>
      </c>
      <c r="BA2953" s="49">
        <v>50576</v>
      </c>
    </row>
    <row r="2954" spans="23:53" ht="16.2" customHeight="1" x14ac:dyDescent="0.4">
      <c r="W2954" s="49">
        <v>50582</v>
      </c>
      <c r="X2954" s="49">
        <v>50582</v>
      </c>
      <c r="Y2954" s="49">
        <v>50582</v>
      </c>
      <c r="AY2954" s="49">
        <v>50582</v>
      </c>
      <c r="AZ2954" s="49">
        <v>50582</v>
      </c>
      <c r="BA2954" s="49">
        <v>50582</v>
      </c>
    </row>
    <row r="2955" spans="23:53" ht="16.2" customHeight="1" x14ac:dyDescent="0.4">
      <c r="W2955" s="49">
        <v>50583</v>
      </c>
      <c r="X2955" s="49">
        <v>50583</v>
      </c>
      <c r="Y2955" s="49">
        <v>50583</v>
      </c>
      <c r="AY2955" s="49">
        <v>50583</v>
      </c>
      <c r="AZ2955" s="49">
        <v>50583</v>
      </c>
      <c r="BA2955" s="49">
        <v>50583</v>
      </c>
    </row>
    <row r="2956" spans="23:53" ht="16.2" customHeight="1" x14ac:dyDescent="0.4">
      <c r="W2956" s="49">
        <v>50589</v>
      </c>
      <c r="X2956" s="49">
        <v>50589</v>
      </c>
      <c r="Y2956" s="49">
        <v>50589</v>
      </c>
      <c r="AY2956" s="49">
        <v>50589</v>
      </c>
      <c r="AZ2956" s="49">
        <v>50589</v>
      </c>
      <c r="BA2956" s="49">
        <v>50589</v>
      </c>
    </row>
    <row r="2957" spans="23:53" ht="16.2" customHeight="1" x14ac:dyDescent="0.4">
      <c r="W2957" s="49">
        <v>50590</v>
      </c>
      <c r="X2957" s="49">
        <v>50590</v>
      </c>
      <c r="Y2957" s="49">
        <v>50590</v>
      </c>
      <c r="AY2957" s="49">
        <v>50590</v>
      </c>
      <c r="AZ2957" s="49">
        <v>50590</v>
      </c>
      <c r="BA2957" s="49">
        <v>50590</v>
      </c>
    </row>
    <row r="2958" spans="23:53" ht="16.2" customHeight="1" x14ac:dyDescent="0.4">
      <c r="W2958" s="49">
        <v>50596</v>
      </c>
      <c r="X2958" s="49">
        <v>50596</v>
      </c>
      <c r="Y2958" s="49">
        <v>50596</v>
      </c>
      <c r="AY2958" s="49">
        <v>50596</v>
      </c>
      <c r="AZ2958" s="49">
        <v>50596</v>
      </c>
      <c r="BA2958" s="49">
        <v>50596</v>
      </c>
    </row>
    <row r="2959" spans="23:53" ht="16.2" customHeight="1" x14ac:dyDescent="0.4">
      <c r="W2959" s="49">
        <v>50597</v>
      </c>
      <c r="X2959" s="49">
        <v>50597</v>
      </c>
      <c r="Y2959" s="49">
        <v>50597</v>
      </c>
      <c r="AY2959" s="49">
        <v>50597</v>
      </c>
      <c r="AZ2959" s="49">
        <v>50597</v>
      </c>
      <c r="BA2959" s="49">
        <v>50597</v>
      </c>
    </row>
    <row r="2960" spans="23:53" ht="16.2" customHeight="1" x14ac:dyDescent="0.4">
      <c r="W2960" s="49">
        <v>50603</v>
      </c>
      <c r="X2960" s="49">
        <v>50603</v>
      </c>
      <c r="Y2960" s="49">
        <v>50603</v>
      </c>
      <c r="AY2960" s="49">
        <v>50603</v>
      </c>
      <c r="AZ2960" s="49">
        <v>50603</v>
      </c>
      <c r="BA2960" s="49">
        <v>50603</v>
      </c>
    </row>
    <row r="2961" spans="23:53" ht="16.2" customHeight="1" x14ac:dyDescent="0.4">
      <c r="W2961" s="49">
        <v>50604</v>
      </c>
      <c r="X2961" s="49">
        <v>50604</v>
      </c>
      <c r="Y2961" s="49">
        <v>50604</v>
      </c>
      <c r="AY2961" s="49">
        <v>50604</v>
      </c>
      <c r="AZ2961" s="49">
        <v>50604</v>
      </c>
      <c r="BA2961" s="49">
        <v>50604</v>
      </c>
    </row>
    <row r="2962" spans="23:53" ht="16.2" customHeight="1" x14ac:dyDescent="0.4">
      <c r="W2962" s="49">
        <v>50610</v>
      </c>
      <c r="X2962" s="49">
        <v>50610</v>
      </c>
      <c r="Y2962" s="49">
        <v>50610</v>
      </c>
      <c r="AY2962" s="49">
        <v>50610</v>
      </c>
      <c r="AZ2962" s="49">
        <v>50610</v>
      </c>
      <c r="BA2962" s="49">
        <v>50610</v>
      </c>
    </row>
    <row r="2963" spans="23:53" ht="16.2" customHeight="1" x14ac:dyDescent="0.4">
      <c r="W2963" s="49">
        <v>50611</v>
      </c>
      <c r="X2963" s="49">
        <v>50611</v>
      </c>
      <c r="Y2963" s="49">
        <v>50611</v>
      </c>
      <c r="AY2963" s="49">
        <v>50611</v>
      </c>
      <c r="AZ2963" s="49">
        <v>50611</v>
      </c>
      <c r="BA2963" s="49">
        <v>50611</v>
      </c>
    </row>
    <row r="2964" spans="23:53" ht="16.2" customHeight="1" x14ac:dyDescent="0.4">
      <c r="W2964" s="49">
        <v>50617</v>
      </c>
      <c r="X2964" s="49">
        <v>50617</v>
      </c>
      <c r="Y2964" s="49">
        <v>50617</v>
      </c>
      <c r="AY2964" s="49">
        <v>50617</v>
      </c>
      <c r="AZ2964" s="49">
        <v>50617</v>
      </c>
      <c r="BA2964" s="49">
        <v>50617</v>
      </c>
    </row>
    <row r="2965" spans="23:53" ht="16.2" customHeight="1" x14ac:dyDescent="0.4">
      <c r="W2965" s="49">
        <v>50618</v>
      </c>
      <c r="X2965" s="49">
        <v>50618</v>
      </c>
      <c r="Y2965" s="49">
        <v>50618</v>
      </c>
      <c r="AY2965" s="49">
        <v>50618</v>
      </c>
      <c r="AZ2965" s="49">
        <v>50618</v>
      </c>
      <c r="BA2965" s="49">
        <v>50618</v>
      </c>
    </row>
    <row r="2966" spans="23:53" ht="16.2" customHeight="1" x14ac:dyDescent="0.4">
      <c r="W2966" s="49">
        <v>50624</v>
      </c>
      <c r="X2966" s="49">
        <v>50624</v>
      </c>
      <c r="Y2966" s="49">
        <v>50624</v>
      </c>
      <c r="AY2966" s="49">
        <v>50624</v>
      </c>
      <c r="AZ2966" s="49">
        <v>50624</v>
      </c>
      <c r="BA2966" s="49">
        <v>50624</v>
      </c>
    </row>
    <row r="2967" spans="23:53" ht="16.2" customHeight="1" x14ac:dyDescent="0.4">
      <c r="W2967" s="49">
        <v>50625</v>
      </c>
      <c r="X2967" s="49">
        <v>50625</v>
      </c>
      <c r="Y2967" s="49">
        <v>50625</v>
      </c>
      <c r="AY2967" s="49">
        <v>50625</v>
      </c>
      <c r="AZ2967" s="49">
        <v>50625</v>
      </c>
      <c r="BA2967" s="49">
        <v>50625</v>
      </c>
    </row>
    <row r="2968" spans="23:53" ht="16.2" customHeight="1" x14ac:dyDescent="0.4">
      <c r="W2968" s="49">
        <v>50631</v>
      </c>
      <c r="X2968" s="49">
        <v>50631</v>
      </c>
      <c r="Y2968" s="49">
        <v>50631</v>
      </c>
      <c r="AY2968" s="49">
        <v>50631</v>
      </c>
      <c r="AZ2968" s="49">
        <v>50631</v>
      </c>
      <c r="BA2968" s="49">
        <v>50631</v>
      </c>
    </row>
    <row r="2969" spans="23:53" ht="16.2" customHeight="1" x14ac:dyDescent="0.4">
      <c r="W2969" s="49">
        <v>50632</v>
      </c>
      <c r="X2969" s="49">
        <v>50632</v>
      </c>
      <c r="Y2969" s="49">
        <v>50632</v>
      </c>
      <c r="AY2969" s="49">
        <v>50632</v>
      </c>
      <c r="AZ2969" s="49">
        <v>50632</v>
      </c>
      <c r="BA2969" s="49">
        <v>50632</v>
      </c>
    </row>
    <row r="2970" spans="23:53" ht="16.2" customHeight="1" x14ac:dyDescent="0.4">
      <c r="W2970" s="49">
        <v>50638</v>
      </c>
      <c r="X2970" s="49">
        <v>50638</v>
      </c>
      <c r="Y2970" s="49">
        <v>50638</v>
      </c>
      <c r="AY2970" s="49">
        <v>50638</v>
      </c>
      <c r="AZ2970" s="49">
        <v>50638</v>
      </c>
      <c r="BA2970" s="49">
        <v>50638</v>
      </c>
    </row>
    <row r="2971" spans="23:53" ht="16.2" customHeight="1" x14ac:dyDescent="0.4">
      <c r="W2971" s="49">
        <v>50639</v>
      </c>
      <c r="X2971" s="49">
        <v>50639</v>
      </c>
      <c r="Y2971" s="49">
        <v>50639</v>
      </c>
      <c r="AY2971" s="49">
        <v>50639</v>
      </c>
      <c r="AZ2971" s="49">
        <v>50639</v>
      </c>
      <c r="BA2971" s="49">
        <v>50639</v>
      </c>
    </row>
    <row r="2972" spans="23:53" ht="16.2" customHeight="1" x14ac:dyDescent="0.4">
      <c r="W2972" s="49">
        <v>50645</v>
      </c>
      <c r="X2972" s="49">
        <v>50645</v>
      </c>
      <c r="Y2972" s="49">
        <v>50645</v>
      </c>
      <c r="AY2972" s="49">
        <v>50645</v>
      </c>
      <c r="AZ2972" s="49">
        <v>50645</v>
      </c>
      <c r="BA2972" s="49">
        <v>50645</v>
      </c>
    </row>
    <row r="2973" spans="23:53" ht="16.2" customHeight="1" x14ac:dyDescent="0.4">
      <c r="W2973" s="49">
        <v>50646</v>
      </c>
      <c r="X2973" s="49">
        <v>50646</v>
      </c>
      <c r="Y2973" s="49">
        <v>50646</v>
      </c>
      <c r="AY2973" s="49">
        <v>50646</v>
      </c>
      <c r="AZ2973" s="49">
        <v>50646</v>
      </c>
      <c r="BA2973" s="49">
        <v>50646</v>
      </c>
    </row>
    <row r="2974" spans="23:53" ht="16.2" customHeight="1" x14ac:dyDescent="0.4">
      <c r="W2974" s="49">
        <v>50652</v>
      </c>
      <c r="X2974" s="49">
        <v>50652</v>
      </c>
      <c r="Y2974" s="49">
        <v>50652</v>
      </c>
      <c r="AY2974" s="49">
        <v>50652</v>
      </c>
      <c r="AZ2974" s="49">
        <v>50652</v>
      </c>
      <c r="BA2974" s="49">
        <v>50652</v>
      </c>
    </row>
    <row r="2975" spans="23:53" ht="16.2" customHeight="1" x14ac:dyDescent="0.4">
      <c r="W2975" s="49">
        <v>50653</v>
      </c>
      <c r="X2975" s="49">
        <v>50653</v>
      </c>
      <c r="Y2975" s="49">
        <v>50653</v>
      </c>
      <c r="AY2975" s="49">
        <v>50653</v>
      </c>
      <c r="AZ2975" s="49">
        <v>50653</v>
      </c>
      <c r="BA2975" s="49">
        <v>50653</v>
      </c>
    </row>
    <row r="2976" spans="23:53" ht="16.2" customHeight="1" x14ac:dyDescent="0.4">
      <c r="W2976" s="49">
        <v>50659</v>
      </c>
      <c r="X2976" s="49">
        <v>50659</v>
      </c>
      <c r="Y2976" s="49">
        <v>50659</v>
      </c>
      <c r="AY2976" s="49">
        <v>50659</v>
      </c>
      <c r="AZ2976" s="49">
        <v>50659</v>
      </c>
      <c r="BA2976" s="49">
        <v>50659</v>
      </c>
    </row>
    <row r="2977" spans="23:53" ht="16.2" customHeight="1" x14ac:dyDescent="0.4">
      <c r="W2977" s="49">
        <v>50660</v>
      </c>
      <c r="X2977" s="49">
        <v>50660</v>
      </c>
      <c r="Y2977" s="49">
        <v>50660</v>
      </c>
      <c r="AY2977" s="49">
        <v>50660</v>
      </c>
      <c r="AZ2977" s="49">
        <v>50660</v>
      </c>
      <c r="BA2977" s="49">
        <v>50660</v>
      </c>
    </row>
    <row r="2978" spans="23:53" ht="16.2" customHeight="1" x14ac:dyDescent="0.4">
      <c r="W2978" s="49">
        <v>50661</v>
      </c>
      <c r="X2978" s="49">
        <v>50661</v>
      </c>
      <c r="Y2978" s="49">
        <v>50661</v>
      </c>
      <c r="AY2978" s="49">
        <v>50661</v>
      </c>
      <c r="AZ2978" s="49">
        <v>50661</v>
      </c>
      <c r="BA2978" s="49">
        <v>50661</v>
      </c>
    </row>
    <row r="2979" spans="23:53" ht="16.2" customHeight="1" x14ac:dyDescent="0.4">
      <c r="W2979" s="49">
        <v>50662</v>
      </c>
      <c r="X2979" s="49">
        <v>50662</v>
      </c>
      <c r="Y2979" s="49">
        <v>50662</v>
      </c>
      <c r="AY2979" s="49">
        <v>50662</v>
      </c>
      <c r="AZ2979" s="49">
        <v>50662</v>
      </c>
      <c r="BA2979" s="49">
        <v>50662</v>
      </c>
    </row>
    <row r="2980" spans="23:53" ht="16.2" customHeight="1" x14ac:dyDescent="0.4">
      <c r="W2980" s="49">
        <v>50666</v>
      </c>
      <c r="X2980" s="49">
        <v>50666</v>
      </c>
      <c r="Y2980" s="49">
        <v>50666</v>
      </c>
      <c r="AY2980" s="49">
        <v>50666</v>
      </c>
      <c r="AZ2980" s="49">
        <v>50666</v>
      </c>
      <c r="BA2980" s="49">
        <v>50666</v>
      </c>
    </row>
    <row r="2981" spans="23:53" ht="16.2" customHeight="1" x14ac:dyDescent="0.4">
      <c r="W2981" s="49">
        <v>50667</v>
      </c>
      <c r="X2981" s="49">
        <v>50667</v>
      </c>
      <c r="Y2981" s="49">
        <v>50667</v>
      </c>
      <c r="AY2981" s="49">
        <v>50667</v>
      </c>
      <c r="AZ2981" s="49">
        <v>50667</v>
      </c>
      <c r="BA2981" s="49">
        <v>50667</v>
      </c>
    </row>
    <row r="2982" spans="23:53" ht="16.2" customHeight="1" x14ac:dyDescent="0.4">
      <c r="W2982" s="49">
        <v>50673</v>
      </c>
      <c r="X2982" s="49">
        <v>50673</v>
      </c>
      <c r="Y2982" s="49">
        <v>50673</v>
      </c>
      <c r="AY2982" s="49">
        <v>50673</v>
      </c>
      <c r="AZ2982" s="49">
        <v>50673</v>
      </c>
      <c r="BA2982" s="49">
        <v>50673</v>
      </c>
    </row>
    <row r="2983" spans="23:53" ht="16.2" customHeight="1" x14ac:dyDescent="0.4">
      <c r="W2983" s="49">
        <v>50674</v>
      </c>
      <c r="X2983" s="49">
        <v>50674</v>
      </c>
      <c r="Y2983" s="49">
        <v>50674</v>
      </c>
      <c r="AY2983" s="49">
        <v>50674</v>
      </c>
      <c r="AZ2983" s="49">
        <v>50674</v>
      </c>
      <c r="BA2983" s="49">
        <v>50674</v>
      </c>
    </row>
    <row r="2984" spans="23:53" ht="16.2" customHeight="1" x14ac:dyDescent="0.4">
      <c r="W2984" s="49">
        <v>50680</v>
      </c>
      <c r="X2984" s="49">
        <v>50680</v>
      </c>
      <c r="Y2984" s="49">
        <v>50680</v>
      </c>
      <c r="AY2984" s="49">
        <v>50680</v>
      </c>
      <c r="AZ2984" s="49">
        <v>50680</v>
      </c>
      <c r="BA2984" s="49">
        <v>50680</v>
      </c>
    </row>
    <row r="2985" spans="23:53" ht="16.2" customHeight="1" x14ac:dyDescent="0.4">
      <c r="W2985" s="49">
        <v>50681</v>
      </c>
      <c r="X2985" s="49">
        <v>50681</v>
      </c>
      <c r="Y2985" s="49">
        <v>50681</v>
      </c>
      <c r="AY2985" s="49">
        <v>50681</v>
      </c>
      <c r="AZ2985" s="49">
        <v>50681</v>
      </c>
      <c r="BA2985" s="49">
        <v>50681</v>
      </c>
    </row>
    <row r="2986" spans="23:53" ht="16.2" customHeight="1" x14ac:dyDescent="0.4">
      <c r="W2986" s="49">
        <v>50687</v>
      </c>
      <c r="X2986" s="49">
        <v>50687</v>
      </c>
      <c r="Y2986" s="49">
        <v>50687</v>
      </c>
      <c r="AY2986" s="49">
        <v>50687</v>
      </c>
      <c r="AZ2986" s="49">
        <v>50687</v>
      </c>
      <c r="BA2986" s="49">
        <v>50687</v>
      </c>
    </row>
    <row r="2987" spans="23:53" ht="16.2" customHeight="1" x14ac:dyDescent="0.4">
      <c r="W2987" s="49">
        <v>50688</v>
      </c>
      <c r="X2987" s="49">
        <v>50688</v>
      </c>
      <c r="Y2987" s="49">
        <v>50688</v>
      </c>
      <c r="AY2987" s="49">
        <v>50688</v>
      </c>
      <c r="AZ2987" s="49">
        <v>50688</v>
      </c>
      <c r="BA2987" s="49">
        <v>50688</v>
      </c>
    </row>
    <row r="2988" spans="23:53" ht="16.2" customHeight="1" x14ac:dyDescent="0.4">
      <c r="W2988" s="49">
        <v>50694</v>
      </c>
      <c r="X2988" s="49">
        <v>50694</v>
      </c>
      <c r="Y2988" s="49">
        <v>50694</v>
      </c>
      <c r="AY2988" s="49">
        <v>50694</v>
      </c>
      <c r="AZ2988" s="49">
        <v>50694</v>
      </c>
      <c r="BA2988" s="49">
        <v>50694</v>
      </c>
    </row>
    <row r="2989" spans="23:53" ht="16.2" customHeight="1" x14ac:dyDescent="0.4">
      <c r="W2989" s="49">
        <v>50695</v>
      </c>
      <c r="X2989" s="49">
        <v>50695</v>
      </c>
      <c r="Y2989" s="49">
        <v>50695</v>
      </c>
      <c r="AY2989" s="49">
        <v>50695</v>
      </c>
      <c r="AZ2989" s="49">
        <v>50695</v>
      </c>
      <c r="BA2989" s="49">
        <v>50695</v>
      </c>
    </row>
    <row r="2990" spans="23:53" ht="16.2" customHeight="1" x14ac:dyDescent="0.4">
      <c r="W2990" s="49">
        <v>50701</v>
      </c>
      <c r="X2990" s="49">
        <v>50701</v>
      </c>
      <c r="Y2990" s="49">
        <v>50701</v>
      </c>
      <c r="AY2990" s="49">
        <v>50701</v>
      </c>
      <c r="AZ2990" s="49">
        <v>50701</v>
      </c>
      <c r="BA2990" s="49">
        <v>50701</v>
      </c>
    </row>
    <row r="2991" spans="23:53" ht="16.2" customHeight="1" x14ac:dyDescent="0.4">
      <c r="W2991" s="49">
        <v>50702</v>
      </c>
      <c r="X2991" s="49">
        <v>50702</v>
      </c>
      <c r="Y2991" s="49">
        <v>50702</v>
      </c>
      <c r="AY2991" s="49">
        <v>50702</v>
      </c>
      <c r="AZ2991" s="49">
        <v>50702</v>
      </c>
      <c r="BA2991" s="49">
        <v>50702</v>
      </c>
    </row>
    <row r="2992" spans="23:53" ht="16.2" customHeight="1" x14ac:dyDescent="0.4">
      <c r="W2992" s="49">
        <v>50708</v>
      </c>
      <c r="X2992" s="49">
        <v>50708</v>
      </c>
      <c r="Y2992" s="49">
        <v>50708</v>
      </c>
      <c r="AY2992" s="49">
        <v>50708</v>
      </c>
      <c r="AZ2992" s="49">
        <v>50708</v>
      </c>
      <c r="BA2992" s="49">
        <v>50708</v>
      </c>
    </row>
    <row r="2993" spans="23:53" ht="16.2" customHeight="1" x14ac:dyDescent="0.4">
      <c r="W2993" s="49">
        <v>50709</v>
      </c>
      <c r="X2993" s="49">
        <v>50709</v>
      </c>
      <c r="Y2993" s="49">
        <v>50709</v>
      </c>
      <c r="AY2993" s="49">
        <v>50709</v>
      </c>
      <c r="AZ2993" s="49">
        <v>50709</v>
      </c>
      <c r="BA2993" s="49">
        <v>50709</v>
      </c>
    </row>
    <row r="2994" spans="23:53" ht="16.2" customHeight="1" x14ac:dyDescent="0.4">
      <c r="W2994" s="49">
        <v>50715</v>
      </c>
      <c r="X2994" s="49">
        <v>50715</v>
      </c>
      <c r="Y2994" s="49">
        <v>50715</v>
      </c>
      <c r="AY2994" s="49">
        <v>50715</v>
      </c>
      <c r="AZ2994" s="49">
        <v>50715</v>
      </c>
      <c r="BA2994" s="49">
        <v>50715</v>
      </c>
    </row>
    <row r="2995" spans="23:53" ht="16.2" customHeight="1" x14ac:dyDescent="0.4">
      <c r="W2995" s="49">
        <v>50716</v>
      </c>
      <c r="X2995" s="49">
        <v>50716</v>
      </c>
      <c r="Y2995" s="49">
        <v>50716</v>
      </c>
      <c r="AY2995" s="49">
        <v>50716</v>
      </c>
      <c r="AZ2995" s="49">
        <v>50716</v>
      </c>
      <c r="BA2995" s="49">
        <v>50716</v>
      </c>
    </row>
    <row r="2996" spans="23:53" ht="16.2" customHeight="1" x14ac:dyDescent="0.4">
      <c r="W2996" s="49">
        <v>50722</v>
      </c>
      <c r="X2996" s="49">
        <v>50722</v>
      </c>
      <c r="Y2996" s="49">
        <v>50722</v>
      </c>
      <c r="AY2996" s="49">
        <v>50722</v>
      </c>
      <c r="AZ2996" s="49">
        <v>50722</v>
      </c>
      <c r="BA2996" s="49">
        <v>50722</v>
      </c>
    </row>
    <row r="2997" spans="23:53" ht="16.2" customHeight="1" x14ac:dyDescent="0.4">
      <c r="W2997" s="49">
        <v>50723</v>
      </c>
      <c r="X2997" s="49">
        <v>50723</v>
      </c>
      <c r="Y2997" s="49">
        <v>50723</v>
      </c>
      <c r="AY2997" s="49">
        <v>50723</v>
      </c>
      <c r="AZ2997" s="49">
        <v>50723</v>
      </c>
      <c r="BA2997" s="49">
        <v>50723</v>
      </c>
    </row>
    <row r="2998" spans="23:53" ht="16.2" customHeight="1" x14ac:dyDescent="0.4">
      <c r="W2998" s="49">
        <v>50729</v>
      </c>
      <c r="X2998" s="49">
        <v>50729</v>
      </c>
      <c r="Y2998" s="49">
        <v>50729</v>
      </c>
      <c r="AY2998" s="49">
        <v>50729</v>
      </c>
      <c r="AZ2998" s="49">
        <v>50729</v>
      </c>
      <c r="BA2998" s="49">
        <v>50729</v>
      </c>
    </row>
    <row r="2999" spans="23:53" ht="16.2" customHeight="1" x14ac:dyDescent="0.4">
      <c r="W2999" s="49">
        <v>50730</v>
      </c>
      <c r="X2999" s="49">
        <v>50730</v>
      </c>
      <c r="Y2999" s="49">
        <v>50730</v>
      </c>
      <c r="AY2999" s="49">
        <v>50730</v>
      </c>
      <c r="AZ2999" s="49">
        <v>50730</v>
      </c>
      <c r="BA2999" s="49">
        <v>50730</v>
      </c>
    </row>
    <row r="3000" spans="23:53" ht="16.2" customHeight="1" x14ac:dyDescent="0.4">
      <c r="W3000" s="49">
        <v>50736</v>
      </c>
      <c r="X3000" s="49">
        <v>50736</v>
      </c>
      <c r="Y3000" s="49">
        <v>50736</v>
      </c>
      <c r="AY3000" s="49">
        <v>50736</v>
      </c>
      <c r="AZ3000" s="49">
        <v>50736</v>
      </c>
      <c r="BA3000" s="49">
        <v>50736</v>
      </c>
    </row>
    <row r="3001" spans="23:53" ht="16.2" customHeight="1" x14ac:dyDescent="0.4">
      <c r="W3001" s="49">
        <v>50737</v>
      </c>
      <c r="X3001" s="49">
        <v>50737</v>
      </c>
      <c r="Y3001" s="49">
        <v>50737</v>
      </c>
      <c r="AY3001" s="49">
        <v>50737</v>
      </c>
      <c r="AZ3001" s="49">
        <v>50737</v>
      </c>
      <c r="BA3001" s="49">
        <v>50737</v>
      </c>
    </row>
    <row r="3002" spans="23:53" ht="16.2" customHeight="1" x14ac:dyDescent="0.4">
      <c r="W3002" s="49">
        <v>50743</v>
      </c>
      <c r="X3002" s="49">
        <v>50743</v>
      </c>
      <c r="Y3002" s="49">
        <v>50743</v>
      </c>
      <c r="AY3002" s="49">
        <v>50743</v>
      </c>
      <c r="AZ3002" s="49">
        <v>50743</v>
      </c>
      <c r="BA3002" s="49">
        <v>50743</v>
      </c>
    </row>
    <row r="3003" spans="23:53" ht="16.2" customHeight="1" x14ac:dyDescent="0.4">
      <c r="W3003" s="49">
        <v>50744</v>
      </c>
      <c r="X3003" s="49">
        <v>50744</v>
      </c>
      <c r="Y3003" s="49">
        <v>50744</v>
      </c>
      <c r="AY3003" s="49">
        <v>50744</v>
      </c>
      <c r="AZ3003" s="49">
        <v>50744</v>
      </c>
      <c r="BA3003" s="49">
        <v>50744</v>
      </c>
    </row>
    <row r="3004" spans="23:53" ht="16.2" customHeight="1" x14ac:dyDescent="0.4">
      <c r="W3004" s="49">
        <v>50750</v>
      </c>
      <c r="X3004" s="49">
        <v>50750</v>
      </c>
      <c r="Y3004" s="49">
        <v>50750</v>
      </c>
      <c r="AY3004" s="49">
        <v>50750</v>
      </c>
      <c r="AZ3004" s="49">
        <v>50750</v>
      </c>
      <c r="BA3004" s="49">
        <v>50750</v>
      </c>
    </row>
    <row r="3005" spans="23:53" ht="16.2" customHeight="1" x14ac:dyDescent="0.4">
      <c r="W3005" s="49">
        <v>50751</v>
      </c>
      <c r="X3005" s="49">
        <v>50751</v>
      </c>
      <c r="Y3005" s="49">
        <v>50751</v>
      </c>
      <c r="AY3005" s="49">
        <v>50751</v>
      </c>
      <c r="AZ3005" s="49">
        <v>50751</v>
      </c>
      <c r="BA3005" s="49">
        <v>50751</v>
      </c>
    </row>
    <row r="3006" spans="23:53" ht="16.2" customHeight="1" x14ac:dyDescent="0.4">
      <c r="W3006" s="49">
        <v>50757</v>
      </c>
      <c r="X3006" s="49">
        <v>50757</v>
      </c>
      <c r="Y3006" s="49">
        <v>50757</v>
      </c>
      <c r="AY3006" s="49">
        <v>50757</v>
      </c>
      <c r="AZ3006" s="49">
        <v>50757</v>
      </c>
      <c r="BA3006" s="49">
        <v>50757</v>
      </c>
    </row>
    <row r="3007" spans="23:53" ht="16.2" customHeight="1" x14ac:dyDescent="0.4">
      <c r="W3007" s="49">
        <v>50758</v>
      </c>
      <c r="X3007" s="49">
        <v>50758</v>
      </c>
      <c r="Y3007" s="49">
        <v>50758</v>
      </c>
      <c r="AY3007" s="49">
        <v>50758</v>
      </c>
      <c r="AZ3007" s="49">
        <v>50758</v>
      </c>
      <c r="BA3007" s="49">
        <v>50758</v>
      </c>
    </row>
    <row r="3008" spans="23:53" ht="16.2" customHeight="1" x14ac:dyDescent="0.4">
      <c r="W3008" s="49">
        <v>50765</v>
      </c>
      <c r="X3008" s="49">
        <v>50765</v>
      </c>
      <c r="Y3008" s="49">
        <v>50765</v>
      </c>
      <c r="AY3008" s="49">
        <v>50765</v>
      </c>
      <c r="AZ3008" s="49">
        <v>50765</v>
      </c>
      <c r="BA3008" s="49">
        <v>50765</v>
      </c>
    </row>
    <row r="3009" spans="23:53" ht="16.2" customHeight="1" x14ac:dyDescent="0.4">
      <c r="W3009" s="49">
        <v>50772</v>
      </c>
      <c r="X3009" s="49">
        <v>50772</v>
      </c>
      <c r="Y3009" s="49">
        <v>50772</v>
      </c>
      <c r="AY3009" s="49">
        <v>50772</v>
      </c>
      <c r="AZ3009" s="49">
        <v>50772</v>
      </c>
      <c r="BA3009" s="49">
        <v>50772</v>
      </c>
    </row>
    <row r="3010" spans="23:53" ht="16.2" customHeight="1" x14ac:dyDescent="0.4">
      <c r="W3010" s="49">
        <v>50778</v>
      </c>
      <c r="X3010" s="49">
        <v>50778</v>
      </c>
      <c r="Y3010" s="49">
        <v>50778</v>
      </c>
      <c r="AY3010" s="49">
        <v>50778</v>
      </c>
      <c r="AZ3010" s="49">
        <v>50778</v>
      </c>
      <c r="BA3010" s="49">
        <v>50778</v>
      </c>
    </row>
    <row r="3011" spans="23:53" ht="16.2" customHeight="1" x14ac:dyDescent="0.4">
      <c r="W3011" s="49">
        <v>50779</v>
      </c>
      <c r="X3011" s="49">
        <v>50779</v>
      </c>
      <c r="Y3011" s="49">
        <v>50779</v>
      </c>
      <c r="AY3011" s="49">
        <v>50779</v>
      </c>
      <c r="AZ3011" s="49">
        <v>50779</v>
      </c>
      <c r="BA3011" s="49">
        <v>50779</v>
      </c>
    </row>
    <row r="3012" spans="23:53" ht="16.2" customHeight="1" x14ac:dyDescent="0.4">
      <c r="W3012" s="49">
        <v>50785</v>
      </c>
      <c r="X3012" s="49">
        <v>50785</v>
      </c>
      <c r="Y3012" s="49">
        <v>50785</v>
      </c>
      <c r="AY3012" s="49">
        <v>50785</v>
      </c>
      <c r="AZ3012" s="49">
        <v>50785</v>
      </c>
      <c r="BA3012" s="49">
        <v>50785</v>
      </c>
    </row>
    <row r="3013" spans="23:53" ht="16.2" customHeight="1" x14ac:dyDescent="0.4">
      <c r="W3013" s="49">
        <v>50786</v>
      </c>
      <c r="X3013" s="49">
        <v>50786</v>
      </c>
      <c r="Y3013" s="49">
        <v>50786</v>
      </c>
      <c r="AY3013" s="49">
        <v>50786</v>
      </c>
      <c r="AZ3013" s="49">
        <v>50786</v>
      </c>
      <c r="BA3013" s="49">
        <v>50786</v>
      </c>
    </row>
    <row r="3014" spans="23:53" ht="16.2" customHeight="1" x14ac:dyDescent="0.4">
      <c r="W3014" s="49">
        <v>50792</v>
      </c>
      <c r="X3014" s="49">
        <v>50792</v>
      </c>
      <c r="Y3014" s="49">
        <v>50792</v>
      </c>
      <c r="AY3014" s="49">
        <v>50792</v>
      </c>
      <c r="AZ3014" s="49">
        <v>50792</v>
      </c>
      <c r="BA3014" s="49">
        <v>50792</v>
      </c>
    </row>
    <row r="3015" spans="23:53" ht="16.2" customHeight="1" x14ac:dyDescent="0.4">
      <c r="W3015" s="49">
        <v>50793</v>
      </c>
      <c r="X3015" s="49">
        <v>50793</v>
      </c>
      <c r="Y3015" s="49">
        <v>50793</v>
      </c>
      <c r="AY3015" s="49">
        <v>50793</v>
      </c>
      <c r="AZ3015" s="49">
        <v>50793</v>
      </c>
      <c r="BA3015" s="49">
        <v>50793</v>
      </c>
    </row>
    <row r="3016" spans="23:53" ht="16.2" customHeight="1" x14ac:dyDescent="0.4">
      <c r="W3016" s="49">
        <v>50794</v>
      </c>
      <c r="X3016" s="49">
        <v>50794</v>
      </c>
      <c r="Y3016" s="49">
        <v>50794</v>
      </c>
      <c r="AY3016" s="49">
        <v>50794</v>
      </c>
      <c r="AZ3016" s="49">
        <v>50794</v>
      </c>
      <c r="BA3016" s="49">
        <v>50794</v>
      </c>
    </row>
    <row r="3017" spans="23:53" ht="16.2" customHeight="1" x14ac:dyDescent="0.4">
      <c r="W3017" s="49">
        <v>50795</v>
      </c>
      <c r="X3017" s="49">
        <v>50795</v>
      </c>
      <c r="Y3017" s="49">
        <v>50795</v>
      </c>
      <c r="AY3017" s="49">
        <v>50795</v>
      </c>
      <c r="AZ3017" s="49">
        <v>50795</v>
      </c>
      <c r="BA3017" s="49">
        <v>50795</v>
      </c>
    </row>
    <row r="3018" spans="23:53" ht="16.2" customHeight="1" x14ac:dyDescent="0.4">
      <c r="W3018" s="49">
        <v>50799</v>
      </c>
      <c r="X3018" s="49">
        <v>50799</v>
      </c>
      <c r="Y3018" s="49">
        <v>50799</v>
      </c>
      <c r="AY3018" s="49">
        <v>50799</v>
      </c>
      <c r="AZ3018" s="49">
        <v>50799</v>
      </c>
      <c r="BA3018" s="49">
        <v>50799</v>
      </c>
    </row>
    <row r="3019" spans="23:53" ht="16.2" customHeight="1" x14ac:dyDescent="0.4">
      <c r="W3019" s="49">
        <v>50800</v>
      </c>
      <c r="X3019" s="49">
        <v>50800</v>
      </c>
      <c r="Y3019" s="49">
        <v>50800</v>
      </c>
      <c r="AY3019" s="49">
        <v>50800</v>
      </c>
      <c r="AZ3019" s="49">
        <v>50800</v>
      </c>
      <c r="BA3019" s="49">
        <v>50800</v>
      </c>
    </row>
    <row r="3020" spans="23:53" ht="16.2" customHeight="1" x14ac:dyDescent="0.4">
      <c r="W3020" s="49">
        <v>50806</v>
      </c>
      <c r="X3020" s="49">
        <v>50806</v>
      </c>
      <c r="Y3020" s="49">
        <v>50806</v>
      </c>
      <c r="AY3020" s="49">
        <v>50806</v>
      </c>
      <c r="AZ3020" s="49">
        <v>50806</v>
      </c>
      <c r="BA3020" s="49">
        <v>50806</v>
      </c>
    </row>
    <row r="3021" spans="23:53" ht="16.2" customHeight="1" x14ac:dyDescent="0.4">
      <c r="W3021" s="49">
        <v>50807</v>
      </c>
      <c r="X3021" s="49">
        <v>50807</v>
      </c>
      <c r="Y3021" s="49">
        <v>50807</v>
      </c>
      <c r="AY3021" s="49">
        <v>50807</v>
      </c>
      <c r="AZ3021" s="49">
        <v>50807</v>
      </c>
      <c r="BA3021" s="49">
        <v>50807</v>
      </c>
    </row>
    <row r="3022" spans="23:53" ht="16.2" customHeight="1" x14ac:dyDescent="0.4">
      <c r="W3022" s="49">
        <v>50813</v>
      </c>
      <c r="X3022" s="49">
        <v>50813</v>
      </c>
      <c r="Y3022" s="49">
        <v>50813</v>
      </c>
      <c r="AY3022" s="49">
        <v>50813</v>
      </c>
      <c r="AZ3022" s="49">
        <v>50813</v>
      </c>
      <c r="BA3022" s="49">
        <v>50813</v>
      </c>
    </row>
    <row r="3023" spans="23:53" ht="16.2" customHeight="1" x14ac:dyDescent="0.4">
      <c r="W3023" s="49">
        <v>50814</v>
      </c>
      <c r="X3023" s="49">
        <v>50814</v>
      </c>
      <c r="Y3023" s="49">
        <v>50814</v>
      </c>
      <c r="AY3023" s="49">
        <v>50814</v>
      </c>
      <c r="AZ3023" s="49">
        <v>50814</v>
      </c>
      <c r="BA3023" s="49">
        <v>50814</v>
      </c>
    </row>
    <row r="3024" spans="23:53" ht="16.2" customHeight="1" x14ac:dyDescent="0.4">
      <c r="W3024" s="49">
        <v>50820</v>
      </c>
      <c r="X3024" s="49">
        <v>50820</v>
      </c>
      <c r="Y3024" s="49">
        <v>50820</v>
      </c>
      <c r="AY3024" s="49">
        <v>50820</v>
      </c>
      <c r="AZ3024" s="49">
        <v>50820</v>
      </c>
      <c r="BA3024" s="49">
        <v>50820</v>
      </c>
    </row>
    <row r="3025" spans="23:53" ht="16.2" customHeight="1" x14ac:dyDescent="0.4">
      <c r="W3025" s="49">
        <v>50821</v>
      </c>
      <c r="X3025" s="49">
        <v>50821</v>
      </c>
      <c r="Y3025" s="49">
        <v>50821</v>
      </c>
      <c r="AY3025" s="49">
        <v>50821</v>
      </c>
      <c r="AZ3025" s="49">
        <v>50821</v>
      </c>
      <c r="BA3025" s="49">
        <v>50821</v>
      </c>
    </row>
    <row r="3026" spans="23:53" ht="16.2" customHeight="1" x14ac:dyDescent="0.4">
      <c r="W3026" s="49">
        <v>50827</v>
      </c>
      <c r="X3026" s="49">
        <v>50827</v>
      </c>
      <c r="Y3026" s="49">
        <v>50827</v>
      </c>
      <c r="AY3026" s="49">
        <v>50827</v>
      </c>
      <c r="AZ3026" s="49">
        <v>50827</v>
      </c>
      <c r="BA3026" s="49">
        <v>50827</v>
      </c>
    </row>
    <row r="3027" spans="23:53" ht="16.2" customHeight="1" x14ac:dyDescent="0.4">
      <c r="W3027" s="49">
        <v>50828</v>
      </c>
      <c r="X3027" s="49">
        <v>50828</v>
      </c>
      <c r="Y3027" s="49">
        <v>50828</v>
      </c>
      <c r="AY3027" s="49">
        <v>50828</v>
      </c>
      <c r="AZ3027" s="49">
        <v>50828</v>
      </c>
      <c r="BA3027" s="49">
        <v>50828</v>
      </c>
    </row>
    <row r="3028" spans="23:53" ht="16.2" customHeight="1" x14ac:dyDescent="0.4">
      <c r="W3028" s="49">
        <v>50830</v>
      </c>
      <c r="X3028" s="49">
        <v>50830</v>
      </c>
      <c r="Y3028" s="49">
        <v>50830</v>
      </c>
      <c r="AY3028" s="49">
        <v>50830</v>
      </c>
      <c r="AZ3028" s="49">
        <v>50830</v>
      </c>
      <c r="BA3028" s="49">
        <v>50830</v>
      </c>
    </row>
    <row r="3029" spans="23:53" ht="16.2" customHeight="1" x14ac:dyDescent="0.4">
      <c r="W3029" s="49">
        <v>50834</v>
      </c>
      <c r="X3029" s="49">
        <v>50834</v>
      </c>
      <c r="Y3029" s="49">
        <v>50834</v>
      </c>
      <c r="AY3029" s="49">
        <v>50834</v>
      </c>
      <c r="AZ3029" s="49">
        <v>50834</v>
      </c>
      <c r="BA3029" s="49">
        <v>50834</v>
      </c>
    </row>
    <row r="3030" spans="23:53" ht="16.2" customHeight="1" x14ac:dyDescent="0.4">
      <c r="W3030" s="49">
        <v>50835</v>
      </c>
      <c r="X3030" s="49">
        <v>50835</v>
      </c>
      <c r="Y3030" s="49">
        <v>50835</v>
      </c>
      <c r="AY3030" s="49">
        <v>50835</v>
      </c>
      <c r="AZ3030" s="49">
        <v>50835</v>
      </c>
      <c r="BA3030" s="49">
        <v>50835</v>
      </c>
    </row>
    <row r="3031" spans="23:53" ht="16.2" customHeight="1" x14ac:dyDescent="0.4">
      <c r="W3031" s="49">
        <v>50841</v>
      </c>
      <c r="X3031" s="49">
        <v>50841</v>
      </c>
      <c r="Y3031" s="49">
        <v>50841</v>
      </c>
      <c r="AY3031" s="49">
        <v>50841</v>
      </c>
      <c r="AZ3031" s="49">
        <v>50841</v>
      </c>
      <c r="BA3031" s="49">
        <v>50841</v>
      </c>
    </row>
    <row r="3032" spans="23:53" ht="16.2" customHeight="1" x14ac:dyDescent="0.4">
      <c r="W3032" s="49">
        <v>50842</v>
      </c>
      <c r="X3032" s="49">
        <v>50842</v>
      </c>
      <c r="Y3032" s="49">
        <v>50842</v>
      </c>
      <c r="AY3032" s="49">
        <v>50842</v>
      </c>
      <c r="AZ3032" s="49">
        <v>50842</v>
      </c>
      <c r="BA3032" s="49">
        <v>50842</v>
      </c>
    </row>
    <row r="3033" spans="23:53" ht="16.2" customHeight="1" x14ac:dyDescent="0.4">
      <c r="W3033" s="49">
        <v>50848</v>
      </c>
      <c r="X3033" s="49">
        <v>50848</v>
      </c>
      <c r="Y3033" s="49">
        <v>50848</v>
      </c>
      <c r="AY3033" s="49">
        <v>50848</v>
      </c>
      <c r="AZ3033" s="49">
        <v>50848</v>
      </c>
      <c r="BA3033" s="49">
        <v>50848</v>
      </c>
    </row>
    <row r="3034" spans="23:53" ht="16.2" customHeight="1" x14ac:dyDescent="0.4">
      <c r="W3034" s="49">
        <v>50849</v>
      </c>
      <c r="X3034" s="49">
        <v>50849</v>
      </c>
      <c r="Y3034" s="49">
        <v>50849</v>
      </c>
      <c r="AY3034" s="49">
        <v>50849</v>
      </c>
      <c r="AZ3034" s="49">
        <v>50849</v>
      </c>
      <c r="BA3034" s="49">
        <v>50849</v>
      </c>
    </row>
    <row r="3035" spans="23:53" ht="16.2" customHeight="1" x14ac:dyDescent="0.4">
      <c r="W3035" s="49">
        <v>50855</v>
      </c>
      <c r="X3035" s="49">
        <v>50855</v>
      </c>
      <c r="Y3035" s="49">
        <v>50855</v>
      </c>
      <c r="AY3035" s="49">
        <v>50855</v>
      </c>
      <c r="AZ3035" s="49">
        <v>50855</v>
      </c>
      <c r="BA3035" s="49">
        <v>50855</v>
      </c>
    </row>
    <row r="3036" spans="23:53" ht="16.2" customHeight="1" x14ac:dyDescent="0.4">
      <c r="W3036" s="49">
        <v>50856</v>
      </c>
      <c r="X3036" s="49">
        <v>50856</v>
      </c>
      <c r="Y3036" s="49">
        <v>50856</v>
      </c>
      <c r="AY3036" s="49">
        <v>50856</v>
      </c>
      <c r="AZ3036" s="49">
        <v>50856</v>
      </c>
      <c r="BA3036" s="49">
        <v>50856</v>
      </c>
    </row>
    <row r="3037" spans="23:53" ht="16.2" customHeight="1" x14ac:dyDescent="0.4">
      <c r="W3037" s="49">
        <v>50862</v>
      </c>
      <c r="X3037" s="49">
        <v>50862</v>
      </c>
      <c r="Y3037" s="49">
        <v>50862</v>
      </c>
      <c r="AY3037" s="49">
        <v>50862</v>
      </c>
      <c r="AZ3037" s="49">
        <v>50862</v>
      </c>
      <c r="BA3037" s="49">
        <v>50862</v>
      </c>
    </row>
    <row r="3038" spans="23:53" ht="16.2" customHeight="1" x14ac:dyDescent="0.4">
      <c r="W3038" s="49">
        <v>50863</v>
      </c>
      <c r="X3038" s="49">
        <v>50863</v>
      </c>
      <c r="Y3038" s="49">
        <v>50863</v>
      </c>
      <c r="AY3038" s="49">
        <v>50863</v>
      </c>
      <c r="AZ3038" s="49">
        <v>50863</v>
      </c>
      <c r="BA3038" s="49">
        <v>50863</v>
      </c>
    </row>
    <row r="3039" spans="23:53" ht="16.2" customHeight="1" x14ac:dyDescent="0.4">
      <c r="W3039" s="49">
        <v>50869</v>
      </c>
      <c r="X3039" s="49">
        <v>50869</v>
      </c>
      <c r="Y3039" s="49">
        <v>50869</v>
      </c>
      <c r="AY3039" s="49">
        <v>50869</v>
      </c>
      <c r="AZ3039" s="49">
        <v>50869</v>
      </c>
      <c r="BA3039" s="49">
        <v>50869</v>
      </c>
    </row>
    <row r="3040" spans="23:53" ht="16.2" customHeight="1" x14ac:dyDescent="0.4">
      <c r="W3040" s="49">
        <v>50870</v>
      </c>
      <c r="X3040" s="49">
        <v>50870</v>
      </c>
      <c r="Y3040" s="49">
        <v>50870</v>
      </c>
      <c r="AY3040" s="49">
        <v>50870</v>
      </c>
      <c r="AZ3040" s="49">
        <v>50870</v>
      </c>
      <c r="BA3040" s="49">
        <v>50870</v>
      </c>
    </row>
    <row r="3041" spans="23:53" ht="16.2" customHeight="1" x14ac:dyDescent="0.4">
      <c r="W3041" s="49">
        <v>50876</v>
      </c>
      <c r="X3041" s="49">
        <v>50876</v>
      </c>
      <c r="Y3041" s="49">
        <v>50876</v>
      </c>
      <c r="AY3041" s="49">
        <v>50876</v>
      </c>
      <c r="AZ3041" s="49">
        <v>50876</v>
      </c>
      <c r="BA3041" s="49">
        <v>50876</v>
      </c>
    </row>
    <row r="3042" spans="23:53" ht="16.2" customHeight="1" x14ac:dyDescent="0.4">
      <c r="W3042" s="49">
        <v>50877</v>
      </c>
      <c r="X3042" s="49">
        <v>50877</v>
      </c>
      <c r="Y3042" s="49">
        <v>50877</v>
      </c>
      <c r="AY3042" s="49">
        <v>50877</v>
      </c>
      <c r="AZ3042" s="49">
        <v>50877</v>
      </c>
      <c r="BA3042" s="49">
        <v>50877</v>
      </c>
    </row>
    <row r="3043" spans="23:53" ht="16.2" customHeight="1" x14ac:dyDescent="0.4">
      <c r="W3043" s="49">
        <v>50883</v>
      </c>
      <c r="X3043" s="49">
        <v>50883</v>
      </c>
      <c r="Y3043" s="49">
        <v>50883</v>
      </c>
      <c r="AY3043" s="49">
        <v>50883</v>
      </c>
      <c r="AZ3043" s="49">
        <v>50883</v>
      </c>
      <c r="BA3043" s="49">
        <v>50883</v>
      </c>
    </row>
    <row r="3044" spans="23:53" ht="16.2" customHeight="1" x14ac:dyDescent="0.4">
      <c r="W3044" s="49">
        <v>50884</v>
      </c>
      <c r="X3044" s="49">
        <v>50884</v>
      </c>
      <c r="Y3044" s="49">
        <v>50884</v>
      </c>
      <c r="AY3044" s="49">
        <v>50884</v>
      </c>
      <c r="AZ3044" s="49">
        <v>50884</v>
      </c>
      <c r="BA3044" s="49">
        <v>50884</v>
      </c>
    </row>
    <row r="3045" spans="23:53" ht="16.2" customHeight="1" x14ac:dyDescent="0.4">
      <c r="W3045" s="49">
        <v>50891</v>
      </c>
      <c r="X3045" s="49">
        <v>50891</v>
      </c>
      <c r="Y3045" s="49">
        <v>50891</v>
      </c>
      <c r="AY3045" s="49">
        <v>50891</v>
      </c>
      <c r="AZ3045" s="49">
        <v>50891</v>
      </c>
      <c r="BA3045" s="49">
        <v>50891</v>
      </c>
    </row>
    <row r="3046" spans="23:53" ht="16.2" customHeight="1" x14ac:dyDescent="0.4">
      <c r="W3046" s="49">
        <v>50895</v>
      </c>
      <c r="X3046" s="49">
        <v>50895</v>
      </c>
      <c r="Y3046" s="49">
        <v>50895</v>
      </c>
      <c r="AY3046" s="49">
        <v>50895</v>
      </c>
      <c r="AZ3046" s="49">
        <v>50895</v>
      </c>
      <c r="BA3046" s="49">
        <v>50895</v>
      </c>
    </row>
    <row r="3047" spans="23:53" ht="16.2" customHeight="1" x14ac:dyDescent="0.4">
      <c r="W3047" s="49">
        <v>50897</v>
      </c>
      <c r="X3047" s="49">
        <v>50897</v>
      </c>
      <c r="Y3047" s="49">
        <v>50897</v>
      </c>
      <c r="AY3047" s="49">
        <v>50897</v>
      </c>
      <c r="AZ3047" s="49">
        <v>50897</v>
      </c>
      <c r="BA3047" s="49">
        <v>50897</v>
      </c>
    </row>
    <row r="3048" spans="23:53" ht="16.2" customHeight="1" x14ac:dyDescent="0.4">
      <c r="W3048" s="49">
        <v>50898</v>
      </c>
      <c r="X3048" s="49">
        <v>50898</v>
      </c>
      <c r="Y3048" s="49">
        <v>50898</v>
      </c>
      <c r="AY3048" s="49">
        <v>50898</v>
      </c>
      <c r="AZ3048" s="49">
        <v>50898</v>
      </c>
      <c r="BA3048" s="49">
        <v>50898</v>
      </c>
    </row>
    <row r="3049" spans="23:53" ht="16.2" customHeight="1" x14ac:dyDescent="0.4">
      <c r="W3049" s="49">
        <v>50904</v>
      </c>
      <c r="X3049" s="49">
        <v>50904</v>
      </c>
      <c r="Y3049" s="49">
        <v>50904</v>
      </c>
      <c r="AY3049" s="49">
        <v>50904</v>
      </c>
      <c r="AZ3049" s="49">
        <v>50904</v>
      </c>
      <c r="BA3049" s="49">
        <v>50904</v>
      </c>
    </row>
    <row r="3050" spans="23:53" ht="16.2" customHeight="1" x14ac:dyDescent="0.4">
      <c r="W3050" s="49">
        <v>50905</v>
      </c>
      <c r="X3050" s="49">
        <v>50905</v>
      </c>
      <c r="Y3050" s="49">
        <v>50905</v>
      </c>
      <c r="AY3050" s="49">
        <v>50905</v>
      </c>
      <c r="AZ3050" s="49">
        <v>50905</v>
      </c>
      <c r="BA3050" s="49">
        <v>50905</v>
      </c>
    </row>
    <row r="3051" spans="23:53" ht="16.2" customHeight="1" x14ac:dyDescent="0.4">
      <c r="W3051" s="49">
        <v>50911</v>
      </c>
      <c r="X3051" s="49">
        <v>50911</v>
      </c>
      <c r="Y3051" s="49">
        <v>50911</v>
      </c>
      <c r="AY3051" s="49">
        <v>50911</v>
      </c>
      <c r="AZ3051" s="49">
        <v>50911</v>
      </c>
      <c r="BA3051" s="49">
        <v>50911</v>
      </c>
    </row>
    <row r="3052" spans="23:53" ht="16.2" customHeight="1" x14ac:dyDescent="0.4">
      <c r="W3052" s="49">
        <v>50912</v>
      </c>
      <c r="X3052" s="49">
        <v>50912</v>
      </c>
      <c r="Y3052" s="49">
        <v>50912</v>
      </c>
      <c r="AY3052" s="49">
        <v>50912</v>
      </c>
      <c r="AZ3052" s="49">
        <v>50912</v>
      </c>
      <c r="BA3052" s="49">
        <v>50912</v>
      </c>
    </row>
    <row r="3053" spans="23:53" ht="16.2" customHeight="1" x14ac:dyDescent="0.4">
      <c r="W3053" s="49">
        <v>50918</v>
      </c>
      <c r="X3053" s="49">
        <v>50918</v>
      </c>
      <c r="Y3053" s="49">
        <v>50918</v>
      </c>
      <c r="AY3053" s="49">
        <v>50918</v>
      </c>
      <c r="AZ3053" s="49">
        <v>50918</v>
      </c>
      <c r="BA3053" s="49">
        <v>50918</v>
      </c>
    </row>
    <row r="3054" spans="23:53" ht="16.2" customHeight="1" x14ac:dyDescent="0.4">
      <c r="W3054" s="49">
        <v>50919</v>
      </c>
      <c r="X3054" s="49">
        <v>50919</v>
      </c>
      <c r="Y3054" s="49">
        <v>50919</v>
      </c>
      <c r="AY3054" s="49">
        <v>50919</v>
      </c>
      <c r="AZ3054" s="49">
        <v>50919</v>
      </c>
      <c r="BA3054" s="49">
        <v>50919</v>
      </c>
    </row>
    <row r="3055" spans="23:53" ht="16.2" customHeight="1" x14ac:dyDescent="0.4">
      <c r="W3055" s="49">
        <v>50925</v>
      </c>
      <c r="X3055" s="49">
        <v>50925</v>
      </c>
      <c r="Y3055" s="49">
        <v>50925</v>
      </c>
      <c r="AY3055" s="49">
        <v>50925</v>
      </c>
      <c r="AZ3055" s="49">
        <v>50925</v>
      </c>
      <c r="BA3055" s="49">
        <v>50925</v>
      </c>
    </row>
    <row r="3056" spans="23:53" ht="16.2" customHeight="1" x14ac:dyDescent="0.4">
      <c r="W3056" s="49">
        <v>50926</v>
      </c>
      <c r="X3056" s="49">
        <v>50926</v>
      </c>
      <c r="Y3056" s="49">
        <v>50926</v>
      </c>
      <c r="AY3056" s="49">
        <v>50926</v>
      </c>
      <c r="AZ3056" s="49">
        <v>50926</v>
      </c>
      <c r="BA3056" s="49">
        <v>50926</v>
      </c>
    </row>
    <row r="3057" spans="23:53" ht="16.2" customHeight="1" x14ac:dyDescent="0.4">
      <c r="W3057" s="49">
        <v>50927</v>
      </c>
      <c r="X3057" s="49">
        <v>50927</v>
      </c>
      <c r="Y3057" s="49">
        <v>50927</v>
      </c>
      <c r="AY3057" s="49">
        <v>50927</v>
      </c>
      <c r="AZ3057" s="49">
        <v>50927</v>
      </c>
      <c r="BA3057" s="49">
        <v>50927</v>
      </c>
    </row>
    <row r="3058" spans="23:53" ht="16.2" customHeight="1" x14ac:dyDescent="0.4">
      <c r="W3058" s="49">
        <v>50932</v>
      </c>
      <c r="X3058" s="49">
        <v>50932</v>
      </c>
      <c r="Y3058" s="49">
        <v>50932</v>
      </c>
      <c r="AY3058" s="49">
        <v>50932</v>
      </c>
      <c r="AZ3058" s="49">
        <v>50932</v>
      </c>
      <c r="BA3058" s="49">
        <v>50932</v>
      </c>
    </row>
    <row r="3059" spans="23:53" ht="16.2" customHeight="1" x14ac:dyDescent="0.4">
      <c r="W3059" s="49">
        <v>50933</v>
      </c>
      <c r="X3059" s="49">
        <v>50933</v>
      </c>
      <c r="Y3059" s="49">
        <v>50933</v>
      </c>
      <c r="AY3059" s="49">
        <v>50933</v>
      </c>
      <c r="AZ3059" s="49">
        <v>50933</v>
      </c>
      <c r="BA3059" s="49">
        <v>50933</v>
      </c>
    </row>
    <row r="3060" spans="23:53" ht="16.2" customHeight="1" x14ac:dyDescent="0.4">
      <c r="W3060" s="49">
        <v>50939</v>
      </c>
      <c r="X3060" s="49">
        <v>50939</v>
      </c>
      <c r="Y3060" s="49">
        <v>50939</v>
      </c>
      <c r="AY3060" s="49">
        <v>50939</v>
      </c>
      <c r="AZ3060" s="49">
        <v>50939</v>
      </c>
      <c r="BA3060" s="49">
        <v>50939</v>
      </c>
    </row>
    <row r="3061" spans="23:53" ht="16.2" customHeight="1" x14ac:dyDescent="0.4">
      <c r="W3061" s="49">
        <v>50940</v>
      </c>
      <c r="X3061" s="49">
        <v>50940</v>
      </c>
      <c r="Y3061" s="49">
        <v>50940</v>
      </c>
      <c r="AY3061" s="49">
        <v>50940</v>
      </c>
      <c r="AZ3061" s="49">
        <v>50940</v>
      </c>
      <c r="BA3061" s="49">
        <v>50940</v>
      </c>
    </row>
    <row r="3062" spans="23:53" ht="16.2" customHeight="1" x14ac:dyDescent="0.4">
      <c r="W3062" s="49">
        <v>50946</v>
      </c>
      <c r="X3062" s="49">
        <v>50946</v>
      </c>
      <c r="Y3062" s="49">
        <v>50946</v>
      </c>
      <c r="AY3062" s="49">
        <v>50946</v>
      </c>
      <c r="AZ3062" s="49">
        <v>50946</v>
      </c>
      <c r="BA3062" s="49">
        <v>50946</v>
      </c>
    </row>
    <row r="3063" spans="23:53" ht="16.2" customHeight="1" x14ac:dyDescent="0.4">
      <c r="W3063" s="49">
        <v>50947</v>
      </c>
      <c r="X3063" s="49">
        <v>50947</v>
      </c>
      <c r="Y3063" s="49">
        <v>50947</v>
      </c>
      <c r="AY3063" s="49">
        <v>50947</v>
      </c>
      <c r="AZ3063" s="49">
        <v>50947</v>
      </c>
      <c r="BA3063" s="49">
        <v>50947</v>
      </c>
    </row>
    <row r="3064" spans="23:53" ht="16.2" customHeight="1" x14ac:dyDescent="0.4">
      <c r="W3064" s="49">
        <v>50953</v>
      </c>
      <c r="X3064" s="49">
        <v>50953</v>
      </c>
      <c r="Y3064" s="49">
        <v>50953</v>
      </c>
      <c r="AY3064" s="49">
        <v>50953</v>
      </c>
      <c r="AZ3064" s="49">
        <v>50953</v>
      </c>
      <c r="BA3064" s="49">
        <v>50953</v>
      </c>
    </row>
    <row r="3065" spans="23:53" ht="16.2" customHeight="1" x14ac:dyDescent="0.4">
      <c r="W3065" s="49">
        <v>50954</v>
      </c>
      <c r="X3065" s="49">
        <v>50954</v>
      </c>
      <c r="Y3065" s="49">
        <v>50954</v>
      </c>
      <c r="AY3065" s="49">
        <v>50954</v>
      </c>
      <c r="AZ3065" s="49">
        <v>50954</v>
      </c>
      <c r="BA3065" s="49">
        <v>50954</v>
      </c>
    </row>
    <row r="3066" spans="23:53" ht="16.2" customHeight="1" x14ac:dyDescent="0.4">
      <c r="W3066" s="49">
        <v>50960</v>
      </c>
      <c r="X3066" s="49">
        <v>50960</v>
      </c>
      <c r="Y3066" s="49">
        <v>50960</v>
      </c>
      <c r="AY3066" s="49">
        <v>50960</v>
      </c>
      <c r="AZ3066" s="49">
        <v>50960</v>
      </c>
      <c r="BA3066" s="49">
        <v>50960</v>
      </c>
    </row>
    <row r="3067" spans="23:53" ht="16.2" customHeight="1" x14ac:dyDescent="0.4">
      <c r="W3067" s="49">
        <v>50961</v>
      </c>
      <c r="X3067" s="49">
        <v>50961</v>
      </c>
      <c r="Y3067" s="49">
        <v>50961</v>
      </c>
      <c r="AY3067" s="49">
        <v>50961</v>
      </c>
      <c r="AZ3067" s="49">
        <v>50961</v>
      </c>
      <c r="BA3067" s="49">
        <v>50961</v>
      </c>
    </row>
    <row r="3068" spans="23:53" ht="16.2" customHeight="1" x14ac:dyDescent="0.4">
      <c r="W3068" s="49">
        <v>50967</v>
      </c>
      <c r="X3068" s="49">
        <v>50967</v>
      </c>
      <c r="Y3068" s="49">
        <v>50967</v>
      </c>
      <c r="AY3068" s="49">
        <v>50967</v>
      </c>
      <c r="AZ3068" s="49">
        <v>50967</v>
      </c>
      <c r="BA3068" s="49">
        <v>50967</v>
      </c>
    </row>
    <row r="3069" spans="23:53" ht="16.2" customHeight="1" x14ac:dyDescent="0.4">
      <c r="W3069" s="49">
        <v>50968</v>
      </c>
      <c r="X3069" s="49">
        <v>50968</v>
      </c>
      <c r="Y3069" s="49">
        <v>50968</v>
      </c>
      <c r="AY3069" s="49">
        <v>50968</v>
      </c>
      <c r="AZ3069" s="49">
        <v>50968</v>
      </c>
      <c r="BA3069" s="49">
        <v>50968</v>
      </c>
    </row>
    <row r="3070" spans="23:53" ht="16.2" customHeight="1" x14ac:dyDescent="0.4">
      <c r="W3070" s="49">
        <v>50974</v>
      </c>
      <c r="X3070" s="49">
        <v>50974</v>
      </c>
      <c r="Y3070" s="49">
        <v>50974</v>
      </c>
      <c r="AY3070" s="49">
        <v>50974</v>
      </c>
      <c r="AZ3070" s="49">
        <v>50974</v>
      </c>
      <c r="BA3070" s="49">
        <v>50974</v>
      </c>
    </row>
    <row r="3071" spans="23:53" ht="16.2" customHeight="1" x14ac:dyDescent="0.4">
      <c r="W3071" s="49">
        <v>50975</v>
      </c>
      <c r="X3071" s="49">
        <v>50975</v>
      </c>
      <c r="Y3071" s="49">
        <v>50975</v>
      </c>
      <c r="AY3071" s="49">
        <v>50975</v>
      </c>
      <c r="AZ3071" s="49">
        <v>50975</v>
      </c>
      <c r="BA3071" s="49">
        <v>50975</v>
      </c>
    </row>
    <row r="3072" spans="23:53" ht="16.2" customHeight="1" x14ac:dyDescent="0.4">
      <c r="W3072" s="49">
        <v>50981</v>
      </c>
      <c r="X3072" s="49">
        <v>50981</v>
      </c>
      <c r="Y3072" s="49">
        <v>50981</v>
      </c>
      <c r="AY3072" s="49">
        <v>50981</v>
      </c>
      <c r="AZ3072" s="49">
        <v>50981</v>
      </c>
      <c r="BA3072" s="49">
        <v>50981</v>
      </c>
    </row>
    <row r="3073" spans="23:53" ht="16.2" customHeight="1" x14ac:dyDescent="0.4">
      <c r="W3073" s="49">
        <v>50982</v>
      </c>
      <c r="X3073" s="49">
        <v>50982</v>
      </c>
      <c r="Y3073" s="49">
        <v>50982</v>
      </c>
      <c r="AY3073" s="49">
        <v>50982</v>
      </c>
      <c r="AZ3073" s="49">
        <v>50982</v>
      </c>
      <c r="BA3073" s="49">
        <v>50982</v>
      </c>
    </row>
    <row r="3074" spans="23:53" ht="16.2" customHeight="1" x14ac:dyDescent="0.4">
      <c r="W3074" s="49">
        <v>50988</v>
      </c>
      <c r="X3074" s="49">
        <v>50988</v>
      </c>
      <c r="Y3074" s="49">
        <v>50988</v>
      </c>
      <c r="AY3074" s="49">
        <v>50988</v>
      </c>
      <c r="AZ3074" s="49">
        <v>50988</v>
      </c>
      <c r="BA3074" s="49">
        <v>50988</v>
      </c>
    </row>
    <row r="3075" spans="23:53" ht="16.2" customHeight="1" x14ac:dyDescent="0.4">
      <c r="W3075" s="49">
        <v>50989</v>
      </c>
      <c r="X3075" s="49">
        <v>50989</v>
      </c>
      <c r="Y3075" s="49">
        <v>50989</v>
      </c>
      <c r="AY3075" s="49">
        <v>50989</v>
      </c>
      <c r="AZ3075" s="49">
        <v>50989</v>
      </c>
      <c r="BA3075" s="49">
        <v>50989</v>
      </c>
    </row>
    <row r="3076" spans="23:53" ht="16.2" customHeight="1" x14ac:dyDescent="0.4">
      <c r="W3076" s="49">
        <v>50995</v>
      </c>
      <c r="X3076" s="49">
        <v>50995</v>
      </c>
      <c r="Y3076" s="49">
        <v>50995</v>
      </c>
      <c r="AY3076" s="49">
        <v>50995</v>
      </c>
      <c r="AZ3076" s="49">
        <v>50995</v>
      </c>
      <c r="BA3076" s="49">
        <v>50995</v>
      </c>
    </row>
    <row r="3077" spans="23:53" ht="16.2" customHeight="1" x14ac:dyDescent="0.4">
      <c r="W3077" s="49">
        <v>50996</v>
      </c>
      <c r="X3077" s="49">
        <v>50996</v>
      </c>
      <c r="Y3077" s="49">
        <v>50996</v>
      </c>
      <c r="AY3077" s="49">
        <v>50996</v>
      </c>
      <c r="AZ3077" s="49">
        <v>50996</v>
      </c>
      <c r="BA3077" s="49">
        <v>50996</v>
      </c>
    </row>
    <row r="3078" spans="23:53" ht="16.2" customHeight="1" x14ac:dyDescent="0.4">
      <c r="W3078" s="49">
        <v>50997</v>
      </c>
      <c r="X3078" s="49">
        <v>50997</v>
      </c>
      <c r="Y3078" s="49">
        <v>50997</v>
      </c>
      <c r="AY3078" s="49">
        <v>50997</v>
      </c>
      <c r="AZ3078" s="49">
        <v>50997</v>
      </c>
      <c r="BA3078" s="49">
        <v>50997</v>
      </c>
    </row>
    <row r="3079" spans="23:53" ht="16.2" customHeight="1" x14ac:dyDescent="0.4">
      <c r="W3079" s="49">
        <v>51002</v>
      </c>
      <c r="X3079" s="49">
        <v>51002</v>
      </c>
      <c r="Y3079" s="49">
        <v>51002</v>
      </c>
      <c r="AY3079" s="49">
        <v>51002</v>
      </c>
      <c r="AZ3079" s="49">
        <v>51002</v>
      </c>
      <c r="BA3079" s="49">
        <v>51002</v>
      </c>
    </row>
    <row r="3080" spans="23:53" ht="16.2" customHeight="1" x14ac:dyDescent="0.4">
      <c r="W3080" s="49">
        <v>51003</v>
      </c>
      <c r="X3080" s="49">
        <v>51003</v>
      </c>
      <c r="Y3080" s="49">
        <v>51003</v>
      </c>
      <c r="AY3080" s="49">
        <v>51003</v>
      </c>
      <c r="AZ3080" s="49">
        <v>51003</v>
      </c>
      <c r="BA3080" s="49">
        <v>51003</v>
      </c>
    </row>
    <row r="3081" spans="23:53" ht="16.2" customHeight="1" x14ac:dyDescent="0.4">
      <c r="W3081" s="49">
        <v>51009</v>
      </c>
      <c r="X3081" s="49">
        <v>51009</v>
      </c>
      <c r="Y3081" s="49">
        <v>51009</v>
      </c>
      <c r="AY3081" s="49">
        <v>51009</v>
      </c>
      <c r="AZ3081" s="49">
        <v>51009</v>
      </c>
      <c r="BA3081" s="49">
        <v>51009</v>
      </c>
    </row>
    <row r="3082" spans="23:53" ht="16.2" customHeight="1" x14ac:dyDescent="0.4">
      <c r="W3082" s="49">
        <v>51010</v>
      </c>
      <c r="X3082" s="49">
        <v>51010</v>
      </c>
      <c r="Y3082" s="49">
        <v>51010</v>
      </c>
      <c r="AY3082" s="49">
        <v>51010</v>
      </c>
      <c r="AZ3082" s="49">
        <v>51010</v>
      </c>
      <c r="BA3082" s="49">
        <v>51010</v>
      </c>
    </row>
    <row r="3083" spans="23:53" ht="16.2" customHeight="1" x14ac:dyDescent="0.4">
      <c r="W3083" s="49">
        <v>51016</v>
      </c>
      <c r="X3083" s="49">
        <v>51016</v>
      </c>
      <c r="Y3083" s="49">
        <v>51016</v>
      </c>
      <c r="AY3083" s="49">
        <v>51016</v>
      </c>
      <c r="AZ3083" s="49">
        <v>51016</v>
      </c>
      <c r="BA3083" s="49">
        <v>51016</v>
      </c>
    </row>
    <row r="3084" spans="23:53" ht="16.2" customHeight="1" x14ac:dyDescent="0.4">
      <c r="W3084" s="49">
        <v>51017</v>
      </c>
      <c r="X3084" s="49">
        <v>51017</v>
      </c>
      <c r="Y3084" s="49">
        <v>51017</v>
      </c>
      <c r="AY3084" s="49">
        <v>51017</v>
      </c>
      <c r="AZ3084" s="49">
        <v>51017</v>
      </c>
      <c r="BA3084" s="49">
        <v>51017</v>
      </c>
    </row>
    <row r="3085" spans="23:53" ht="16.2" customHeight="1" x14ac:dyDescent="0.4">
      <c r="W3085" s="49">
        <v>51023</v>
      </c>
      <c r="X3085" s="49">
        <v>51023</v>
      </c>
      <c r="Y3085" s="49">
        <v>51023</v>
      </c>
      <c r="AY3085" s="49">
        <v>51023</v>
      </c>
      <c r="AZ3085" s="49">
        <v>51023</v>
      </c>
      <c r="BA3085" s="49">
        <v>51023</v>
      </c>
    </row>
    <row r="3086" spans="23:53" ht="16.2" customHeight="1" x14ac:dyDescent="0.4">
      <c r="W3086" s="49">
        <v>51024</v>
      </c>
      <c r="X3086" s="49">
        <v>51024</v>
      </c>
      <c r="Y3086" s="49">
        <v>51024</v>
      </c>
      <c r="AY3086" s="49">
        <v>51024</v>
      </c>
      <c r="AZ3086" s="49">
        <v>51024</v>
      </c>
      <c r="BA3086" s="49">
        <v>51024</v>
      </c>
    </row>
    <row r="3087" spans="23:53" ht="16.2" customHeight="1" x14ac:dyDescent="0.4">
      <c r="W3087" s="49">
        <v>51030</v>
      </c>
      <c r="X3087" s="49">
        <v>51030</v>
      </c>
      <c r="Y3087" s="49">
        <v>51030</v>
      </c>
      <c r="AY3087" s="49">
        <v>51030</v>
      </c>
      <c r="AZ3087" s="49">
        <v>51030</v>
      </c>
      <c r="BA3087" s="49">
        <v>51030</v>
      </c>
    </row>
    <row r="3088" spans="23:53" ht="16.2" customHeight="1" x14ac:dyDescent="0.4">
      <c r="W3088" s="49">
        <v>51031</v>
      </c>
      <c r="X3088" s="49">
        <v>51031</v>
      </c>
      <c r="Y3088" s="49">
        <v>51031</v>
      </c>
      <c r="AY3088" s="49">
        <v>51031</v>
      </c>
      <c r="AZ3088" s="49">
        <v>51031</v>
      </c>
      <c r="BA3088" s="49">
        <v>51031</v>
      </c>
    </row>
    <row r="3089" spans="23:53" ht="16.2" customHeight="1" x14ac:dyDescent="0.4">
      <c r="W3089" s="49">
        <v>51037</v>
      </c>
      <c r="X3089" s="49">
        <v>51037</v>
      </c>
      <c r="Y3089" s="49">
        <v>51037</v>
      </c>
      <c r="AY3089" s="49">
        <v>51037</v>
      </c>
      <c r="AZ3089" s="49">
        <v>51037</v>
      </c>
      <c r="BA3089" s="49">
        <v>51037</v>
      </c>
    </row>
    <row r="3090" spans="23:53" ht="16.2" customHeight="1" x14ac:dyDescent="0.4">
      <c r="W3090" s="49">
        <v>51038</v>
      </c>
      <c r="X3090" s="49">
        <v>51038</v>
      </c>
      <c r="Y3090" s="49">
        <v>51038</v>
      </c>
      <c r="AY3090" s="49">
        <v>51038</v>
      </c>
      <c r="AZ3090" s="49">
        <v>51038</v>
      </c>
      <c r="BA3090" s="49">
        <v>51038</v>
      </c>
    </row>
    <row r="3091" spans="23:53" ht="16.2" customHeight="1" x14ac:dyDescent="0.4">
      <c r="W3091" s="49">
        <v>51045</v>
      </c>
      <c r="X3091" s="49">
        <v>51045</v>
      </c>
      <c r="Y3091" s="49">
        <v>51045</v>
      </c>
      <c r="AY3091" s="49">
        <v>51045</v>
      </c>
      <c r="AZ3091" s="49">
        <v>51045</v>
      </c>
      <c r="BA3091" s="49">
        <v>51045</v>
      </c>
    </row>
    <row r="3092" spans="23:53" ht="16.2" customHeight="1" x14ac:dyDescent="0.4">
      <c r="W3092" s="49">
        <v>51046</v>
      </c>
      <c r="X3092" s="49">
        <v>51046</v>
      </c>
      <c r="Y3092" s="49">
        <v>51046</v>
      </c>
      <c r="AY3092" s="49">
        <v>51046</v>
      </c>
      <c r="AZ3092" s="49">
        <v>51046</v>
      </c>
      <c r="BA3092" s="49">
        <v>51046</v>
      </c>
    </row>
    <row r="3093" spans="23:53" ht="16.2" customHeight="1" x14ac:dyDescent="0.4">
      <c r="W3093" s="49">
        <v>51051</v>
      </c>
      <c r="X3093" s="49">
        <v>51051</v>
      </c>
      <c r="Y3093" s="49">
        <v>51051</v>
      </c>
      <c r="AY3093" s="49">
        <v>51051</v>
      </c>
      <c r="AZ3093" s="49">
        <v>51051</v>
      </c>
      <c r="BA3093" s="49">
        <v>51051</v>
      </c>
    </row>
    <row r="3094" spans="23:53" ht="16.2" customHeight="1" x14ac:dyDescent="0.4">
      <c r="W3094" s="49">
        <v>51052</v>
      </c>
      <c r="X3094" s="49">
        <v>51052</v>
      </c>
      <c r="Y3094" s="49">
        <v>51052</v>
      </c>
      <c r="AY3094" s="49">
        <v>51052</v>
      </c>
      <c r="AZ3094" s="49">
        <v>51052</v>
      </c>
      <c r="BA3094" s="49">
        <v>51052</v>
      </c>
    </row>
    <row r="3095" spans="23:53" ht="16.2" customHeight="1" x14ac:dyDescent="0.4">
      <c r="W3095" s="49">
        <v>51058</v>
      </c>
      <c r="X3095" s="49">
        <v>51058</v>
      </c>
      <c r="Y3095" s="49">
        <v>51058</v>
      </c>
      <c r="AY3095" s="49">
        <v>51058</v>
      </c>
      <c r="AZ3095" s="49">
        <v>51058</v>
      </c>
      <c r="BA3095" s="49">
        <v>51058</v>
      </c>
    </row>
    <row r="3096" spans="23:53" ht="16.2" customHeight="1" x14ac:dyDescent="0.4">
      <c r="W3096" s="49">
        <v>51059</v>
      </c>
      <c r="X3096" s="49">
        <v>51059</v>
      </c>
      <c r="Y3096" s="49">
        <v>51059</v>
      </c>
      <c r="AY3096" s="49">
        <v>51059</v>
      </c>
      <c r="AZ3096" s="49">
        <v>51059</v>
      </c>
      <c r="BA3096" s="49">
        <v>51059</v>
      </c>
    </row>
    <row r="3097" spans="23:53" ht="16.2" customHeight="1" x14ac:dyDescent="0.4">
      <c r="W3097" s="49">
        <v>51065</v>
      </c>
      <c r="X3097" s="49">
        <v>51065</v>
      </c>
      <c r="Y3097" s="49">
        <v>51065</v>
      </c>
      <c r="AY3097" s="49">
        <v>51065</v>
      </c>
      <c r="AZ3097" s="49">
        <v>51065</v>
      </c>
      <c r="BA3097" s="49">
        <v>51065</v>
      </c>
    </row>
    <row r="3098" spans="23:53" ht="16.2" customHeight="1" x14ac:dyDescent="0.4">
      <c r="W3098" s="49">
        <v>51066</v>
      </c>
      <c r="X3098" s="49">
        <v>51066</v>
      </c>
      <c r="Y3098" s="49">
        <v>51066</v>
      </c>
      <c r="AY3098" s="49">
        <v>51066</v>
      </c>
      <c r="AZ3098" s="49">
        <v>51066</v>
      </c>
      <c r="BA3098" s="49">
        <v>51066</v>
      </c>
    </row>
    <row r="3099" spans="23:53" ht="16.2" customHeight="1" x14ac:dyDescent="0.4">
      <c r="W3099" s="49">
        <v>51072</v>
      </c>
      <c r="X3099" s="49">
        <v>51072</v>
      </c>
      <c r="Y3099" s="49">
        <v>51072</v>
      </c>
      <c r="AY3099" s="49">
        <v>51072</v>
      </c>
      <c r="AZ3099" s="49">
        <v>51072</v>
      </c>
      <c r="BA3099" s="49">
        <v>51072</v>
      </c>
    </row>
    <row r="3100" spans="23:53" ht="16.2" customHeight="1" x14ac:dyDescent="0.4">
      <c r="W3100" s="49">
        <v>51073</v>
      </c>
      <c r="X3100" s="49">
        <v>51073</v>
      </c>
      <c r="Y3100" s="49">
        <v>51073</v>
      </c>
      <c r="AY3100" s="49">
        <v>51073</v>
      </c>
      <c r="AZ3100" s="49">
        <v>51073</v>
      </c>
      <c r="BA3100" s="49">
        <v>51073</v>
      </c>
    </row>
    <row r="3101" spans="23:53" ht="16.2" customHeight="1" x14ac:dyDescent="0.4">
      <c r="W3101" s="49">
        <v>51079</v>
      </c>
      <c r="X3101" s="49">
        <v>51079</v>
      </c>
      <c r="Y3101" s="49">
        <v>51079</v>
      </c>
      <c r="AY3101" s="49">
        <v>51079</v>
      </c>
      <c r="AZ3101" s="49">
        <v>51079</v>
      </c>
      <c r="BA3101" s="49">
        <v>51079</v>
      </c>
    </row>
    <row r="3102" spans="23:53" ht="16.2" customHeight="1" x14ac:dyDescent="0.4">
      <c r="W3102" s="49">
        <v>51080</v>
      </c>
      <c r="X3102" s="49">
        <v>51080</v>
      </c>
      <c r="Y3102" s="49">
        <v>51080</v>
      </c>
      <c r="AY3102" s="49">
        <v>51080</v>
      </c>
      <c r="AZ3102" s="49">
        <v>51080</v>
      </c>
      <c r="BA3102" s="49">
        <v>51080</v>
      </c>
    </row>
    <row r="3103" spans="23:53" ht="16.2" customHeight="1" x14ac:dyDescent="0.4">
      <c r="W3103" s="49">
        <v>51086</v>
      </c>
      <c r="X3103" s="49">
        <v>51086</v>
      </c>
      <c r="Y3103" s="49">
        <v>51086</v>
      </c>
      <c r="AY3103" s="49">
        <v>51086</v>
      </c>
      <c r="AZ3103" s="49">
        <v>51086</v>
      </c>
      <c r="BA3103" s="49">
        <v>51086</v>
      </c>
    </row>
    <row r="3104" spans="23:53" ht="16.2" customHeight="1" x14ac:dyDescent="0.4">
      <c r="W3104" s="49">
        <v>51087</v>
      </c>
      <c r="X3104" s="49">
        <v>51087</v>
      </c>
      <c r="Y3104" s="49">
        <v>51087</v>
      </c>
      <c r="AY3104" s="49">
        <v>51087</v>
      </c>
      <c r="AZ3104" s="49">
        <v>51087</v>
      </c>
      <c r="BA3104" s="49">
        <v>51087</v>
      </c>
    </row>
    <row r="3105" spans="23:53" ht="16.2" customHeight="1" x14ac:dyDescent="0.4">
      <c r="W3105" s="49">
        <v>51093</v>
      </c>
      <c r="X3105" s="49">
        <v>51093</v>
      </c>
      <c r="Y3105" s="49">
        <v>51093</v>
      </c>
      <c r="AY3105" s="49">
        <v>51093</v>
      </c>
      <c r="AZ3105" s="49">
        <v>51093</v>
      </c>
      <c r="BA3105" s="49">
        <v>51093</v>
      </c>
    </row>
    <row r="3106" spans="23:53" ht="16.2" customHeight="1" x14ac:dyDescent="0.4">
      <c r="W3106" s="49">
        <v>51094</v>
      </c>
      <c r="X3106" s="49">
        <v>51094</v>
      </c>
      <c r="Y3106" s="49">
        <v>51094</v>
      </c>
      <c r="AY3106" s="49">
        <v>51094</v>
      </c>
      <c r="AZ3106" s="49">
        <v>51094</v>
      </c>
      <c r="BA3106" s="49">
        <v>51094</v>
      </c>
    </row>
    <row r="3107" spans="23:53" ht="16.2" customHeight="1" x14ac:dyDescent="0.4">
      <c r="W3107" s="49">
        <v>51100</v>
      </c>
      <c r="X3107" s="49">
        <v>51100</v>
      </c>
      <c r="Y3107" s="49">
        <v>51100</v>
      </c>
      <c r="AY3107" s="49">
        <v>51100</v>
      </c>
      <c r="AZ3107" s="49">
        <v>51100</v>
      </c>
      <c r="BA3107" s="49">
        <v>51100</v>
      </c>
    </row>
    <row r="3108" spans="23:53" ht="16.2" customHeight="1" x14ac:dyDescent="0.4">
      <c r="W3108" s="49">
        <v>51101</v>
      </c>
      <c r="X3108" s="49">
        <v>51101</v>
      </c>
      <c r="Y3108" s="49">
        <v>51101</v>
      </c>
      <c r="AY3108" s="49">
        <v>51101</v>
      </c>
      <c r="AZ3108" s="49">
        <v>51101</v>
      </c>
      <c r="BA3108" s="49">
        <v>51101</v>
      </c>
    </row>
    <row r="3109" spans="23:53" ht="16.2" customHeight="1" x14ac:dyDescent="0.4">
      <c r="W3109" s="49">
        <v>51107</v>
      </c>
      <c r="X3109" s="49">
        <v>51107</v>
      </c>
      <c r="Y3109" s="49">
        <v>51107</v>
      </c>
      <c r="AY3109" s="49">
        <v>51107</v>
      </c>
      <c r="AZ3109" s="49">
        <v>51107</v>
      </c>
      <c r="BA3109" s="49">
        <v>51107</v>
      </c>
    </row>
    <row r="3110" spans="23:53" ht="16.2" customHeight="1" x14ac:dyDescent="0.4">
      <c r="W3110" s="49">
        <v>51108</v>
      </c>
      <c r="X3110" s="49">
        <v>51108</v>
      </c>
      <c r="Y3110" s="49">
        <v>51108</v>
      </c>
      <c r="AY3110" s="49">
        <v>51108</v>
      </c>
      <c r="AZ3110" s="49">
        <v>51108</v>
      </c>
      <c r="BA3110" s="49">
        <v>51108</v>
      </c>
    </row>
    <row r="3111" spans="23:53" ht="16.2" customHeight="1" x14ac:dyDescent="0.4">
      <c r="W3111" s="49">
        <v>51114</v>
      </c>
      <c r="X3111" s="49">
        <v>51114</v>
      </c>
      <c r="Y3111" s="49">
        <v>51114</v>
      </c>
      <c r="AY3111" s="49">
        <v>51114</v>
      </c>
      <c r="AZ3111" s="49">
        <v>51114</v>
      </c>
      <c r="BA3111" s="49">
        <v>51114</v>
      </c>
    </row>
    <row r="3112" spans="23:53" ht="16.2" customHeight="1" x14ac:dyDescent="0.4">
      <c r="W3112" s="49">
        <v>51115</v>
      </c>
      <c r="X3112" s="49">
        <v>51115</v>
      </c>
      <c r="Y3112" s="49">
        <v>51115</v>
      </c>
      <c r="AY3112" s="49">
        <v>51115</v>
      </c>
      <c r="AZ3112" s="49">
        <v>51115</v>
      </c>
      <c r="BA3112" s="49">
        <v>51115</v>
      </c>
    </row>
    <row r="3113" spans="23:53" ht="16.2" customHeight="1" x14ac:dyDescent="0.4">
      <c r="W3113" s="49">
        <v>51121</v>
      </c>
      <c r="X3113" s="49">
        <v>51121</v>
      </c>
      <c r="Y3113" s="49">
        <v>51121</v>
      </c>
      <c r="AY3113" s="49">
        <v>51121</v>
      </c>
      <c r="AZ3113" s="49">
        <v>51121</v>
      </c>
      <c r="BA3113" s="49">
        <v>51121</v>
      </c>
    </row>
    <row r="3114" spans="23:53" ht="16.2" customHeight="1" x14ac:dyDescent="0.4">
      <c r="W3114" s="49">
        <v>51122</v>
      </c>
      <c r="X3114" s="49">
        <v>51122</v>
      </c>
      <c r="Y3114" s="49">
        <v>51122</v>
      </c>
      <c r="AY3114" s="49">
        <v>51122</v>
      </c>
      <c r="AZ3114" s="49">
        <v>51122</v>
      </c>
      <c r="BA3114" s="49">
        <v>51122</v>
      </c>
    </row>
    <row r="3115" spans="23:53" ht="16.2" customHeight="1" x14ac:dyDescent="0.4">
      <c r="W3115" s="49">
        <v>51128</v>
      </c>
      <c r="X3115" s="49">
        <v>51128</v>
      </c>
      <c r="Y3115" s="49">
        <v>51128</v>
      </c>
      <c r="AY3115" s="49">
        <v>51128</v>
      </c>
      <c r="AZ3115" s="49">
        <v>51128</v>
      </c>
      <c r="BA3115" s="49">
        <v>51128</v>
      </c>
    </row>
    <row r="3116" spans="23:53" ht="16.2" customHeight="1" x14ac:dyDescent="0.4">
      <c r="W3116" s="49">
        <v>51129</v>
      </c>
      <c r="X3116" s="49">
        <v>51129</v>
      </c>
      <c r="Y3116" s="49">
        <v>51129</v>
      </c>
      <c r="AY3116" s="49">
        <v>51129</v>
      </c>
      <c r="AZ3116" s="49">
        <v>51129</v>
      </c>
      <c r="BA3116" s="49">
        <v>51129</v>
      </c>
    </row>
    <row r="3117" spans="23:53" ht="16.2" customHeight="1" x14ac:dyDescent="0.4">
      <c r="W3117" s="49">
        <v>51135</v>
      </c>
      <c r="X3117" s="49">
        <v>51135</v>
      </c>
      <c r="Y3117" s="49">
        <v>51135</v>
      </c>
      <c r="AY3117" s="49">
        <v>51135</v>
      </c>
      <c r="AZ3117" s="49">
        <v>51135</v>
      </c>
      <c r="BA3117" s="49">
        <v>51135</v>
      </c>
    </row>
    <row r="3118" spans="23:53" ht="16.2" customHeight="1" x14ac:dyDescent="0.4">
      <c r="W3118" s="49">
        <v>51136</v>
      </c>
      <c r="X3118" s="49">
        <v>51136</v>
      </c>
      <c r="Y3118" s="49">
        <v>51136</v>
      </c>
      <c r="AY3118" s="49">
        <v>51136</v>
      </c>
      <c r="AZ3118" s="49">
        <v>51136</v>
      </c>
      <c r="BA3118" s="49">
        <v>51136</v>
      </c>
    </row>
    <row r="3119" spans="23:53" ht="16.2" customHeight="1" x14ac:dyDescent="0.4">
      <c r="W3119" s="49">
        <v>51142</v>
      </c>
      <c r="X3119" s="49">
        <v>51142</v>
      </c>
      <c r="Y3119" s="49">
        <v>51142</v>
      </c>
      <c r="AY3119" s="49">
        <v>51142</v>
      </c>
      <c r="AZ3119" s="49">
        <v>51142</v>
      </c>
      <c r="BA3119" s="49">
        <v>51142</v>
      </c>
    </row>
    <row r="3120" spans="23:53" ht="16.2" customHeight="1" x14ac:dyDescent="0.4">
      <c r="W3120" s="49">
        <v>51143</v>
      </c>
      <c r="X3120" s="49">
        <v>51143</v>
      </c>
      <c r="Y3120" s="49">
        <v>51143</v>
      </c>
      <c r="AY3120" s="49">
        <v>51143</v>
      </c>
      <c r="AZ3120" s="49">
        <v>51143</v>
      </c>
      <c r="BA3120" s="49">
        <v>51143</v>
      </c>
    </row>
    <row r="3121" spans="23:53" ht="16.2" customHeight="1" x14ac:dyDescent="0.4">
      <c r="W3121" s="49">
        <v>51149</v>
      </c>
      <c r="X3121" s="49">
        <v>51149</v>
      </c>
      <c r="Y3121" s="49">
        <v>51149</v>
      </c>
      <c r="AY3121" s="49">
        <v>51149</v>
      </c>
      <c r="AZ3121" s="49">
        <v>51149</v>
      </c>
      <c r="BA3121" s="49">
        <v>51149</v>
      </c>
    </row>
    <row r="3122" spans="23:53" ht="16.2" customHeight="1" x14ac:dyDescent="0.4">
      <c r="W3122" s="49">
        <v>51150</v>
      </c>
      <c r="X3122" s="49">
        <v>51150</v>
      </c>
      <c r="Y3122" s="49">
        <v>51150</v>
      </c>
      <c r="AY3122" s="49">
        <v>51150</v>
      </c>
      <c r="AZ3122" s="49">
        <v>51150</v>
      </c>
      <c r="BA3122" s="49">
        <v>51150</v>
      </c>
    </row>
    <row r="3123" spans="23:53" ht="16.2" customHeight="1" x14ac:dyDescent="0.4">
      <c r="W3123" s="49">
        <v>51156</v>
      </c>
      <c r="X3123" s="49">
        <v>51156</v>
      </c>
      <c r="Y3123" s="49">
        <v>51156</v>
      </c>
      <c r="AY3123" s="49">
        <v>51156</v>
      </c>
      <c r="AZ3123" s="49">
        <v>51156</v>
      </c>
      <c r="BA3123" s="49">
        <v>51156</v>
      </c>
    </row>
    <row r="3124" spans="23:53" ht="16.2" customHeight="1" x14ac:dyDescent="0.4">
      <c r="W3124" s="49">
        <v>51157</v>
      </c>
      <c r="X3124" s="49">
        <v>51157</v>
      </c>
      <c r="Y3124" s="49">
        <v>51157</v>
      </c>
      <c r="AY3124" s="49">
        <v>51157</v>
      </c>
      <c r="AZ3124" s="49">
        <v>51157</v>
      </c>
      <c r="BA3124" s="49">
        <v>51157</v>
      </c>
    </row>
    <row r="3125" spans="23:53" ht="16.2" customHeight="1" x14ac:dyDescent="0.4">
      <c r="W3125" s="49">
        <v>51163</v>
      </c>
      <c r="X3125" s="49">
        <v>51163</v>
      </c>
      <c r="Y3125" s="49">
        <v>51163</v>
      </c>
      <c r="AY3125" s="49">
        <v>51163</v>
      </c>
      <c r="AZ3125" s="49">
        <v>51163</v>
      </c>
      <c r="BA3125" s="49">
        <v>51163</v>
      </c>
    </row>
    <row r="3126" spans="23:53" ht="16.2" customHeight="1" x14ac:dyDescent="0.4">
      <c r="W3126" s="49">
        <v>51164</v>
      </c>
      <c r="X3126" s="49">
        <v>51164</v>
      </c>
      <c r="Y3126" s="49">
        <v>51164</v>
      </c>
      <c r="AY3126" s="49">
        <v>51164</v>
      </c>
      <c r="AZ3126" s="49">
        <v>51164</v>
      </c>
      <c r="BA3126" s="49">
        <v>51164</v>
      </c>
    </row>
    <row r="3127" spans="23:53" ht="16.2" customHeight="1" x14ac:dyDescent="0.4">
      <c r="W3127" s="49">
        <v>51170</v>
      </c>
      <c r="X3127" s="49">
        <v>51170</v>
      </c>
      <c r="Y3127" s="49">
        <v>51170</v>
      </c>
      <c r="AY3127" s="49">
        <v>51170</v>
      </c>
      <c r="AZ3127" s="49">
        <v>51170</v>
      </c>
      <c r="BA3127" s="49">
        <v>51170</v>
      </c>
    </row>
    <row r="3128" spans="23:53" ht="16.2" customHeight="1" x14ac:dyDescent="0.4">
      <c r="W3128" s="49">
        <v>51171</v>
      </c>
      <c r="X3128" s="49">
        <v>51171</v>
      </c>
      <c r="Y3128" s="49">
        <v>51171</v>
      </c>
      <c r="AY3128" s="49">
        <v>51171</v>
      </c>
      <c r="AZ3128" s="49">
        <v>51171</v>
      </c>
      <c r="BA3128" s="49">
        <v>51171</v>
      </c>
    </row>
    <row r="3129" spans="23:53" ht="16.2" customHeight="1" x14ac:dyDescent="0.4">
      <c r="W3129" s="49">
        <v>51178</v>
      </c>
      <c r="X3129" s="49">
        <v>51178</v>
      </c>
      <c r="Y3129" s="49">
        <v>51178</v>
      </c>
      <c r="AY3129" s="49">
        <v>51178</v>
      </c>
      <c r="AZ3129" s="49">
        <v>51178</v>
      </c>
      <c r="BA3129" s="49">
        <v>51178</v>
      </c>
    </row>
    <row r="3130" spans="23:53" ht="16.2" customHeight="1" x14ac:dyDescent="0.4">
      <c r="W3130" s="49">
        <v>51179</v>
      </c>
      <c r="X3130" s="49">
        <v>51179</v>
      </c>
      <c r="Y3130" s="49">
        <v>51179</v>
      </c>
      <c r="AY3130" s="49">
        <v>51179</v>
      </c>
      <c r="AZ3130" s="49">
        <v>51179</v>
      </c>
      <c r="BA3130" s="49">
        <v>51179</v>
      </c>
    </row>
    <row r="3131" spans="23:53" ht="16.2" customHeight="1" x14ac:dyDescent="0.4">
      <c r="W3131" s="49">
        <v>51184</v>
      </c>
      <c r="X3131" s="49">
        <v>51184</v>
      </c>
      <c r="Y3131" s="49">
        <v>51184</v>
      </c>
      <c r="AY3131" s="49">
        <v>51184</v>
      </c>
      <c r="AZ3131" s="49">
        <v>51184</v>
      </c>
      <c r="BA3131" s="49">
        <v>51184</v>
      </c>
    </row>
    <row r="3132" spans="23:53" ht="16.2" customHeight="1" x14ac:dyDescent="0.4">
      <c r="W3132" s="49">
        <v>51185</v>
      </c>
      <c r="X3132" s="49">
        <v>51185</v>
      </c>
      <c r="Y3132" s="49">
        <v>51185</v>
      </c>
      <c r="AY3132" s="49">
        <v>51185</v>
      </c>
      <c r="AZ3132" s="49">
        <v>51185</v>
      </c>
      <c r="BA3132" s="49">
        <v>51185</v>
      </c>
    </row>
    <row r="3133" spans="23:53" ht="16.2" customHeight="1" x14ac:dyDescent="0.4">
      <c r="W3133" s="49">
        <v>51191</v>
      </c>
      <c r="X3133" s="49">
        <v>51191</v>
      </c>
      <c r="Y3133" s="49">
        <v>51191</v>
      </c>
      <c r="AY3133" s="49">
        <v>51191</v>
      </c>
      <c r="AZ3133" s="49">
        <v>51191</v>
      </c>
      <c r="BA3133" s="49">
        <v>51191</v>
      </c>
    </row>
    <row r="3134" spans="23:53" ht="16.2" customHeight="1" x14ac:dyDescent="0.4">
      <c r="W3134" s="49">
        <v>51192</v>
      </c>
      <c r="X3134" s="49">
        <v>51192</v>
      </c>
      <c r="Y3134" s="49">
        <v>51192</v>
      </c>
      <c r="AY3134" s="49">
        <v>51192</v>
      </c>
      <c r="AZ3134" s="49">
        <v>51192</v>
      </c>
      <c r="BA3134" s="49">
        <v>51192</v>
      </c>
    </row>
    <row r="3135" spans="23:53" ht="16.2" customHeight="1" x14ac:dyDescent="0.4">
      <c r="W3135" s="49">
        <v>51196</v>
      </c>
      <c r="X3135" s="49">
        <v>51196</v>
      </c>
      <c r="Y3135" s="49">
        <v>51196</v>
      </c>
      <c r="AY3135" s="49">
        <v>51196</v>
      </c>
      <c r="AZ3135" s="49">
        <v>51196</v>
      </c>
      <c r="BA3135" s="49">
        <v>51196</v>
      </c>
    </row>
    <row r="3136" spans="23:53" ht="16.2" customHeight="1" x14ac:dyDescent="0.4">
      <c r="W3136" s="49">
        <v>51198</v>
      </c>
      <c r="X3136" s="49">
        <v>51198</v>
      </c>
      <c r="Y3136" s="49">
        <v>51198</v>
      </c>
      <c r="AY3136" s="49">
        <v>51198</v>
      </c>
      <c r="AZ3136" s="49">
        <v>51198</v>
      </c>
      <c r="BA3136" s="49">
        <v>51198</v>
      </c>
    </row>
    <row r="3137" spans="23:53" ht="16.2" customHeight="1" x14ac:dyDescent="0.4">
      <c r="W3137" s="49">
        <v>51199</v>
      </c>
      <c r="X3137" s="49">
        <v>51199</v>
      </c>
      <c r="Y3137" s="49">
        <v>51199</v>
      </c>
      <c r="AY3137" s="49">
        <v>51199</v>
      </c>
      <c r="AZ3137" s="49">
        <v>51199</v>
      </c>
      <c r="BA3137" s="49">
        <v>51199</v>
      </c>
    </row>
    <row r="3138" spans="23:53" ht="16.2" customHeight="1" x14ac:dyDescent="0.4">
      <c r="W3138" s="49">
        <v>51205</v>
      </c>
      <c r="X3138" s="49">
        <v>51205</v>
      </c>
      <c r="Y3138" s="49">
        <v>51205</v>
      </c>
      <c r="AY3138" s="49">
        <v>51205</v>
      </c>
      <c r="AZ3138" s="49">
        <v>51205</v>
      </c>
      <c r="BA3138" s="49">
        <v>51205</v>
      </c>
    </row>
    <row r="3139" spans="23:53" ht="16.2" customHeight="1" x14ac:dyDescent="0.4">
      <c r="W3139" s="49">
        <v>51206</v>
      </c>
      <c r="X3139" s="49">
        <v>51206</v>
      </c>
      <c r="Y3139" s="49">
        <v>51206</v>
      </c>
      <c r="AY3139" s="49">
        <v>51206</v>
      </c>
      <c r="AZ3139" s="49">
        <v>51206</v>
      </c>
      <c r="BA3139" s="49">
        <v>51206</v>
      </c>
    </row>
    <row r="3140" spans="23:53" ht="16.2" customHeight="1" x14ac:dyDescent="0.4">
      <c r="W3140" s="49">
        <v>51212</v>
      </c>
      <c r="X3140" s="49">
        <v>51212</v>
      </c>
      <c r="Y3140" s="49">
        <v>51212</v>
      </c>
      <c r="AY3140" s="49">
        <v>51212</v>
      </c>
      <c r="AZ3140" s="49">
        <v>51212</v>
      </c>
      <c r="BA3140" s="49">
        <v>51212</v>
      </c>
    </row>
    <row r="3141" spans="23:53" ht="16.2" customHeight="1" x14ac:dyDescent="0.4">
      <c r="W3141" s="49">
        <v>51213</v>
      </c>
      <c r="X3141" s="49">
        <v>51213</v>
      </c>
      <c r="Y3141" s="49">
        <v>51213</v>
      </c>
      <c r="AY3141" s="49">
        <v>51213</v>
      </c>
      <c r="AZ3141" s="49">
        <v>51213</v>
      </c>
      <c r="BA3141" s="49">
        <v>51213</v>
      </c>
    </row>
    <row r="3142" spans="23:53" ht="16.2" customHeight="1" x14ac:dyDescent="0.4">
      <c r="W3142" s="49">
        <v>51219</v>
      </c>
      <c r="X3142" s="49">
        <v>51219</v>
      </c>
      <c r="Y3142" s="49">
        <v>51219</v>
      </c>
      <c r="AY3142" s="49">
        <v>51219</v>
      </c>
      <c r="AZ3142" s="49">
        <v>51219</v>
      </c>
      <c r="BA3142" s="49">
        <v>51219</v>
      </c>
    </row>
    <row r="3143" spans="23:53" ht="16.2" customHeight="1" x14ac:dyDescent="0.4">
      <c r="W3143" s="49">
        <v>51220</v>
      </c>
      <c r="X3143" s="49">
        <v>51220</v>
      </c>
      <c r="Y3143" s="49">
        <v>51220</v>
      </c>
      <c r="AY3143" s="49">
        <v>51220</v>
      </c>
      <c r="AZ3143" s="49">
        <v>51220</v>
      </c>
      <c r="BA3143" s="49">
        <v>51220</v>
      </c>
    </row>
    <row r="3144" spans="23:53" ht="16.2" customHeight="1" x14ac:dyDescent="0.4">
      <c r="W3144" s="49">
        <v>51226</v>
      </c>
      <c r="X3144" s="49">
        <v>51226</v>
      </c>
      <c r="Y3144" s="49">
        <v>51226</v>
      </c>
      <c r="AY3144" s="49">
        <v>51226</v>
      </c>
      <c r="AZ3144" s="49">
        <v>51226</v>
      </c>
      <c r="BA3144" s="49">
        <v>51226</v>
      </c>
    </row>
    <row r="3145" spans="23:53" ht="16.2" customHeight="1" x14ac:dyDescent="0.4">
      <c r="W3145" s="49">
        <v>51227</v>
      </c>
      <c r="X3145" s="49">
        <v>51227</v>
      </c>
      <c r="Y3145" s="49">
        <v>51227</v>
      </c>
      <c r="AY3145" s="49">
        <v>51227</v>
      </c>
      <c r="AZ3145" s="49">
        <v>51227</v>
      </c>
      <c r="BA3145" s="49">
        <v>51227</v>
      </c>
    </row>
    <row r="3146" spans="23:53" ht="16.2" customHeight="1" x14ac:dyDescent="0.4">
      <c r="W3146" s="49">
        <v>51233</v>
      </c>
      <c r="X3146" s="49">
        <v>51233</v>
      </c>
      <c r="Y3146" s="49">
        <v>51233</v>
      </c>
      <c r="AY3146" s="49">
        <v>51233</v>
      </c>
      <c r="AZ3146" s="49">
        <v>51233</v>
      </c>
      <c r="BA3146" s="49">
        <v>51233</v>
      </c>
    </row>
    <row r="3147" spans="23:53" ht="16.2" customHeight="1" x14ac:dyDescent="0.4">
      <c r="W3147" s="49">
        <v>51234</v>
      </c>
      <c r="X3147" s="49">
        <v>51234</v>
      </c>
      <c r="Y3147" s="49">
        <v>51234</v>
      </c>
      <c r="AY3147" s="49">
        <v>51234</v>
      </c>
      <c r="AZ3147" s="49">
        <v>51234</v>
      </c>
      <c r="BA3147" s="49">
        <v>51234</v>
      </c>
    </row>
    <row r="3148" spans="23:53" ht="16.2" customHeight="1" x14ac:dyDescent="0.4">
      <c r="W3148" s="49">
        <v>51240</v>
      </c>
      <c r="X3148" s="49">
        <v>51240</v>
      </c>
      <c r="Y3148" s="49">
        <v>51240</v>
      </c>
      <c r="AY3148" s="49">
        <v>51240</v>
      </c>
      <c r="AZ3148" s="49">
        <v>51240</v>
      </c>
      <c r="BA3148" s="49">
        <v>51240</v>
      </c>
    </row>
    <row r="3149" spans="23:53" ht="16.2" customHeight="1" x14ac:dyDescent="0.4">
      <c r="W3149" s="49">
        <v>51241</v>
      </c>
      <c r="X3149" s="49">
        <v>51241</v>
      </c>
      <c r="Y3149" s="49">
        <v>51241</v>
      </c>
      <c r="AY3149" s="49">
        <v>51241</v>
      </c>
      <c r="AZ3149" s="49">
        <v>51241</v>
      </c>
      <c r="BA3149" s="49">
        <v>51241</v>
      </c>
    </row>
    <row r="3150" spans="23:53" ht="16.2" customHeight="1" x14ac:dyDescent="0.4">
      <c r="W3150" s="49">
        <v>51247</v>
      </c>
      <c r="X3150" s="49">
        <v>51247</v>
      </c>
      <c r="Y3150" s="49">
        <v>51247</v>
      </c>
      <c r="AY3150" s="49">
        <v>51247</v>
      </c>
      <c r="AZ3150" s="49">
        <v>51247</v>
      </c>
      <c r="BA3150" s="49">
        <v>51247</v>
      </c>
    </row>
    <row r="3151" spans="23:53" ht="16.2" customHeight="1" x14ac:dyDescent="0.4">
      <c r="W3151" s="49">
        <v>51248</v>
      </c>
      <c r="X3151" s="49">
        <v>51248</v>
      </c>
      <c r="Y3151" s="49">
        <v>51248</v>
      </c>
      <c r="AY3151" s="49">
        <v>51248</v>
      </c>
      <c r="AZ3151" s="49">
        <v>51248</v>
      </c>
      <c r="BA3151" s="49">
        <v>51248</v>
      </c>
    </row>
    <row r="3152" spans="23:53" ht="16.2" customHeight="1" x14ac:dyDescent="0.4">
      <c r="W3152" s="49">
        <v>51254</v>
      </c>
      <c r="X3152" s="49">
        <v>51254</v>
      </c>
      <c r="Y3152" s="49">
        <v>51254</v>
      </c>
      <c r="AY3152" s="49">
        <v>51254</v>
      </c>
      <c r="AZ3152" s="49">
        <v>51254</v>
      </c>
      <c r="BA3152" s="49">
        <v>51254</v>
      </c>
    </row>
    <row r="3153" spans="23:53" ht="16.2" customHeight="1" x14ac:dyDescent="0.4">
      <c r="W3153" s="49">
        <v>51255</v>
      </c>
      <c r="X3153" s="49">
        <v>51255</v>
      </c>
      <c r="Y3153" s="49">
        <v>51255</v>
      </c>
      <c r="AY3153" s="49">
        <v>51255</v>
      </c>
      <c r="AZ3153" s="49">
        <v>51255</v>
      </c>
      <c r="BA3153" s="49">
        <v>51255</v>
      </c>
    </row>
    <row r="3154" spans="23:53" ht="16.2" customHeight="1" x14ac:dyDescent="0.4">
      <c r="W3154" s="49">
        <v>51257</v>
      </c>
      <c r="X3154" s="49">
        <v>51257</v>
      </c>
      <c r="Y3154" s="49">
        <v>51257</v>
      </c>
      <c r="AY3154" s="49">
        <v>51257</v>
      </c>
      <c r="AZ3154" s="49">
        <v>51257</v>
      </c>
      <c r="BA3154" s="49">
        <v>51257</v>
      </c>
    </row>
    <row r="3155" spans="23:53" ht="16.2" customHeight="1" x14ac:dyDescent="0.4">
      <c r="W3155" s="49">
        <v>51262</v>
      </c>
      <c r="X3155" s="49">
        <v>51262</v>
      </c>
      <c r="Y3155" s="49">
        <v>51262</v>
      </c>
      <c r="AY3155" s="49">
        <v>51262</v>
      </c>
      <c r="AZ3155" s="49">
        <v>51262</v>
      </c>
      <c r="BA3155" s="49">
        <v>51262</v>
      </c>
    </row>
    <row r="3156" spans="23:53" ht="16.2" customHeight="1" x14ac:dyDescent="0.4">
      <c r="W3156" s="49">
        <v>51268</v>
      </c>
      <c r="X3156" s="49">
        <v>51268</v>
      </c>
      <c r="Y3156" s="49">
        <v>51268</v>
      </c>
      <c r="AY3156" s="49">
        <v>51268</v>
      </c>
      <c r="AZ3156" s="49">
        <v>51268</v>
      </c>
      <c r="BA3156" s="49">
        <v>51268</v>
      </c>
    </row>
    <row r="3157" spans="23:53" ht="16.2" customHeight="1" x14ac:dyDescent="0.4">
      <c r="W3157" s="49">
        <v>51269</v>
      </c>
      <c r="X3157" s="49">
        <v>51269</v>
      </c>
      <c r="Y3157" s="49">
        <v>51269</v>
      </c>
      <c r="AY3157" s="49">
        <v>51269</v>
      </c>
      <c r="AZ3157" s="49">
        <v>51269</v>
      </c>
      <c r="BA3157" s="49">
        <v>51269</v>
      </c>
    </row>
    <row r="3158" spans="23:53" ht="16.2" customHeight="1" x14ac:dyDescent="0.4">
      <c r="W3158" s="49">
        <v>51274</v>
      </c>
      <c r="X3158" s="49">
        <v>51274</v>
      </c>
      <c r="Y3158" s="49">
        <v>51274</v>
      </c>
      <c r="AY3158" s="49">
        <v>51274</v>
      </c>
      <c r="AZ3158" s="49">
        <v>51274</v>
      </c>
      <c r="BA3158" s="49">
        <v>51274</v>
      </c>
    </row>
    <row r="3159" spans="23:53" ht="16.2" customHeight="1" x14ac:dyDescent="0.4">
      <c r="W3159" s="49">
        <v>51275</v>
      </c>
      <c r="X3159" s="49">
        <v>51275</v>
      </c>
      <c r="Y3159" s="49">
        <v>51275</v>
      </c>
      <c r="AY3159" s="49">
        <v>51275</v>
      </c>
      <c r="AZ3159" s="49">
        <v>51275</v>
      </c>
      <c r="BA3159" s="49">
        <v>51275</v>
      </c>
    </row>
    <row r="3160" spans="23:53" ht="16.2" customHeight="1" x14ac:dyDescent="0.4">
      <c r="W3160" s="49">
        <v>51276</v>
      </c>
      <c r="X3160" s="49">
        <v>51276</v>
      </c>
      <c r="Y3160" s="49">
        <v>51276</v>
      </c>
      <c r="AY3160" s="49">
        <v>51276</v>
      </c>
      <c r="AZ3160" s="49">
        <v>51276</v>
      </c>
      <c r="BA3160" s="49">
        <v>51276</v>
      </c>
    </row>
    <row r="3161" spans="23:53" ht="16.2" customHeight="1" x14ac:dyDescent="0.4">
      <c r="W3161" s="49">
        <v>51282</v>
      </c>
      <c r="X3161" s="49">
        <v>51282</v>
      </c>
      <c r="Y3161" s="49">
        <v>51282</v>
      </c>
      <c r="AY3161" s="49">
        <v>51282</v>
      </c>
      <c r="AZ3161" s="49">
        <v>51282</v>
      </c>
      <c r="BA3161" s="49">
        <v>51282</v>
      </c>
    </row>
    <row r="3162" spans="23:53" ht="16.2" customHeight="1" x14ac:dyDescent="0.4">
      <c r="W3162" s="49">
        <v>51283</v>
      </c>
      <c r="X3162" s="49">
        <v>51283</v>
      </c>
      <c r="Y3162" s="49">
        <v>51283</v>
      </c>
      <c r="AY3162" s="49">
        <v>51283</v>
      </c>
      <c r="AZ3162" s="49">
        <v>51283</v>
      </c>
      <c r="BA3162" s="49">
        <v>51283</v>
      </c>
    </row>
    <row r="3163" spans="23:53" ht="16.2" customHeight="1" x14ac:dyDescent="0.4">
      <c r="W3163" s="49">
        <v>51289</v>
      </c>
      <c r="X3163" s="49">
        <v>51289</v>
      </c>
      <c r="Y3163" s="49">
        <v>51289</v>
      </c>
      <c r="AY3163" s="49">
        <v>51289</v>
      </c>
      <c r="AZ3163" s="49">
        <v>51289</v>
      </c>
      <c r="BA3163" s="49">
        <v>51289</v>
      </c>
    </row>
    <row r="3164" spans="23:53" ht="16.2" customHeight="1" x14ac:dyDescent="0.4">
      <c r="W3164" s="49">
        <v>51290</v>
      </c>
      <c r="X3164" s="49">
        <v>51290</v>
      </c>
      <c r="Y3164" s="49">
        <v>51290</v>
      </c>
      <c r="AY3164" s="49">
        <v>51290</v>
      </c>
      <c r="AZ3164" s="49">
        <v>51290</v>
      </c>
      <c r="BA3164" s="49">
        <v>51290</v>
      </c>
    </row>
    <row r="3165" spans="23:53" ht="16.2" customHeight="1" x14ac:dyDescent="0.4">
      <c r="W3165" s="49">
        <v>51293</v>
      </c>
      <c r="X3165" s="49">
        <v>51293</v>
      </c>
      <c r="Y3165" s="49">
        <v>51293</v>
      </c>
      <c r="AY3165" s="49">
        <v>51293</v>
      </c>
      <c r="AZ3165" s="49">
        <v>51293</v>
      </c>
      <c r="BA3165" s="49">
        <v>51293</v>
      </c>
    </row>
    <row r="3166" spans="23:53" ht="16.2" customHeight="1" x14ac:dyDescent="0.4">
      <c r="W3166" s="49">
        <v>51296</v>
      </c>
      <c r="X3166" s="49">
        <v>51296</v>
      </c>
      <c r="Y3166" s="49">
        <v>51296</v>
      </c>
      <c r="AY3166" s="49">
        <v>51296</v>
      </c>
      <c r="AZ3166" s="49">
        <v>51296</v>
      </c>
      <c r="BA3166" s="49">
        <v>51296</v>
      </c>
    </row>
    <row r="3167" spans="23:53" ht="16.2" customHeight="1" x14ac:dyDescent="0.4">
      <c r="W3167" s="49">
        <v>51297</v>
      </c>
      <c r="X3167" s="49">
        <v>51297</v>
      </c>
      <c r="Y3167" s="49">
        <v>51297</v>
      </c>
      <c r="AY3167" s="49">
        <v>51297</v>
      </c>
      <c r="AZ3167" s="49">
        <v>51297</v>
      </c>
      <c r="BA3167" s="49">
        <v>51297</v>
      </c>
    </row>
    <row r="3168" spans="23:53" ht="16.2" customHeight="1" x14ac:dyDescent="0.4">
      <c r="W3168" s="49">
        <v>51303</v>
      </c>
      <c r="X3168" s="49">
        <v>51303</v>
      </c>
      <c r="Y3168" s="49">
        <v>51303</v>
      </c>
      <c r="AY3168" s="49">
        <v>51303</v>
      </c>
      <c r="AZ3168" s="49">
        <v>51303</v>
      </c>
      <c r="BA3168" s="49">
        <v>51303</v>
      </c>
    </row>
    <row r="3169" spans="23:53" ht="16.2" customHeight="1" x14ac:dyDescent="0.4">
      <c r="W3169" s="49">
        <v>51304</v>
      </c>
      <c r="X3169" s="49">
        <v>51304</v>
      </c>
      <c r="Y3169" s="49">
        <v>51304</v>
      </c>
      <c r="AY3169" s="49">
        <v>51304</v>
      </c>
      <c r="AZ3169" s="49">
        <v>51304</v>
      </c>
      <c r="BA3169" s="49">
        <v>51304</v>
      </c>
    </row>
    <row r="3170" spans="23:53" ht="16.2" customHeight="1" x14ac:dyDescent="0.4">
      <c r="W3170" s="49">
        <v>51310</v>
      </c>
      <c r="X3170" s="49">
        <v>51310</v>
      </c>
      <c r="Y3170" s="49">
        <v>51310</v>
      </c>
      <c r="AY3170" s="49">
        <v>51310</v>
      </c>
      <c r="AZ3170" s="49">
        <v>51310</v>
      </c>
      <c r="BA3170" s="49">
        <v>51310</v>
      </c>
    </row>
    <row r="3171" spans="23:53" ht="16.2" customHeight="1" x14ac:dyDescent="0.4">
      <c r="W3171" s="49">
        <v>51311</v>
      </c>
      <c r="X3171" s="49">
        <v>51311</v>
      </c>
      <c r="Y3171" s="49">
        <v>51311</v>
      </c>
      <c r="AY3171" s="49">
        <v>51311</v>
      </c>
      <c r="AZ3171" s="49">
        <v>51311</v>
      </c>
      <c r="BA3171" s="49">
        <v>51311</v>
      </c>
    </row>
    <row r="3172" spans="23:53" ht="16.2" customHeight="1" x14ac:dyDescent="0.4">
      <c r="W3172" s="49">
        <v>51317</v>
      </c>
      <c r="X3172" s="49">
        <v>51317</v>
      </c>
      <c r="Y3172" s="49">
        <v>51317</v>
      </c>
      <c r="AY3172" s="49">
        <v>51317</v>
      </c>
      <c r="AZ3172" s="49">
        <v>51317</v>
      </c>
      <c r="BA3172" s="49">
        <v>51317</v>
      </c>
    </row>
    <row r="3173" spans="23:53" ht="16.2" customHeight="1" x14ac:dyDescent="0.4">
      <c r="W3173" s="49">
        <v>51318</v>
      </c>
      <c r="X3173" s="49">
        <v>51318</v>
      </c>
      <c r="Y3173" s="49">
        <v>51318</v>
      </c>
      <c r="AY3173" s="49">
        <v>51318</v>
      </c>
      <c r="AZ3173" s="49">
        <v>51318</v>
      </c>
      <c r="BA3173" s="49">
        <v>51318</v>
      </c>
    </row>
    <row r="3174" spans="23:53" ht="16.2" customHeight="1" x14ac:dyDescent="0.4">
      <c r="W3174" s="49">
        <v>51324</v>
      </c>
      <c r="X3174" s="49">
        <v>51324</v>
      </c>
      <c r="Y3174" s="49">
        <v>51324</v>
      </c>
      <c r="AY3174" s="49">
        <v>51324</v>
      </c>
      <c r="AZ3174" s="49">
        <v>51324</v>
      </c>
      <c r="BA3174" s="49">
        <v>51324</v>
      </c>
    </row>
    <row r="3175" spans="23:53" ht="16.2" customHeight="1" x14ac:dyDescent="0.4">
      <c r="W3175" s="49">
        <v>51325</v>
      </c>
      <c r="X3175" s="49">
        <v>51325</v>
      </c>
      <c r="Y3175" s="49">
        <v>51325</v>
      </c>
      <c r="AY3175" s="49">
        <v>51325</v>
      </c>
      <c r="AZ3175" s="49">
        <v>51325</v>
      </c>
      <c r="BA3175" s="49">
        <v>51325</v>
      </c>
    </row>
    <row r="3176" spans="23:53" ht="16.2" customHeight="1" x14ac:dyDescent="0.4">
      <c r="W3176" s="49">
        <v>51331</v>
      </c>
      <c r="X3176" s="49">
        <v>51331</v>
      </c>
      <c r="Y3176" s="49">
        <v>51331</v>
      </c>
      <c r="AY3176" s="49">
        <v>51331</v>
      </c>
      <c r="AZ3176" s="49">
        <v>51331</v>
      </c>
      <c r="BA3176" s="49">
        <v>51331</v>
      </c>
    </row>
    <row r="3177" spans="23:53" ht="16.2" customHeight="1" x14ac:dyDescent="0.4">
      <c r="W3177" s="49">
        <v>51332</v>
      </c>
      <c r="X3177" s="49">
        <v>51332</v>
      </c>
      <c r="Y3177" s="49">
        <v>51332</v>
      </c>
      <c r="AY3177" s="49">
        <v>51332</v>
      </c>
      <c r="AZ3177" s="49">
        <v>51332</v>
      </c>
      <c r="BA3177" s="49">
        <v>51332</v>
      </c>
    </row>
    <row r="3178" spans="23:53" ht="16.2" customHeight="1" x14ac:dyDescent="0.4">
      <c r="W3178" s="49">
        <v>51338</v>
      </c>
      <c r="X3178" s="49">
        <v>51338</v>
      </c>
      <c r="Y3178" s="49">
        <v>51338</v>
      </c>
      <c r="AY3178" s="49">
        <v>51338</v>
      </c>
      <c r="AZ3178" s="49">
        <v>51338</v>
      </c>
      <c r="BA3178" s="49">
        <v>51338</v>
      </c>
    </row>
    <row r="3179" spans="23:53" ht="16.2" customHeight="1" x14ac:dyDescent="0.4">
      <c r="W3179" s="49">
        <v>51339</v>
      </c>
      <c r="X3179" s="49">
        <v>51339</v>
      </c>
      <c r="Y3179" s="49">
        <v>51339</v>
      </c>
      <c r="AY3179" s="49">
        <v>51339</v>
      </c>
      <c r="AZ3179" s="49">
        <v>51339</v>
      </c>
      <c r="BA3179" s="49">
        <v>51339</v>
      </c>
    </row>
    <row r="3180" spans="23:53" ht="16.2" customHeight="1" x14ac:dyDescent="0.4">
      <c r="W3180" s="49">
        <v>51345</v>
      </c>
      <c r="X3180" s="49">
        <v>51345</v>
      </c>
      <c r="Y3180" s="49">
        <v>51345</v>
      </c>
      <c r="AY3180" s="49">
        <v>51345</v>
      </c>
      <c r="AZ3180" s="49">
        <v>51345</v>
      </c>
      <c r="BA3180" s="49">
        <v>51345</v>
      </c>
    </row>
    <row r="3181" spans="23:53" ht="16.2" customHeight="1" x14ac:dyDescent="0.4">
      <c r="W3181" s="49">
        <v>51346</v>
      </c>
      <c r="X3181" s="49">
        <v>51346</v>
      </c>
      <c r="Y3181" s="49">
        <v>51346</v>
      </c>
      <c r="AY3181" s="49">
        <v>51346</v>
      </c>
      <c r="AZ3181" s="49">
        <v>51346</v>
      </c>
      <c r="BA3181" s="49">
        <v>51346</v>
      </c>
    </row>
    <row r="3182" spans="23:53" ht="16.2" customHeight="1" x14ac:dyDescent="0.4">
      <c r="W3182" s="49">
        <v>51352</v>
      </c>
      <c r="X3182" s="49">
        <v>51352</v>
      </c>
      <c r="Y3182" s="49">
        <v>51352</v>
      </c>
      <c r="AY3182" s="49">
        <v>51352</v>
      </c>
      <c r="AZ3182" s="49">
        <v>51352</v>
      </c>
      <c r="BA3182" s="49">
        <v>51352</v>
      </c>
    </row>
    <row r="3183" spans="23:53" ht="16.2" customHeight="1" x14ac:dyDescent="0.4">
      <c r="W3183" s="49">
        <v>51353</v>
      </c>
      <c r="X3183" s="49">
        <v>51353</v>
      </c>
      <c r="Y3183" s="49">
        <v>51353</v>
      </c>
      <c r="AY3183" s="49">
        <v>51353</v>
      </c>
      <c r="AZ3183" s="49">
        <v>51353</v>
      </c>
      <c r="BA3183" s="49">
        <v>51353</v>
      </c>
    </row>
    <row r="3184" spans="23:53" ht="16.2" customHeight="1" x14ac:dyDescent="0.4">
      <c r="W3184" s="49">
        <v>51359</v>
      </c>
      <c r="X3184" s="49">
        <v>51359</v>
      </c>
      <c r="Y3184" s="49">
        <v>51359</v>
      </c>
      <c r="AY3184" s="49">
        <v>51359</v>
      </c>
      <c r="AZ3184" s="49">
        <v>51359</v>
      </c>
      <c r="BA3184" s="49">
        <v>51359</v>
      </c>
    </row>
    <row r="3185" spans="23:53" ht="16.2" customHeight="1" x14ac:dyDescent="0.4">
      <c r="W3185" s="49">
        <v>51360</v>
      </c>
      <c r="X3185" s="49">
        <v>51360</v>
      </c>
      <c r="Y3185" s="49">
        <v>51360</v>
      </c>
      <c r="AY3185" s="49">
        <v>51360</v>
      </c>
      <c r="AZ3185" s="49">
        <v>51360</v>
      </c>
      <c r="BA3185" s="49">
        <v>51360</v>
      </c>
    </row>
    <row r="3186" spans="23:53" ht="16.2" customHeight="1" x14ac:dyDescent="0.4">
      <c r="W3186" s="49">
        <v>51363</v>
      </c>
      <c r="X3186" s="49">
        <v>51363</v>
      </c>
      <c r="Y3186" s="49">
        <v>51363</v>
      </c>
      <c r="AY3186" s="49">
        <v>51363</v>
      </c>
      <c r="AZ3186" s="49">
        <v>51363</v>
      </c>
      <c r="BA3186" s="49">
        <v>51363</v>
      </c>
    </row>
    <row r="3187" spans="23:53" ht="16.2" customHeight="1" x14ac:dyDescent="0.4">
      <c r="W3187" s="49">
        <v>51366</v>
      </c>
      <c r="X3187" s="49">
        <v>51366</v>
      </c>
      <c r="Y3187" s="49">
        <v>51366</v>
      </c>
      <c r="AY3187" s="49">
        <v>51366</v>
      </c>
      <c r="AZ3187" s="49">
        <v>51366</v>
      </c>
      <c r="BA3187" s="49">
        <v>51366</v>
      </c>
    </row>
    <row r="3188" spans="23:53" ht="16.2" customHeight="1" x14ac:dyDescent="0.4">
      <c r="W3188" s="49">
        <v>51367</v>
      </c>
      <c r="X3188" s="49">
        <v>51367</v>
      </c>
      <c r="Y3188" s="49">
        <v>51367</v>
      </c>
      <c r="AY3188" s="49">
        <v>51367</v>
      </c>
      <c r="AZ3188" s="49">
        <v>51367</v>
      </c>
      <c r="BA3188" s="49">
        <v>51367</v>
      </c>
    </row>
    <row r="3189" spans="23:53" ht="16.2" customHeight="1" x14ac:dyDescent="0.4">
      <c r="W3189" s="49">
        <v>51373</v>
      </c>
      <c r="X3189" s="49">
        <v>51373</v>
      </c>
      <c r="Y3189" s="49">
        <v>51373</v>
      </c>
      <c r="AY3189" s="49">
        <v>51373</v>
      </c>
      <c r="AZ3189" s="49">
        <v>51373</v>
      </c>
      <c r="BA3189" s="49">
        <v>51373</v>
      </c>
    </row>
    <row r="3190" spans="23:53" ht="16.2" customHeight="1" x14ac:dyDescent="0.4">
      <c r="W3190" s="49">
        <v>51374</v>
      </c>
      <c r="X3190" s="49">
        <v>51374</v>
      </c>
      <c r="Y3190" s="49">
        <v>51374</v>
      </c>
      <c r="AY3190" s="49">
        <v>51374</v>
      </c>
      <c r="AZ3190" s="49">
        <v>51374</v>
      </c>
      <c r="BA3190" s="49">
        <v>51374</v>
      </c>
    </row>
    <row r="3191" spans="23:53" ht="16.2" customHeight="1" x14ac:dyDescent="0.4">
      <c r="W3191" s="49">
        <v>51380</v>
      </c>
      <c r="X3191" s="49">
        <v>51380</v>
      </c>
      <c r="Y3191" s="49">
        <v>51380</v>
      </c>
      <c r="AY3191" s="49">
        <v>51380</v>
      </c>
      <c r="AZ3191" s="49">
        <v>51380</v>
      </c>
      <c r="BA3191" s="49">
        <v>51380</v>
      </c>
    </row>
    <row r="3192" spans="23:53" ht="16.2" customHeight="1" x14ac:dyDescent="0.4">
      <c r="W3192" s="49">
        <v>51381</v>
      </c>
      <c r="X3192" s="49">
        <v>51381</v>
      </c>
      <c r="Y3192" s="49">
        <v>51381</v>
      </c>
      <c r="AY3192" s="49">
        <v>51381</v>
      </c>
      <c r="AZ3192" s="49">
        <v>51381</v>
      </c>
      <c r="BA3192" s="49">
        <v>51381</v>
      </c>
    </row>
    <row r="3193" spans="23:53" ht="16.2" customHeight="1" x14ac:dyDescent="0.4">
      <c r="W3193" s="49">
        <v>51387</v>
      </c>
      <c r="X3193" s="49">
        <v>51387</v>
      </c>
      <c r="Y3193" s="49">
        <v>51387</v>
      </c>
      <c r="AY3193" s="49">
        <v>51387</v>
      </c>
      <c r="AZ3193" s="49">
        <v>51387</v>
      </c>
      <c r="BA3193" s="49">
        <v>51387</v>
      </c>
    </row>
    <row r="3194" spans="23:53" ht="16.2" customHeight="1" x14ac:dyDescent="0.4">
      <c r="W3194" s="49">
        <v>51388</v>
      </c>
      <c r="X3194" s="49">
        <v>51388</v>
      </c>
      <c r="Y3194" s="49">
        <v>51388</v>
      </c>
      <c r="AY3194" s="49">
        <v>51388</v>
      </c>
      <c r="AZ3194" s="49">
        <v>51388</v>
      </c>
      <c r="BA3194" s="49">
        <v>51388</v>
      </c>
    </row>
    <row r="3195" spans="23:53" ht="16.2" customHeight="1" x14ac:dyDescent="0.4">
      <c r="W3195" s="49">
        <v>51394</v>
      </c>
      <c r="X3195" s="49">
        <v>51394</v>
      </c>
      <c r="Y3195" s="49">
        <v>51394</v>
      </c>
      <c r="AY3195" s="49">
        <v>51394</v>
      </c>
      <c r="AZ3195" s="49">
        <v>51394</v>
      </c>
      <c r="BA3195" s="49">
        <v>51394</v>
      </c>
    </row>
    <row r="3196" spans="23:53" ht="16.2" customHeight="1" x14ac:dyDescent="0.4">
      <c r="W3196" s="49">
        <v>51395</v>
      </c>
      <c r="X3196" s="49">
        <v>51395</v>
      </c>
      <c r="Y3196" s="49">
        <v>51395</v>
      </c>
      <c r="AY3196" s="49">
        <v>51395</v>
      </c>
      <c r="AZ3196" s="49">
        <v>51395</v>
      </c>
      <c r="BA3196" s="49">
        <v>51395</v>
      </c>
    </row>
    <row r="3197" spans="23:53" ht="16.2" customHeight="1" x14ac:dyDescent="0.4">
      <c r="W3197" s="49">
        <v>51399</v>
      </c>
      <c r="X3197" s="49">
        <v>51399</v>
      </c>
      <c r="Y3197" s="49">
        <v>51399</v>
      </c>
      <c r="AY3197" s="49">
        <v>51399</v>
      </c>
      <c r="AZ3197" s="49">
        <v>51399</v>
      </c>
      <c r="BA3197" s="49">
        <v>51399</v>
      </c>
    </row>
    <row r="3198" spans="23:53" ht="16.2" customHeight="1" x14ac:dyDescent="0.4">
      <c r="W3198" s="49">
        <v>51400</v>
      </c>
      <c r="X3198" s="49">
        <v>51400</v>
      </c>
      <c r="Y3198" s="49">
        <v>51400</v>
      </c>
      <c r="AY3198" s="49">
        <v>51400</v>
      </c>
      <c r="AZ3198" s="49">
        <v>51400</v>
      </c>
      <c r="BA3198" s="49">
        <v>51400</v>
      </c>
    </row>
    <row r="3199" spans="23:53" ht="16.2" customHeight="1" x14ac:dyDescent="0.4">
      <c r="W3199" s="49">
        <v>51402</v>
      </c>
      <c r="X3199" s="49">
        <v>51402</v>
      </c>
      <c r="Y3199" s="49">
        <v>51402</v>
      </c>
      <c r="AY3199" s="49">
        <v>51402</v>
      </c>
      <c r="AZ3199" s="49">
        <v>51402</v>
      </c>
      <c r="BA3199" s="49">
        <v>51402</v>
      </c>
    </row>
    <row r="3200" spans="23:53" ht="16.2" customHeight="1" x14ac:dyDescent="0.4">
      <c r="W3200" s="49">
        <v>51408</v>
      </c>
      <c r="X3200" s="49">
        <v>51408</v>
      </c>
      <c r="Y3200" s="49">
        <v>51408</v>
      </c>
      <c r="AY3200" s="49">
        <v>51408</v>
      </c>
      <c r="AZ3200" s="49">
        <v>51408</v>
      </c>
      <c r="BA3200" s="49">
        <v>51408</v>
      </c>
    </row>
    <row r="3201" spans="23:53" ht="16.2" customHeight="1" x14ac:dyDescent="0.4">
      <c r="W3201" s="49">
        <v>51409</v>
      </c>
      <c r="X3201" s="49">
        <v>51409</v>
      </c>
      <c r="Y3201" s="49">
        <v>51409</v>
      </c>
      <c r="AY3201" s="49">
        <v>51409</v>
      </c>
      <c r="AZ3201" s="49">
        <v>51409</v>
      </c>
      <c r="BA3201" s="49">
        <v>51409</v>
      </c>
    </row>
    <row r="3202" spans="23:53" ht="16.2" customHeight="1" x14ac:dyDescent="0.4">
      <c r="W3202" s="49">
        <v>51412</v>
      </c>
      <c r="X3202" s="49">
        <v>51412</v>
      </c>
      <c r="Y3202" s="49">
        <v>51412</v>
      </c>
      <c r="AY3202" s="49">
        <v>51412</v>
      </c>
      <c r="AZ3202" s="49">
        <v>51412</v>
      </c>
      <c r="BA3202" s="49">
        <v>51412</v>
      </c>
    </row>
    <row r="3203" spans="23:53" ht="16.2" customHeight="1" x14ac:dyDescent="0.4">
      <c r="W3203" s="49">
        <v>51415</v>
      </c>
      <c r="X3203" s="49">
        <v>51415</v>
      </c>
      <c r="Y3203" s="49">
        <v>51415</v>
      </c>
      <c r="AY3203" s="49">
        <v>51415</v>
      </c>
      <c r="AZ3203" s="49">
        <v>51415</v>
      </c>
      <c r="BA3203" s="49">
        <v>51415</v>
      </c>
    </row>
    <row r="3204" spans="23:53" ht="16.2" customHeight="1" x14ac:dyDescent="0.4">
      <c r="W3204" s="49">
        <v>51416</v>
      </c>
      <c r="X3204" s="49">
        <v>51416</v>
      </c>
      <c r="Y3204" s="49">
        <v>51416</v>
      </c>
      <c r="AY3204" s="49">
        <v>51416</v>
      </c>
      <c r="AZ3204" s="49">
        <v>51416</v>
      </c>
      <c r="BA3204" s="49">
        <v>51416</v>
      </c>
    </row>
    <row r="3205" spans="23:53" ht="16.2" customHeight="1" x14ac:dyDescent="0.4">
      <c r="W3205" s="49">
        <v>51418</v>
      </c>
      <c r="X3205" s="49">
        <v>51418</v>
      </c>
      <c r="Y3205" s="49">
        <v>51418</v>
      </c>
      <c r="AY3205" s="49">
        <v>51418</v>
      </c>
      <c r="AZ3205" s="49">
        <v>51418</v>
      </c>
      <c r="BA3205" s="49">
        <v>51418</v>
      </c>
    </row>
    <row r="3206" spans="23:53" ht="16.2" customHeight="1" x14ac:dyDescent="0.4">
      <c r="W3206" s="49">
        <v>51422</v>
      </c>
      <c r="X3206" s="49">
        <v>51422</v>
      </c>
      <c r="Y3206" s="49">
        <v>51422</v>
      </c>
      <c r="AY3206" s="49">
        <v>51422</v>
      </c>
      <c r="AZ3206" s="49">
        <v>51422</v>
      </c>
      <c r="BA3206" s="49">
        <v>51422</v>
      </c>
    </row>
    <row r="3207" spans="23:53" ht="16.2" customHeight="1" x14ac:dyDescent="0.4">
      <c r="W3207" s="49">
        <v>51423</v>
      </c>
      <c r="X3207" s="49">
        <v>51423</v>
      </c>
      <c r="Y3207" s="49">
        <v>51423</v>
      </c>
      <c r="AY3207" s="49">
        <v>51423</v>
      </c>
      <c r="AZ3207" s="49">
        <v>51423</v>
      </c>
      <c r="BA3207" s="49">
        <v>51423</v>
      </c>
    </row>
    <row r="3208" spans="23:53" ht="16.2" customHeight="1" x14ac:dyDescent="0.4">
      <c r="W3208" s="49">
        <v>51429</v>
      </c>
      <c r="X3208" s="49">
        <v>51429</v>
      </c>
      <c r="Y3208" s="49">
        <v>51429</v>
      </c>
      <c r="AY3208" s="49">
        <v>51429</v>
      </c>
      <c r="AZ3208" s="49">
        <v>51429</v>
      </c>
      <c r="BA3208" s="49">
        <v>51429</v>
      </c>
    </row>
    <row r="3209" spans="23:53" ht="16.2" customHeight="1" x14ac:dyDescent="0.4">
      <c r="W3209" s="49">
        <v>51430</v>
      </c>
      <c r="X3209" s="49">
        <v>51430</v>
      </c>
      <c r="Y3209" s="49">
        <v>51430</v>
      </c>
      <c r="AY3209" s="49">
        <v>51430</v>
      </c>
      <c r="AZ3209" s="49">
        <v>51430</v>
      </c>
      <c r="BA3209" s="49">
        <v>51430</v>
      </c>
    </row>
    <row r="3210" spans="23:53" ht="16.2" customHeight="1" x14ac:dyDescent="0.4">
      <c r="W3210" s="49">
        <v>51436</v>
      </c>
      <c r="X3210" s="49">
        <v>51436</v>
      </c>
      <c r="Y3210" s="49">
        <v>51436</v>
      </c>
      <c r="AY3210" s="49">
        <v>51436</v>
      </c>
      <c r="AZ3210" s="49">
        <v>51436</v>
      </c>
      <c r="BA3210" s="49">
        <v>51436</v>
      </c>
    </row>
    <row r="3211" spans="23:53" ht="16.2" customHeight="1" x14ac:dyDescent="0.4">
      <c r="W3211" s="49">
        <v>51437</v>
      </c>
      <c r="X3211" s="49">
        <v>51437</v>
      </c>
      <c r="Y3211" s="49">
        <v>51437</v>
      </c>
      <c r="AY3211" s="49">
        <v>51437</v>
      </c>
      <c r="AZ3211" s="49">
        <v>51437</v>
      </c>
      <c r="BA3211" s="49">
        <v>51437</v>
      </c>
    </row>
    <row r="3212" spans="23:53" ht="16.2" customHeight="1" x14ac:dyDescent="0.4">
      <c r="W3212" s="49">
        <v>51443</v>
      </c>
      <c r="X3212" s="49">
        <v>51443</v>
      </c>
      <c r="Y3212" s="49">
        <v>51443</v>
      </c>
      <c r="AY3212" s="49">
        <v>51443</v>
      </c>
      <c r="AZ3212" s="49">
        <v>51443</v>
      </c>
      <c r="BA3212" s="49">
        <v>51443</v>
      </c>
    </row>
    <row r="3213" spans="23:53" ht="16.2" customHeight="1" x14ac:dyDescent="0.4">
      <c r="W3213" s="49">
        <v>51444</v>
      </c>
      <c r="X3213" s="49">
        <v>51444</v>
      </c>
      <c r="Y3213" s="49">
        <v>51444</v>
      </c>
      <c r="AY3213" s="49">
        <v>51444</v>
      </c>
      <c r="AZ3213" s="49">
        <v>51444</v>
      </c>
      <c r="BA3213" s="49">
        <v>51444</v>
      </c>
    </row>
    <row r="3214" spans="23:53" ht="16.2" customHeight="1" x14ac:dyDescent="0.4">
      <c r="W3214" s="49">
        <v>51450</v>
      </c>
      <c r="X3214" s="49">
        <v>51450</v>
      </c>
      <c r="Y3214" s="49">
        <v>51450</v>
      </c>
      <c r="AY3214" s="49">
        <v>51450</v>
      </c>
      <c r="AZ3214" s="49">
        <v>51450</v>
      </c>
      <c r="BA3214" s="49">
        <v>51450</v>
      </c>
    </row>
    <row r="3215" spans="23:53" ht="16.2" customHeight="1" x14ac:dyDescent="0.4">
      <c r="W3215" s="49">
        <v>51451</v>
      </c>
      <c r="X3215" s="49">
        <v>51451</v>
      </c>
      <c r="Y3215" s="49">
        <v>51451</v>
      </c>
      <c r="AY3215" s="49">
        <v>51451</v>
      </c>
      <c r="AZ3215" s="49">
        <v>51451</v>
      </c>
      <c r="BA3215" s="49">
        <v>51451</v>
      </c>
    </row>
    <row r="3216" spans="23:53" ht="16.2" customHeight="1" x14ac:dyDescent="0.4">
      <c r="W3216" s="49">
        <v>51457</v>
      </c>
      <c r="X3216" s="49">
        <v>51457</v>
      </c>
      <c r="Y3216" s="49">
        <v>51457</v>
      </c>
      <c r="AY3216" s="49">
        <v>51457</v>
      </c>
      <c r="AZ3216" s="49">
        <v>51457</v>
      </c>
      <c r="BA3216" s="49">
        <v>51457</v>
      </c>
    </row>
    <row r="3217" spans="23:53" ht="16.2" customHeight="1" x14ac:dyDescent="0.4">
      <c r="W3217" s="49">
        <v>51458</v>
      </c>
      <c r="X3217" s="49">
        <v>51458</v>
      </c>
      <c r="Y3217" s="49">
        <v>51458</v>
      </c>
      <c r="AY3217" s="49">
        <v>51458</v>
      </c>
      <c r="AZ3217" s="49">
        <v>51458</v>
      </c>
      <c r="BA3217" s="49">
        <v>51458</v>
      </c>
    </row>
    <row r="3218" spans="23:53" ht="16.2" customHeight="1" x14ac:dyDescent="0.4">
      <c r="W3218" s="49">
        <v>51464</v>
      </c>
      <c r="X3218" s="49">
        <v>51464</v>
      </c>
      <c r="Y3218" s="49">
        <v>51464</v>
      </c>
      <c r="AY3218" s="49">
        <v>51464</v>
      </c>
      <c r="AZ3218" s="49">
        <v>51464</v>
      </c>
      <c r="BA3218" s="49">
        <v>51464</v>
      </c>
    </row>
    <row r="3219" spans="23:53" ht="16.2" customHeight="1" x14ac:dyDescent="0.4">
      <c r="W3219" s="49">
        <v>51465</v>
      </c>
      <c r="X3219" s="49">
        <v>51465</v>
      </c>
      <c r="Y3219" s="49">
        <v>51465</v>
      </c>
      <c r="AY3219" s="49">
        <v>51465</v>
      </c>
      <c r="AZ3219" s="49">
        <v>51465</v>
      </c>
      <c r="BA3219" s="49">
        <v>51465</v>
      </c>
    </row>
    <row r="3220" spans="23:53" ht="16.2" customHeight="1" x14ac:dyDescent="0.4">
      <c r="W3220" s="49">
        <v>51471</v>
      </c>
      <c r="X3220" s="49">
        <v>51471</v>
      </c>
      <c r="Y3220" s="49">
        <v>51471</v>
      </c>
      <c r="AY3220" s="49">
        <v>51471</v>
      </c>
      <c r="AZ3220" s="49">
        <v>51471</v>
      </c>
      <c r="BA3220" s="49">
        <v>51471</v>
      </c>
    </row>
    <row r="3221" spans="23:53" ht="16.2" customHeight="1" x14ac:dyDescent="0.4">
      <c r="W3221" s="49">
        <v>51472</v>
      </c>
      <c r="X3221" s="49">
        <v>51472</v>
      </c>
      <c r="Y3221" s="49">
        <v>51472</v>
      </c>
      <c r="AY3221" s="49">
        <v>51472</v>
      </c>
      <c r="AZ3221" s="49">
        <v>51472</v>
      </c>
      <c r="BA3221" s="49">
        <v>51472</v>
      </c>
    </row>
    <row r="3222" spans="23:53" ht="16.2" customHeight="1" x14ac:dyDescent="0.4">
      <c r="W3222" s="49">
        <v>51478</v>
      </c>
      <c r="X3222" s="49">
        <v>51478</v>
      </c>
      <c r="Y3222" s="49">
        <v>51478</v>
      </c>
      <c r="AY3222" s="49">
        <v>51478</v>
      </c>
      <c r="AZ3222" s="49">
        <v>51478</v>
      </c>
      <c r="BA3222" s="49">
        <v>51478</v>
      </c>
    </row>
    <row r="3223" spans="23:53" ht="16.2" customHeight="1" x14ac:dyDescent="0.4">
      <c r="W3223" s="49">
        <v>51479</v>
      </c>
      <c r="X3223" s="49">
        <v>51479</v>
      </c>
      <c r="Y3223" s="49">
        <v>51479</v>
      </c>
      <c r="AY3223" s="49">
        <v>51479</v>
      </c>
      <c r="AZ3223" s="49">
        <v>51479</v>
      </c>
      <c r="BA3223" s="49">
        <v>51479</v>
      </c>
    </row>
    <row r="3224" spans="23:53" ht="16.2" customHeight="1" x14ac:dyDescent="0.4">
      <c r="W3224" s="49">
        <v>51485</v>
      </c>
      <c r="X3224" s="49">
        <v>51485</v>
      </c>
      <c r="Y3224" s="49">
        <v>51485</v>
      </c>
      <c r="AY3224" s="49">
        <v>51485</v>
      </c>
      <c r="AZ3224" s="49">
        <v>51485</v>
      </c>
      <c r="BA3224" s="49">
        <v>51485</v>
      </c>
    </row>
    <row r="3225" spans="23:53" ht="16.2" customHeight="1" x14ac:dyDescent="0.4">
      <c r="W3225" s="49">
        <v>51486</v>
      </c>
      <c r="X3225" s="49">
        <v>51486</v>
      </c>
      <c r="Y3225" s="49">
        <v>51486</v>
      </c>
      <c r="AY3225" s="49">
        <v>51486</v>
      </c>
      <c r="AZ3225" s="49">
        <v>51486</v>
      </c>
      <c r="BA3225" s="49">
        <v>51486</v>
      </c>
    </row>
    <row r="3226" spans="23:53" ht="16.2" customHeight="1" x14ac:dyDescent="0.4">
      <c r="W3226" s="49">
        <v>51492</v>
      </c>
      <c r="X3226" s="49">
        <v>51492</v>
      </c>
      <c r="Y3226" s="49">
        <v>51492</v>
      </c>
      <c r="AY3226" s="49">
        <v>51492</v>
      </c>
      <c r="AZ3226" s="49">
        <v>51492</v>
      </c>
      <c r="BA3226" s="49">
        <v>51492</v>
      </c>
    </row>
    <row r="3227" spans="23:53" ht="16.2" customHeight="1" x14ac:dyDescent="0.4">
      <c r="W3227" s="49">
        <v>51493</v>
      </c>
      <c r="X3227" s="49">
        <v>51493</v>
      </c>
      <c r="Y3227" s="49">
        <v>51493</v>
      </c>
      <c r="AY3227" s="49">
        <v>51493</v>
      </c>
      <c r="AZ3227" s="49">
        <v>51493</v>
      </c>
      <c r="BA3227" s="49">
        <v>51493</v>
      </c>
    </row>
    <row r="3228" spans="23:53" ht="16.2" customHeight="1" x14ac:dyDescent="0.4">
      <c r="W3228" s="49">
        <v>51495</v>
      </c>
      <c r="X3228" s="49">
        <v>51495</v>
      </c>
      <c r="Y3228" s="49">
        <v>51495</v>
      </c>
      <c r="AY3228" s="49">
        <v>51495</v>
      </c>
      <c r="AZ3228" s="49">
        <v>51495</v>
      </c>
      <c r="BA3228" s="49">
        <v>51495</v>
      </c>
    </row>
    <row r="3229" spans="23:53" ht="16.2" customHeight="1" x14ac:dyDescent="0.4">
      <c r="W3229" s="49">
        <v>51499</v>
      </c>
      <c r="X3229" s="49">
        <v>51499</v>
      </c>
      <c r="Y3229" s="49">
        <v>51499</v>
      </c>
      <c r="AY3229" s="49">
        <v>51499</v>
      </c>
      <c r="AZ3229" s="49">
        <v>51499</v>
      </c>
      <c r="BA3229" s="49">
        <v>51499</v>
      </c>
    </row>
    <row r="3230" spans="23:53" ht="16.2" customHeight="1" x14ac:dyDescent="0.4">
      <c r="W3230" s="49">
        <v>51500</v>
      </c>
      <c r="X3230" s="49">
        <v>51500</v>
      </c>
      <c r="Y3230" s="49">
        <v>51500</v>
      </c>
      <c r="AY3230" s="49">
        <v>51500</v>
      </c>
      <c r="AZ3230" s="49">
        <v>51500</v>
      </c>
      <c r="BA3230" s="49">
        <v>51500</v>
      </c>
    </row>
    <row r="3231" spans="23:53" ht="16.2" customHeight="1" x14ac:dyDescent="0.4">
      <c r="W3231" s="49">
        <v>51502</v>
      </c>
      <c r="X3231" s="49">
        <v>51502</v>
      </c>
      <c r="Y3231" s="49">
        <v>51502</v>
      </c>
      <c r="AY3231" s="49">
        <v>51502</v>
      </c>
      <c r="AZ3231" s="49">
        <v>51502</v>
      </c>
      <c r="BA3231" s="49">
        <v>51502</v>
      </c>
    </row>
    <row r="3232" spans="23:53" ht="16.2" customHeight="1" x14ac:dyDescent="0.4">
      <c r="W3232" s="49">
        <v>51506</v>
      </c>
      <c r="X3232" s="49">
        <v>51506</v>
      </c>
      <c r="Y3232" s="49">
        <v>51506</v>
      </c>
      <c r="AY3232" s="49">
        <v>51506</v>
      </c>
      <c r="AZ3232" s="49">
        <v>51506</v>
      </c>
      <c r="BA3232" s="49">
        <v>51506</v>
      </c>
    </row>
    <row r="3233" spans="23:53" ht="16.2" customHeight="1" x14ac:dyDescent="0.4">
      <c r="W3233" s="49">
        <v>51507</v>
      </c>
      <c r="X3233" s="49">
        <v>51507</v>
      </c>
      <c r="Y3233" s="49">
        <v>51507</v>
      </c>
      <c r="AY3233" s="49">
        <v>51507</v>
      </c>
      <c r="AZ3233" s="49">
        <v>51507</v>
      </c>
      <c r="BA3233" s="49">
        <v>51507</v>
      </c>
    </row>
    <row r="3234" spans="23:53" ht="16.2" customHeight="1" x14ac:dyDescent="0.4">
      <c r="W3234" s="49">
        <v>51513</v>
      </c>
      <c r="X3234" s="49">
        <v>51513</v>
      </c>
      <c r="Y3234" s="49">
        <v>51513</v>
      </c>
      <c r="AY3234" s="49">
        <v>51513</v>
      </c>
      <c r="AZ3234" s="49">
        <v>51513</v>
      </c>
      <c r="BA3234" s="49">
        <v>51513</v>
      </c>
    </row>
    <row r="3235" spans="23:53" ht="16.2" customHeight="1" x14ac:dyDescent="0.4">
      <c r="W3235" s="49">
        <v>51514</v>
      </c>
      <c r="X3235" s="49">
        <v>51514</v>
      </c>
      <c r="Y3235" s="49">
        <v>51514</v>
      </c>
      <c r="AY3235" s="49">
        <v>51514</v>
      </c>
      <c r="AZ3235" s="49">
        <v>51514</v>
      </c>
      <c r="BA3235" s="49">
        <v>51514</v>
      </c>
    </row>
    <row r="3236" spans="23:53" ht="16.2" customHeight="1" x14ac:dyDescent="0.4">
      <c r="W3236" s="49">
        <v>51520</v>
      </c>
      <c r="X3236" s="49">
        <v>51520</v>
      </c>
      <c r="Y3236" s="49">
        <v>51520</v>
      </c>
      <c r="AY3236" s="49">
        <v>51520</v>
      </c>
      <c r="AZ3236" s="49">
        <v>51520</v>
      </c>
      <c r="BA3236" s="49">
        <v>51520</v>
      </c>
    </row>
    <row r="3237" spans="23:53" ht="16.2" customHeight="1" x14ac:dyDescent="0.4">
      <c r="W3237" s="49">
        <v>51521</v>
      </c>
      <c r="X3237" s="49">
        <v>51521</v>
      </c>
      <c r="Y3237" s="49">
        <v>51521</v>
      </c>
      <c r="AY3237" s="49">
        <v>51521</v>
      </c>
      <c r="AZ3237" s="49">
        <v>51521</v>
      </c>
      <c r="BA3237" s="49">
        <v>51521</v>
      </c>
    </row>
    <row r="3238" spans="23:53" ht="16.2" customHeight="1" x14ac:dyDescent="0.4">
      <c r="W3238" s="49">
        <v>51527</v>
      </c>
      <c r="X3238" s="49">
        <v>51527</v>
      </c>
      <c r="Y3238" s="49">
        <v>51527</v>
      </c>
      <c r="AY3238" s="49">
        <v>51527</v>
      </c>
      <c r="AZ3238" s="49">
        <v>51527</v>
      </c>
      <c r="BA3238" s="49">
        <v>51527</v>
      </c>
    </row>
    <row r="3239" spans="23:53" ht="16.2" customHeight="1" x14ac:dyDescent="0.4">
      <c r="W3239" s="49">
        <v>51528</v>
      </c>
      <c r="X3239" s="49">
        <v>51528</v>
      </c>
      <c r="Y3239" s="49">
        <v>51528</v>
      </c>
      <c r="AY3239" s="49">
        <v>51528</v>
      </c>
      <c r="AZ3239" s="49">
        <v>51528</v>
      </c>
      <c r="BA3239" s="49">
        <v>51528</v>
      </c>
    </row>
    <row r="3240" spans="23:53" ht="16.2" customHeight="1" x14ac:dyDescent="0.4">
      <c r="W3240" s="49">
        <v>51532</v>
      </c>
      <c r="X3240" s="49">
        <v>51532</v>
      </c>
      <c r="Y3240" s="49">
        <v>51532</v>
      </c>
      <c r="AY3240" s="49">
        <v>51532</v>
      </c>
      <c r="AZ3240" s="49">
        <v>51532</v>
      </c>
      <c r="BA3240" s="49">
        <v>51532</v>
      </c>
    </row>
    <row r="3241" spans="23:53" ht="16.2" customHeight="1" x14ac:dyDescent="0.4">
      <c r="W3241" s="49">
        <v>51533</v>
      </c>
      <c r="X3241" s="49">
        <v>51533</v>
      </c>
      <c r="Y3241" s="49">
        <v>51533</v>
      </c>
      <c r="AY3241" s="49">
        <v>51533</v>
      </c>
      <c r="AZ3241" s="49">
        <v>51533</v>
      </c>
      <c r="BA3241" s="49">
        <v>51533</v>
      </c>
    </row>
    <row r="3242" spans="23:53" ht="16.2" customHeight="1" x14ac:dyDescent="0.4">
      <c r="W3242" s="49">
        <v>51535</v>
      </c>
      <c r="X3242" s="49">
        <v>51535</v>
      </c>
      <c r="Y3242" s="49">
        <v>51535</v>
      </c>
      <c r="AY3242" s="49">
        <v>51535</v>
      </c>
      <c r="AZ3242" s="49">
        <v>51535</v>
      </c>
      <c r="BA3242" s="49">
        <v>51535</v>
      </c>
    </row>
    <row r="3243" spans="23:53" ht="16.2" customHeight="1" x14ac:dyDescent="0.4">
      <c r="W3243" s="49">
        <v>51541</v>
      </c>
      <c r="X3243" s="49">
        <v>51541</v>
      </c>
      <c r="Y3243" s="49">
        <v>51541</v>
      </c>
      <c r="AY3243" s="49">
        <v>51541</v>
      </c>
      <c r="AZ3243" s="49">
        <v>51541</v>
      </c>
      <c r="BA3243" s="49">
        <v>51541</v>
      </c>
    </row>
    <row r="3244" spans="23:53" ht="16.2" customHeight="1" x14ac:dyDescent="0.4">
      <c r="W3244" s="49">
        <v>51542</v>
      </c>
      <c r="X3244" s="49">
        <v>51542</v>
      </c>
      <c r="Y3244" s="49">
        <v>51542</v>
      </c>
      <c r="AY3244" s="49">
        <v>51542</v>
      </c>
      <c r="AZ3244" s="49">
        <v>51542</v>
      </c>
      <c r="BA3244" s="49">
        <v>51542</v>
      </c>
    </row>
    <row r="3245" spans="23:53" ht="16.2" customHeight="1" x14ac:dyDescent="0.4">
      <c r="W3245" s="49">
        <v>51548</v>
      </c>
      <c r="X3245" s="49">
        <v>51548</v>
      </c>
      <c r="Y3245" s="49">
        <v>51548</v>
      </c>
      <c r="AY3245" s="49">
        <v>51548</v>
      </c>
      <c r="AZ3245" s="49">
        <v>51548</v>
      </c>
      <c r="BA3245" s="49">
        <v>51548</v>
      </c>
    </row>
    <row r="3246" spans="23:53" ht="16.2" customHeight="1" x14ac:dyDescent="0.4">
      <c r="W3246" s="49">
        <v>51549</v>
      </c>
      <c r="X3246" s="49">
        <v>51549</v>
      </c>
      <c r="Y3246" s="49">
        <v>51549</v>
      </c>
      <c r="AY3246" s="49">
        <v>51549</v>
      </c>
      <c r="AZ3246" s="49">
        <v>51549</v>
      </c>
      <c r="BA3246" s="49">
        <v>51549</v>
      </c>
    </row>
    <row r="3247" spans="23:53" ht="16.2" customHeight="1" x14ac:dyDescent="0.4">
      <c r="W3247" s="49">
        <v>51555</v>
      </c>
      <c r="X3247" s="49">
        <v>51555</v>
      </c>
      <c r="Y3247" s="49">
        <v>51555</v>
      </c>
      <c r="AY3247" s="49">
        <v>51555</v>
      </c>
      <c r="AZ3247" s="49">
        <v>51555</v>
      </c>
      <c r="BA3247" s="49">
        <v>51555</v>
      </c>
    </row>
    <row r="3248" spans="23:53" ht="16.2" customHeight="1" x14ac:dyDescent="0.4">
      <c r="W3248" s="49">
        <v>51556</v>
      </c>
      <c r="X3248" s="49">
        <v>51556</v>
      </c>
      <c r="Y3248" s="49">
        <v>51556</v>
      </c>
      <c r="AY3248" s="49">
        <v>51556</v>
      </c>
      <c r="AZ3248" s="49">
        <v>51556</v>
      </c>
      <c r="BA3248" s="49">
        <v>51556</v>
      </c>
    </row>
    <row r="3249" spans="23:53" ht="16.2" customHeight="1" x14ac:dyDescent="0.4">
      <c r="W3249" s="49">
        <v>51561</v>
      </c>
      <c r="X3249" s="49">
        <v>51561</v>
      </c>
      <c r="Y3249" s="49">
        <v>51561</v>
      </c>
      <c r="AY3249" s="49">
        <v>51561</v>
      </c>
      <c r="AZ3249" s="49">
        <v>51561</v>
      </c>
      <c r="BA3249" s="49">
        <v>51561</v>
      </c>
    </row>
    <row r="3250" spans="23:53" ht="16.2" customHeight="1" x14ac:dyDescent="0.4">
      <c r="W3250" s="49">
        <v>51562</v>
      </c>
      <c r="X3250" s="49">
        <v>51562</v>
      </c>
      <c r="Y3250" s="49">
        <v>51562</v>
      </c>
      <c r="AY3250" s="49">
        <v>51562</v>
      </c>
      <c r="AZ3250" s="49">
        <v>51562</v>
      </c>
      <c r="BA3250" s="49">
        <v>51562</v>
      </c>
    </row>
    <row r="3251" spans="23:53" ht="16.2" customHeight="1" x14ac:dyDescent="0.4">
      <c r="W3251" s="49">
        <v>51563</v>
      </c>
      <c r="X3251" s="49">
        <v>51563</v>
      </c>
      <c r="Y3251" s="49">
        <v>51563</v>
      </c>
      <c r="AY3251" s="49">
        <v>51563</v>
      </c>
      <c r="AZ3251" s="49">
        <v>51563</v>
      </c>
      <c r="BA3251" s="49">
        <v>51563</v>
      </c>
    </row>
    <row r="3252" spans="23:53" ht="16.2" customHeight="1" x14ac:dyDescent="0.4">
      <c r="W3252" s="49">
        <v>51569</v>
      </c>
      <c r="X3252" s="49">
        <v>51569</v>
      </c>
      <c r="Y3252" s="49">
        <v>51569</v>
      </c>
      <c r="AY3252" s="49">
        <v>51569</v>
      </c>
      <c r="AZ3252" s="49">
        <v>51569</v>
      </c>
      <c r="BA3252" s="49">
        <v>51569</v>
      </c>
    </row>
    <row r="3253" spans="23:53" ht="16.2" customHeight="1" x14ac:dyDescent="0.4">
      <c r="W3253" s="49">
        <v>51570</v>
      </c>
      <c r="X3253" s="49">
        <v>51570</v>
      </c>
      <c r="Y3253" s="49">
        <v>51570</v>
      </c>
      <c r="AY3253" s="49">
        <v>51570</v>
      </c>
      <c r="AZ3253" s="49">
        <v>51570</v>
      </c>
      <c r="BA3253" s="49">
        <v>51570</v>
      </c>
    </row>
    <row r="3254" spans="23:53" ht="16.2" customHeight="1" x14ac:dyDescent="0.4">
      <c r="W3254" s="49">
        <v>51576</v>
      </c>
      <c r="X3254" s="49">
        <v>51576</v>
      </c>
      <c r="Y3254" s="49">
        <v>51576</v>
      </c>
      <c r="AY3254" s="49">
        <v>51576</v>
      </c>
      <c r="AZ3254" s="49">
        <v>51576</v>
      </c>
      <c r="BA3254" s="49">
        <v>51576</v>
      </c>
    </row>
    <row r="3255" spans="23:53" ht="16.2" customHeight="1" x14ac:dyDescent="0.4">
      <c r="W3255" s="49">
        <v>51577</v>
      </c>
      <c r="X3255" s="49">
        <v>51577</v>
      </c>
      <c r="Y3255" s="49">
        <v>51577</v>
      </c>
      <c r="AY3255" s="49">
        <v>51577</v>
      </c>
      <c r="AZ3255" s="49">
        <v>51577</v>
      </c>
      <c r="BA3255" s="49">
        <v>51577</v>
      </c>
    </row>
    <row r="3256" spans="23:53" ht="16.2" customHeight="1" x14ac:dyDescent="0.4">
      <c r="W3256" s="49">
        <v>51583</v>
      </c>
      <c r="X3256" s="49">
        <v>51583</v>
      </c>
      <c r="Y3256" s="49">
        <v>51583</v>
      </c>
      <c r="AY3256" s="49">
        <v>51583</v>
      </c>
      <c r="AZ3256" s="49">
        <v>51583</v>
      </c>
      <c r="BA3256" s="49">
        <v>51583</v>
      </c>
    </row>
    <row r="3257" spans="23:53" ht="16.2" customHeight="1" x14ac:dyDescent="0.4">
      <c r="W3257" s="49">
        <v>51584</v>
      </c>
      <c r="X3257" s="49">
        <v>51584</v>
      </c>
      <c r="Y3257" s="49">
        <v>51584</v>
      </c>
      <c r="AY3257" s="49">
        <v>51584</v>
      </c>
      <c r="AZ3257" s="49">
        <v>51584</v>
      </c>
      <c r="BA3257" s="49">
        <v>51584</v>
      </c>
    </row>
    <row r="3258" spans="23:53" ht="16.2" customHeight="1" x14ac:dyDescent="0.4">
      <c r="W3258" s="49">
        <v>51590</v>
      </c>
      <c r="X3258" s="49">
        <v>51590</v>
      </c>
      <c r="Y3258" s="49">
        <v>51590</v>
      </c>
      <c r="AY3258" s="49">
        <v>51590</v>
      </c>
      <c r="AZ3258" s="49">
        <v>51590</v>
      </c>
      <c r="BA3258" s="49">
        <v>51590</v>
      </c>
    </row>
    <row r="3259" spans="23:53" ht="16.2" customHeight="1" x14ac:dyDescent="0.4">
      <c r="W3259" s="49">
        <v>51591</v>
      </c>
      <c r="X3259" s="49">
        <v>51591</v>
      </c>
      <c r="Y3259" s="49">
        <v>51591</v>
      </c>
      <c r="AY3259" s="49">
        <v>51591</v>
      </c>
      <c r="AZ3259" s="49">
        <v>51591</v>
      </c>
      <c r="BA3259" s="49">
        <v>51591</v>
      </c>
    </row>
    <row r="3260" spans="23:53" ht="16.2" customHeight="1" x14ac:dyDescent="0.4">
      <c r="W3260" s="49">
        <v>51597</v>
      </c>
      <c r="X3260" s="49">
        <v>51597</v>
      </c>
      <c r="Y3260" s="49">
        <v>51597</v>
      </c>
      <c r="AY3260" s="49">
        <v>51597</v>
      </c>
      <c r="AZ3260" s="49">
        <v>51597</v>
      </c>
      <c r="BA3260" s="49">
        <v>51597</v>
      </c>
    </row>
    <row r="3261" spans="23:53" ht="16.2" customHeight="1" x14ac:dyDescent="0.4">
      <c r="W3261" s="49">
        <v>51598</v>
      </c>
      <c r="X3261" s="49">
        <v>51598</v>
      </c>
      <c r="Y3261" s="49">
        <v>51598</v>
      </c>
      <c r="AY3261" s="49">
        <v>51598</v>
      </c>
      <c r="AZ3261" s="49">
        <v>51598</v>
      </c>
      <c r="BA3261" s="49">
        <v>51598</v>
      </c>
    </row>
    <row r="3262" spans="23:53" ht="16.2" customHeight="1" x14ac:dyDescent="0.4">
      <c r="W3262" s="49">
        <v>51604</v>
      </c>
      <c r="X3262" s="49">
        <v>51604</v>
      </c>
      <c r="Y3262" s="49">
        <v>51604</v>
      </c>
      <c r="AY3262" s="49">
        <v>51604</v>
      </c>
      <c r="AZ3262" s="49">
        <v>51604</v>
      </c>
      <c r="BA3262" s="49">
        <v>51604</v>
      </c>
    </row>
    <row r="3263" spans="23:53" ht="16.2" customHeight="1" x14ac:dyDescent="0.4">
      <c r="W3263" s="49">
        <v>51605</v>
      </c>
      <c r="X3263" s="49">
        <v>51605</v>
      </c>
      <c r="Y3263" s="49">
        <v>51605</v>
      </c>
      <c r="AY3263" s="49">
        <v>51605</v>
      </c>
      <c r="AZ3263" s="49">
        <v>51605</v>
      </c>
      <c r="BA3263" s="49">
        <v>51605</v>
      </c>
    </row>
    <row r="3264" spans="23:53" ht="16.2" customHeight="1" x14ac:dyDescent="0.4">
      <c r="W3264" s="49">
        <v>51611</v>
      </c>
      <c r="X3264" s="49">
        <v>51611</v>
      </c>
      <c r="Y3264" s="49">
        <v>51611</v>
      </c>
      <c r="AY3264" s="49">
        <v>51611</v>
      </c>
      <c r="AZ3264" s="49">
        <v>51611</v>
      </c>
      <c r="BA3264" s="49">
        <v>51611</v>
      </c>
    </row>
    <row r="3265" spans="23:53" ht="16.2" customHeight="1" x14ac:dyDescent="0.4">
      <c r="W3265" s="49">
        <v>51612</v>
      </c>
      <c r="X3265" s="49">
        <v>51612</v>
      </c>
      <c r="Y3265" s="49">
        <v>51612</v>
      </c>
      <c r="AY3265" s="49">
        <v>51612</v>
      </c>
      <c r="AZ3265" s="49">
        <v>51612</v>
      </c>
      <c r="BA3265" s="49">
        <v>51612</v>
      </c>
    </row>
    <row r="3266" spans="23:53" ht="16.2" customHeight="1" x14ac:dyDescent="0.4">
      <c r="W3266" s="49">
        <v>51618</v>
      </c>
      <c r="X3266" s="49">
        <v>51618</v>
      </c>
      <c r="Y3266" s="49">
        <v>51618</v>
      </c>
      <c r="AY3266" s="49">
        <v>51618</v>
      </c>
      <c r="AZ3266" s="49">
        <v>51618</v>
      </c>
      <c r="BA3266" s="49">
        <v>51618</v>
      </c>
    </row>
    <row r="3267" spans="23:53" ht="16.2" customHeight="1" x14ac:dyDescent="0.4">
      <c r="W3267" s="49">
        <v>51619</v>
      </c>
      <c r="X3267" s="49">
        <v>51619</v>
      </c>
      <c r="Y3267" s="49">
        <v>51619</v>
      </c>
      <c r="AY3267" s="49">
        <v>51619</v>
      </c>
      <c r="AZ3267" s="49">
        <v>51619</v>
      </c>
      <c r="BA3267" s="49">
        <v>51619</v>
      </c>
    </row>
    <row r="3268" spans="23:53" ht="16.2" customHeight="1" x14ac:dyDescent="0.4">
      <c r="W3268" s="49">
        <v>51622</v>
      </c>
      <c r="X3268" s="49">
        <v>51622</v>
      </c>
      <c r="Y3268" s="49">
        <v>51622</v>
      </c>
      <c r="AY3268" s="49">
        <v>51622</v>
      </c>
      <c r="AZ3268" s="49">
        <v>51622</v>
      </c>
      <c r="BA3268" s="49">
        <v>51622</v>
      </c>
    </row>
    <row r="3269" spans="23:53" ht="16.2" customHeight="1" x14ac:dyDescent="0.4">
      <c r="W3269" s="49">
        <v>51625</v>
      </c>
      <c r="X3269" s="49">
        <v>51625</v>
      </c>
      <c r="Y3269" s="49">
        <v>51625</v>
      </c>
      <c r="AY3269" s="49">
        <v>51625</v>
      </c>
      <c r="AZ3269" s="49">
        <v>51625</v>
      </c>
      <c r="BA3269" s="49">
        <v>51625</v>
      </c>
    </row>
    <row r="3270" spans="23:53" ht="16.2" customHeight="1" x14ac:dyDescent="0.4">
      <c r="W3270" s="49">
        <v>51626</v>
      </c>
      <c r="X3270" s="49">
        <v>51626</v>
      </c>
      <c r="Y3270" s="49">
        <v>51626</v>
      </c>
      <c r="AY3270" s="49">
        <v>51626</v>
      </c>
      <c r="AZ3270" s="49">
        <v>51626</v>
      </c>
      <c r="BA3270" s="49">
        <v>51626</v>
      </c>
    </row>
    <row r="3271" spans="23:53" ht="16.2" customHeight="1" x14ac:dyDescent="0.4">
      <c r="W3271" s="49">
        <v>51627</v>
      </c>
      <c r="X3271" s="49">
        <v>51627</v>
      </c>
      <c r="Y3271" s="49">
        <v>51627</v>
      </c>
      <c r="AY3271" s="49">
        <v>51627</v>
      </c>
      <c r="AZ3271" s="49">
        <v>51627</v>
      </c>
      <c r="BA3271" s="49">
        <v>51627</v>
      </c>
    </row>
    <row r="3272" spans="23:53" ht="16.2" customHeight="1" x14ac:dyDescent="0.4">
      <c r="W3272" s="49">
        <v>51628</v>
      </c>
      <c r="X3272" s="49">
        <v>51628</v>
      </c>
      <c r="Y3272" s="49">
        <v>51628</v>
      </c>
      <c r="AY3272" s="49">
        <v>51628</v>
      </c>
      <c r="AZ3272" s="49">
        <v>51628</v>
      </c>
      <c r="BA3272" s="49">
        <v>51628</v>
      </c>
    </row>
    <row r="3273" spans="23:53" ht="16.2" customHeight="1" x14ac:dyDescent="0.4">
      <c r="W3273" s="49">
        <v>51632</v>
      </c>
      <c r="X3273" s="49">
        <v>51632</v>
      </c>
      <c r="Y3273" s="49">
        <v>51632</v>
      </c>
      <c r="AY3273" s="49">
        <v>51632</v>
      </c>
      <c r="AZ3273" s="49">
        <v>51632</v>
      </c>
      <c r="BA3273" s="49">
        <v>51632</v>
      </c>
    </row>
    <row r="3274" spans="23:53" ht="16.2" customHeight="1" x14ac:dyDescent="0.4">
      <c r="W3274" s="49">
        <v>51633</v>
      </c>
      <c r="X3274" s="49">
        <v>51633</v>
      </c>
      <c r="Y3274" s="49">
        <v>51633</v>
      </c>
      <c r="AY3274" s="49">
        <v>51633</v>
      </c>
      <c r="AZ3274" s="49">
        <v>51633</v>
      </c>
      <c r="BA3274" s="49">
        <v>51633</v>
      </c>
    </row>
    <row r="3275" spans="23:53" ht="16.2" customHeight="1" x14ac:dyDescent="0.4">
      <c r="W3275" s="49">
        <v>51639</v>
      </c>
      <c r="X3275" s="49">
        <v>51639</v>
      </c>
      <c r="Y3275" s="49">
        <v>51639</v>
      </c>
      <c r="AY3275" s="49">
        <v>51639</v>
      </c>
      <c r="AZ3275" s="49">
        <v>51639</v>
      </c>
      <c r="BA3275" s="49">
        <v>51639</v>
      </c>
    </row>
    <row r="3276" spans="23:53" ht="16.2" customHeight="1" x14ac:dyDescent="0.4">
      <c r="W3276" s="49">
        <v>51640</v>
      </c>
      <c r="X3276" s="49">
        <v>51640</v>
      </c>
      <c r="Y3276" s="49">
        <v>51640</v>
      </c>
      <c r="AY3276" s="49">
        <v>51640</v>
      </c>
      <c r="AZ3276" s="49">
        <v>51640</v>
      </c>
      <c r="BA3276" s="49">
        <v>51640</v>
      </c>
    </row>
    <row r="3277" spans="23:53" ht="16.2" customHeight="1" x14ac:dyDescent="0.4">
      <c r="W3277" s="49">
        <v>51646</v>
      </c>
      <c r="X3277" s="49">
        <v>51646</v>
      </c>
      <c r="Y3277" s="49">
        <v>51646</v>
      </c>
      <c r="AY3277" s="49">
        <v>51646</v>
      </c>
      <c r="AZ3277" s="49">
        <v>51646</v>
      </c>
      <c r="BA3277" s="49">
        <v>51646</v>
      </c>
    </row>
    <row r="3278" spans="23:53" ht="16.2" customHeight="1" x14ac:dyDescent="0.4">
      <c r="W3278" s="49">
        <v>51647</v>
      </c>
      <c r="X3278" s="49">
        <v>51647</v>
      </c>
      <c r="Y3278" s="49">
        <v>51647</v>
      </c>
      <c r="AY3278" s="49">
        <v>51647</v>
      </c>
      <c r="AZ3278" s="49">
        <v>51647</v>
      </c>
      <c r="BA3278" s="49">
        <v>51647</v>
      </c>
    </row>
    <row r="3279" spans="23:53" ht="16.2" customHeight="1" x14ac:dyDescent="0.4">
      <c r="W3279" s="49">
        <v>51653</v>
      </c>
      <c r="X3279" s="49">
        <v>51653</v>
      </c>
      <c r="Y3279" s="49">
        <v>51653</v>
      </c>
      <c r="AY3279" s="49">
        <v>51653</v>
      </c>
      <c r="AZ3279" s="49">
        <v>51653</v>
      </c>
      <c r="BA3279" s="49">
        <v>51653</v>
      </c>
    </row>
    <row r="3280" spans="23:53" ht="16.2" customHeight="1" x14ac:dyDescent="0.4">
      <c r="W3280" s="49">
        <v>51654</v>
      </c>
      <c r="X3280" s="49">
        <v>51654</v>
      </c>
      <c r="Y3280" s="49">
        <v>51654</v>
      </c>
      <c r="AY3280" s="49">
        <v>51654</v>
      </c>
      <c r="AZ3280" s="49">
        <v>51654</v>
      </c>
      <c r="BA3280" s="49">
        <v>51654</v>
      </c>
    </row>
    <row r="3281" spans="23:53" ht="16.2" customHeight="1" x14ac:dyDescent="0.4">
      <c r="W3281" s="49">
        <v>51658</v>
      </c>
      <c r="X3281" s="49">
        <v>51658</v>
      </c>
      <c r="Y3281" s="49">
        <v>51658</v>
      </c>
      <c r="AY3281" s="49">
        <v>51658</v>
      </c>
      <c r="AZ3281" s="49">
        <v>51658</v>
      </c>
      <c r="BA3281" s="49">
        <v>51658</v>
      </c>
    </row>
    <row r="3282" spans="23:53" ht="16.2" customHeight="1" x14ac:dyDescent="0.4">
      <c r="W3282" s="49">
        <v>51660</v>
      </c>
      <c r="X3282" s="49">
        <v>51660</v>
      </c>
      <c r="Y3282" s="49">
        <v>51660</v>
      </c>
      <c r="AY3282" s="49">
        <v>51660</v>
      </c>
      <c r="AZ3282" s="49">
        <v>51660</v>
      </c>
      <c r="BA3282" s="49">
        <v>51660</v>
      </c>
    </row>
    <row r="3283" spans="23:53" ht="16.2" customHeight="1" x14ac:dyDescent="0.4">
      <c r="W3283" s="49">
        <v>51661</v>
      </c>
      <c r="X3283" s="49">
        <v>51661</v>
      </c>
      <c r="Y3283" s="49">
        <v>51661</v>
      </c>
      <c r="AY3283" s="49">
        <v>51661</v>
      </c>
      <c r="AZ3283" s="49">
        <v>51661</v>
      </c>
      <c r="BA3283" s="49">
        <v>51661</v>
      </c>
    </row>
    <row r="3284" spans="23:53" ht="16.2" customHeight="1" x14ac:dyDescent="0.4">
      <c r="W3284" s="49">
        <v>51667</v>
      </c>
      <c r="X3284" s="49">
        <v>51667</v>
      </c>
      <c r="Y3284" s="49">
        <v>51667</v>
      </c>
      <c r="AY3284" s="49">
        <v>51667</v>
      </c>
      <c r="AZ3284" s="49">
        <v>51667</v>
      </c>
      <c r="BA3284" s="49">
        <v>51667</v>
      </c>
    </row>
    <row r="3285" spans="23:53" ht="16.2" customHeight="1" x14ac:dyDescent="0.4">
      <c r="W3285" s="49">
        <v>51668</v>
      </c>
      <c r="X3285" s="49">
        <v>51668</v>
      </c>
      <c r="Y3285" s="49">
        <v>51668</v>
      </c>
      <c r="AY3285" s="49">
        <v>51668</v>
      </c>
      <c r="AZ3285" s="49">
        <v>51668</v>
      </c>
      <c r="BA3285" s="49">
        <v>51668</v>
      </c>
    </row>
    <row r="3286" spans="23:53" ht="16.2" customHeight="1" x14ac:dyDescent="0.4">
      <c r="W3286" s="49">
        <v>51674</v>
      </c>
      <c r="X3286" s="49">
        <v>51674</v>
      </c>
      <c r="Y3286" s="49">
        <v>51674</v>
      </c>
      <c r="AY3286" s="49">
        <v>51674</v>
      </c>
      <c r="AZ3286" s="49">
        <v>51674</v>
      </c>
      <c r="BA3286" s="49">
        <v>51674</v>
      </c>
    </row>
    <row r="3287" spans="23:53" ht="16.2" customHeight="1" x14ac:dyDescent="0.4">
      <c r="W3287" s="49">
        <v>51675</v>
      </c>
      <c r="X3287" s="49">
        <v>51675</v>
      </c>
      <c r="Y3287" s="49">
        <v>51675</v>
      </c>
      <c r="AY3287" s="49">
        <v>51675</v>
      </c>
      <c r="AZ3287" s="49">
        <v>51675</v>
      </c>
      <c r="BA3287" s="49">
        <v>51675</v>
      </c>
    </row>
    <row r="3288" spans="23:53" ht="16.2" customHeight="1" x14ac:dyDescent="0.4">
      <c r="W3288" s="49">
        <v>51681</v>
      </c>
      <c r="X3288" s="49">
        <v>51681</v>
      </c>
      <c r="Y3288" s="49">
        <v>51681</v>
      </c>
      <c r="AY3288" s="49">
        <v>51681</v>
      </c>
      <c r="AZ3288" s="49">
        <v>51681</v>
      </c>
      <c r="BA3288" s="49">
        <v>51681</v>
      </c>
    </row>
    <row r="3289" spans="23:53" ht="16.2" customHeight="1" x14ac:dyDescent="0.4">
      <c r="W3289" s="49">
        <v>51682</v>
      </c>
      <c r="X3289" s="49">
        <v>51682</v>
      </c>
      <c r="Y3289" s="49">
        <v>51682</v>
      </c>
      <c r="AY3289" s="49">
        <v>51682</v>
      </c>
      <c r="AZ3289" s="49">
        <v>51682</v>
      </c>
      <c r="BA3289" s="49">
        <v>51682</v>
      </c>
    </row>
    <row r="3290" spans="23:53" ht="16.2" customHeight="1" x14ac:dyDescent="0.4">
      <c r="W3290" s="49">
        <v>51688</v>
      </c>
      <c r="X3290" s="49">
        <v>51688</v>
      </c>
      <c r="Y3290" s="49">
        <v>51688</v>
      </c>
      <c r="AY3290" s="49">
        <v>51688</v>
      </c>
      <c r="AZ3290" s="49">
        <v>51688</v>
      </c>
      <c r="BA3290" s="49">
        <v>51688</v>
      </c>
    </row>
    <row r="3291" spans="23:53" ht="16.2" customHeight="1" x14ac:dyDescent="0.4">
      <c r="W3291" s="49">
        <v>51689</v>
      </c>
      <c r="X3291" s="49">
        <v>51689</v>
      </c>
      <c r="Y3291" s="49">
        <v>51689</v>
      </c>
      <c r="AY3291" s="49">
        <v>51689</v>
      </c>
      <c r="AZ3291" s="49">
        <v>51689</v>
      </c>
      <c r="BA3291" s="49">
        <v>51689</v>
      </c>
    </row>
    <row r="3292" spans="23:53" ht="16.2" customHeight="1" x14ac:dyDescent="0.4">
      <c r="W3292" s="49">
        <v>51695</v>
      </c>
      <c r="X3292" s="49">
        <v>51695</v>
      </c>
      <c r="Y3292" s="49">
        <v>51695</v>
      </c>
      <c r="AY3292" s="49">
        <v>51695</v>
      </c>
      <c r="AZ3292" s="49">
        <v>51695</v>
      </c>
      <c r="BA3292" s="49">
        <v>51695</v>
      </c>
    </row>
    <row r="3293" spans="23:53" ht="16.2" customHeight="1" x14ac:dyDescent="0.4">
      <c r="W3293" s="49">
        <v>51696</v>
      </c>
      <c r="X3293" s="49">
        <v>51696</v>
      </c>
      <c r="Y3293" s="49">
        <v>51696</v>
      </c>
      <c r="AY3293" s="49">
        <v>51696</v>
      </c>
      <c r="AZ3293" s="49">
        <v>51696</v>
      </c>
      <c r="BA3293" s="49">
        <v>51696</v>
      </c>
    </row>
    <row r="3294" spans="23:53" ht="16.2" customHeight="1" x14ac:dyDescent="0.4">
      <c r="W3294" s="49">
        <v>51702</v>
      </c>
      <c r="X3294" s="49">
        <v>51702</v>
      </c>
      <c r="Y3294" s="49">
        <v>51702</v>
      </c>
      <c r="AY3294" s="49">
        <v>51702</v>
      </c>
      <c r="AZ3294" s="49">
        <v>51702</v>
      </c>
      <c r="BA3294" s="49">
        <v>51702</v>
      </c>
    </row>
    <row r="3295" spans="23:53" ht="16.2" customHeight="1" x14ac:dyDescent="0.4">
      <c r="W3295" s="49">
        <v>51703</v>
      </c>
      <c r="X3295" s="49">
        <v>51703</v>
      </c>
      <c r="Y3295" s="49">
        <v>51703</v>
      </c>
      <c r="AY3295" s="49">
        <v>51703</v>
      </c>
      <c r="AZ3295" s="49">
        <v>51703</v>
      </c>
      <c r="BA3295" s="49">
        <v>51703</v>
      </c>
    </row>
    <row r="3296" spans="23:53" ht="16.2" customHeight="1" x14ac:dyDescent="0.4">
      <c r="W3296" s="49">
        <v>51709</v>
      </c>
      <c r="X3296" s="49">
        <v>51709</v>
      </c>
      <c r="Y3296" s="49">
        <v>51709</v>
      </c>
      <c r="AY3296" s="49">
        <v>51709</v>
      </c>
      <c r="AZ3296" s="49">
        <v>51709</v>
      </c>
      <c r="BA3296" s="49">
        <v>51709</v>
      </c>
    </row>
    <row r="3297" spans="23:53" ht="16.2" customHeight="1" x14ac:dyDescent="0.4">
      <c r="W3297" s="49">
        <v>51710</v>
      </c>
      <c r="X3297" s="49">
        <v>51710</v>
      </c>
      <c r="Y3297" s="49">
        <v>51710</v>
      </c>
      <c r="AY3297" s="49">
        <v>51710</v>
      </c>
      <c r="AZ3297" s="49">
        <v>51710</v>
      </c>
      <c r="BA3297" s="49">
        <v>51710</v>
      </c>
    </row>
    <row r="3298" spans="23:53" ht="16.2" customHeight="1" x14ac:dyDescent="0.4">
      <c r="W3298" s="49">
        <v>51716</v>
      </c>
      <c r="X3298" s="49">
        <v>51716</v>
      </c>
      <c r="Y3298" s="49">
        <v>51716</v>
      </c>
      <c r="AY3298" s="49">
        <v>51716</v>
      </c>
      <c r="AZ3298" s="49">
        <v>51716</v>
      </c>
      <c r="BA3298" s="49">
        <v>51716</v>
      </c>
    </row>
    <row r="3299" spans="23:53" ht="16.2" customHeight="1" x14ac:dyDescent="0.4">
      <c r="W3299" s="49">
        <v>51717</v>
      </c>
      <c r="X3299" s="49">
        <v>51717</v>
      </c>
      <c r="Y3299" s="49">
        <v>51717</v>
      </c>
      <c r="AY3299" s="49">
        <v>51717</v>
      </c>
      <c r="AZ3299" s="49">
        <v>51717</v>
      </c>
      <c r="BA3299" s="49">
        <v>51717</v>
      </c>
    </row>
    <row r="3300" spans="23:53" ht="16.2" customHeight="1" x14ac:dyDescent="0.4">
      <c r="W3300" s="49">
        <v>51723</v>
      </c>
      <c r="X3300" s="49">
        <v>51723</v>
      </c>
      <c r="Y3300" s="49">
        <v>51723</v>
      </c>
      <c r="AY3300" s="49">
        <v>51723</v>
      </c>
      <c r="AZ3300" s="49">
        <v>51723</v>
      </c>
      <c r="BA3300" s="49">
        <v>51723</v>
      </c>
    </row>
    <row r="3301" spans="23:53" ht="16.2" customHeight="1" x14ac:dyDescent="0.4">
      <c r="W3301" s="49">
        <v>51724</v>
      </c>
      <c r="X3301" s="49">
        <v>51724</v>
      </c>
      <c r="Y3301" s="49">
        <v>51724</v>
      </c>
      <c r="AY3301" s="49">
        <v>51724</v>
      </c>
      <c r="AZ3301" s="49">
        <v>51724</v>
      </c>
      <c r="BA3301" s="49">
        <v>51724</v>
      </c>
    </row>
    <row r="3302" spans="23:53" ht="16.2" customHeight="1" x14ac:dyDescent="0.4">
      <c r="W3302" s="49">
        <v>51728</v>
      </c>
      <c r="X3302" s="49">
        <v>51728</v>
      </c>
      <c r="Y3302" s="49">
        <v>51728</v>
      </c>
      <c r="AY3302" s="49">
        <v>51728</v>
      </c>
      <c r="AZ3302" s="49">
        <v>51728</v>
      </c>
      <c r="BA3302" s="49">
        <v>51728</v>
      </c>
    </row>
    <row r="3303" spans="23:53" ht="16.2" customHeight="1" x14ac:dyDescent="0.4">
      <c r="W3303" s="49">
        <v>51730</v>
      </c>
      <c r="X3303" s="49">
        <v>51730</v>
      </c>
      <c r="Y3303" s="49">
        <v>51730</v>
      </c>
      <c r="AY3303" s="49">
        <v>51730</v>
      </c>
      <c r="AZ3303" s="49">
        <v>51730</v>
      </c>
      <c r="BA3303" s="49">
        <v>51730</v>
      </c>
    </row>
    <row r="3304" spans="23:53" ht="16.2" customHeight="1" x14ac:dyDescent="0.4">
      <c r="W3304" s="49">
        <v>51731</v>
      </c>
      <c r="X3304" s="49">
        <v>51731</v>
      </c>
      <c r="Y3304" s="49">
        <v>51731</v>
      </c>
      <c r="AY3304" s="49">
        <v>51731</v>
      </c>
      <c r="AZ3304" s="49">
        <v>51731</v>
      </c>
      <c r="BA3304" s="49">
        <v>51731</v>
      </c>
    </row>
    <row r="3305" spans="23:53" ht="16.2" customHeight="1" x14ac:dyDescent="0.4">
      <c r="W3305" s="49">
        <v>51737</v>
      </c>
      <c r="X3305" s="49">
        <v>51737</v>
      </c>
      <c r="Y3305" s="49">
        <v>51737</v>
      </c>
      <c r="AY3305" s="49">
        <v>51737</v>
      </c>
      <c r="AZ3305" s="49">
        <v>51737</v>
      </c>
      <c r="BA3305" s="49">
        <v>51737</v>
      </c>
    </row>
    <row r="3306" spans="23:53" ht="16.2" customHeight="1" x14ac:dyDescent="0.4">
      <c r="W3306" s="49">
        <v>51738</v>
      </c>
      <c r="X3306" s="49">
        <v>51738</v>
      </c>
      <c r="Y3306" s="49">
        <v>51738</v>
      </c>
      <c r="AY3306" s="49">
        <v>51738</v>
      </c>
      <c r="AZ3306" s="49">
        <v>51738</v>
      </c>
      <c r="BA3306" s="49">
        <v>51738</v>
      </c>
    </row>
    <row r="3307" spans="23:53" ht="16.2" customHeight="1" x14ac:dyDescent="0.4">
      <c r="W3307" s="49">
        <v>51744</v>
      </c>
      <c r="X3307" s="49">
        <v>51744</v>
      </c>
      <c r="Y3307" s="49">
        <v>51744</v>
      </c>
      <c r="AY3307" s="49">
        <v>51744</v>
      </c>
      <c r="AZ3307" s="49">
        <v>51744</v>
      </c>
      <c r="BA3307" s="49">
        <v>51744</v>
      </c>
    </row>
    <row r="3308" spans="23:53" ht="16.2" customHeight="1" x14ac:dyDescent="0.4">
      <c r="W3308" s="49">
        <v>51745</v>
      </c>
      <c r="X3308" s="49">
        <v>51745</v>
      </c>
      <c r="Y3308" s="49">
        <v>51745</v>
      </c>
      <c r="AY3308" s="49">
        <v>51745</v>
      </c>
      <c r="AZ3308" s="49">
        <v>51745</v>
      </c>
      <c r="BA3308" s="49">
        <v>51745</v>
      </c>
    </row>
    <row r="3309" spans="23:53" ht="16.2" customHeight="1" x14ac:dyDescent="0.4">
      <c r="W3309" s="49">
        <v>51751</v>
      </c>
      <c r="X3309" s="49">
        <v>51751</v>
      </c>
      <c r="Y3309" s="49">
        <v>51751</v>
      </c>
      <c r="AY3309" s="49">
        <v>51751</v>
      </c>
      <c r="AZ3309" s="49">
        <v>51751</v>
      </c>
      <c r="BA3309" s="49">
        <v>51751</v>
      </c>
    </row>
    <row r="3310" spans="23:53" ht="16.2" customHeight="1" x14ac:dyDescent="0.4">
      <c r="W3310" s="49">
        <v>51752</v>
      </c>
      <c r="X3310" s="49">
        <v>51752</v>
      </c>
      <c r="Y3310" s="49">
        <v>51752</v>
      </c>
      <c r="AY3310" s="49">
        <v>51752</v>
      </c>
      <c r="AZ3310" s="49">
        <v>51752</v>
      </c>
      <c r="BA3310" s="49">
        <v>51752</v>
      </c>
    </row>
    <row r="3311" spans="23:53" ht="16.2" customHeight="1" x14ac:dyDescent="0.4">
      <c r="W3311" s="49">
        <v>51753</v>
      </c>
      <c r="X3311" s="49">
        <v>51753</v>
      </c>
      <c r="Y3311" s="49">
        <v>51753</v>
      </c>
      <c r="AY3311" s="49">
        <v>51753</v>
      </c>
      <c r="AZ3311" s="49">
        <v>51753</v>
      </c>
      <c r="BA3311" s="49">
        <v>51753</v>
      </c>
    </row>
    <row r="3312" spans="23:53" ht="16.2" customHeight="1" x14ac:dyDescent="0.4">
      <c r="W3312" s="49">
        <v>51754</v>
      </c>
      <c r="X3312" s="49">
        <v>51754</v>
      </c>
      <c r="Y3312" s="49">
        <v>51754</v>
      </c>
      <c r="AY3312" s="49">
        <v>51754</v>
      </c>
      <c r="AZ3312" s="49">
        <v>51754</v>
      </c>
      <c r="BA3312" s="49">
        <v>51754</v>
      </c>
    </row>
    <row r="3313" spans="23:53" ht="16.2" customHeight="1" x14ac:dyDescent="0.4">
      <c r="W3313" s="49">
        <v>51755</v>
      </c>
      <c r="X3313" s="49">
        <v>51755</v>
      </c>
      <c r="Y3313" s="49">
        <v>51755</v>
      </c>
      <c r="AY3313" s="49">
        <v>51755</v>
      </c>
      <c r="AZ3313" s="49">
        <v>51755</v>
      </c>
      <c r="BA3313" s="49">
        <v>51755</v>
      </c>
    </row>
    <row r="3314" spans="23:53" ht="16.2" customHeight="1" x14ac:dyDescent="0.4">
      <c r="W3314" s="49">
        <v>51758</v>
      </c>
      <c r="X3314" s="49">
        <v>51758</v>
      </c>
      <c r="Y3314" s="49">
        <v>51758</v>
      </c>
      <c r="AY3314" s="49">
        <v>51758</v>
      </c>
      <c r="AZ3314" s="49">
        <v>51758</v>
      </c>
      <c r="BA3314" s="49">
        <v>51758</v>
      </c>
    </row>
    <row r="3315" spans="23:53" ht="16.2" customHeight="1" x14ac:dyDescent="0.4">
      <c r="W3315" s="49">
        <v>51759</v>
      </c>
      <c r="X3315" s="49">
        <v>51759</v>
      </c>
      <c r="Y3315" s="49">
        <v>51759</v>
      </c>
      <c r="AY3315" s="49">
        <v>51759</v>
      </c>
      <c r="AZ3315" s="49">
        <v>51759</v>
      </c>
      <c r="BA3315" s="49">
        <v>51759</v>
      </c>
    </row>
    <row r="3316" spans="23:53" ht="16.2" customHeight="1" x14ac:dyDescent="0.4">
      <c r="W3316" s="49">
        <v>51765</v>
      </c>
      <c r="X3316" s="49">
        <v>51765</v>
      </c>
      <c r="Y3316" s="49">
        <v>51765</v>
      </c>
      <c r="AY3316" s="49">
        <v>51765</v>
      </c>
      <c r="AZ3316" s="49">
        <v>51765</v>
      </c>
      <c r="BA3316" s="49">
        <v>51765</v>
      </c>
    </row>
    <row r="3317" spans="23:53" ht="16.2" customHeight="1" x14ac:dyDescent="0.4">
      <c r="W3317" s="49">
        <v>51766</v>
      </c>
      <c r="X3317" s="49">
        <v>51766</v>
      </c>
      <c r="Y3317" s="49">
        <v>51766</v>
      </c>
      <c r="AY3317" s="49">
        <v>51766</v>
      </c>
      <c r="AZ3317" s="49">
        <v>51766</v>
      </c>
      <c r="BA3317" s="49">
        <v>51766</v>
      </c>
    </row>
    <row r="3318" spans="23:53" ht="16.2" customHeight="1" x14ac:dyDescent="0.4">
      <c r="W3318" s="49">
        <v>51772</v>
      </c>
      <c r="X3318" s="49">
        <v>51772</v>
      </c>
      <c r="Y3318" s="49">
        <v>51772</v>
      </c>
      <c r="AY3318" s="49">
        <v>51772</v>
      </c>
      <c r="AZ3318" s="49">
        <v>51772</v>
      </c>
      <c r="BA3318" s="49">
        <v>51772</v>
      </c>
    </row>
    <row r="3319" spans="23:53" ht="16.2" customHeight="1" x14ac:dyDescent="0.4">
      <c r="W3319" s="49">
        <v>51773</v>
      </c>
      <c r="X3319" s="49">
        <v>51773</v>
      </c>
      <c r="Y3319" s="49">
        <v>51773</v>
      </c>
      <c r="AY3319" s="49">
        <v>51773</v>
      </c>
      <c r="AZ3319" s="49">
        <v>51773</v>
      </c>
      <c r="BA3319" s="49">
        <v>51773</v>
      </c>
    </row>
    <row r="3320" spans="23:53" ht="16.2" customHeight="1" x14ac:dyDescent="0.4">
      <c r="W3320" s="49">
        <v>51777</v>
      </c>
      <c r="X3320" s="49">
        <v>51777</v>
      </c>
      <c r="Y3320" s="49">
        <v>51777</v>
      </c>
      <c r="AY3320" s="49">
        <v>51777</v>
      </c>
      <c r="AZ3320" s="49">
        <v>51777</v>
      </c>
      <c r="BA3320" s="49">
        <v>51777</v>
      </c>
    </row>
    <row r="3321" spans="23:53" ht="16.2" customHeight="1" x14ac:dyDescent="0.4">
      <c r="W3321" s="49">
        <v>51779</v>
      </c>
      <c r="X3321" s="49">
        <v>51779</v>
      </c>
      <c r="Y3321" s="49">
        <v>51779</v>
      </c>
      <c r="AY3321" s="49">
        <v>51779</v>
      </c>
      <c r="AZ3321" s="49">
        <v>51779</v>
      </c>
      <c r="BA3321" s="49">
        <v>51779</v>
      </c>
    </row>
    <row r="3322" spans="23:53" ht="16.2" customHeight="1" x14ac:dyDescent="0.4">
      <c r="W3322" s="49">
        <v>51780</v>
      </c>
      <c r="X3322" s="49">
        <v>51780</v>
      </c>
      <c r="Y3322" s="49">
        <v>51780</v>
      </c>
      <c r="AY3322" s="49">
        <v>51780</v>
      </c>
      <c r="AZ3322" s="49">
        <v>51780</v>
      </c>
      <c r="BA3322" s="49">
        <v>51780</v>
      </c>
    </row>
    <row r="3323" spans="23:53" ht="16.2" customHeight="1" x14ac:dyDescent="0.4">
      <c r="W3323" s="49">
        <v>51783</v>
      </c>
      <c r="X3323" s="49">
        <v>51783</v>
      </c>
      <c r="Y3323" s="49">
        <v>51783</v>
      </c>
      <c r="AY3323" s="49">
        <v>51783</v>
      </c>
      <c r="AZ3323" s="49">
        <v>51783</v>
      </c>
      <c r="BA3323" s="49">
        <v>51783</v>
      </c>
    </row>
    <row r="3324" spans="23:53" ht="16.2" customHeight="1" x14ac:dyDescent="0.4">
      <c r="W3324" s="49">
        <v>51786</v>
      </c>
      <c r="X3324" s="49">
        <v>51786</v>
      </c>
      <c r="Y3324" s="49">
        <v>51786</v>
      </c>
      <c r="AY3324" s="49">
        <v>51786</v>
      </c>
      <c r="AZ3324" s="49">
        <v>51786</v>
      </c>
      <c r="BA3324" s="49">
        <v>51786</v>
      </c>
    </row>
    <row r="3325" spans="23:53" ht="16.2" customHeight="1" x14ac:dyDescent="0.4">
      <c r="W3325" s="49">
        <v>51787</v>
      </c>
      <c r="X3325" s="49">
        <v>51787</v>
      </c>
      <c r="Y3325" s="49">
        <v>51787</v>
      </c>
      <c r="AY3325" s="49">
        <v>51787</v>
      </c>
      <c r="AZ3325" s="49">
        <v>51787</v>
      </c>
      <c r="BA3325" s="49">
        <v>51787</v>
      </c>
    </row>
    <row r="3326" spans="23:53" ht="16.2" customHeight="1" x14ac:dyDescent="0.4">
      <c r="W3326" s="49">
        <v>51793</v>
      </c>
      <c r="X3326" s="49">
        <v>51793</v>
      </c>
      <c r="Y3326" s="49">
        <v>51793</v>
      </c>
      <c r="AY3326" s="49">
        <v>51793</v>
      </c>
      <c r="AZ3326" s="49">
        <v>51793</v>
      </c>
      <c r="BA3326" s="49">
        <v>51793</v>
      </c>
    </row>
    <row r="3327" spans="23:53" ht="16.2" customHeight="1" x14ac:dyDescent="0.4">
      <c r="W3327" s="49">
        <v>51794</v>
      </c>
      <c r="X3327" s="49">
        <v>51794</v>
      </c>
      <c r="Y3327" s="49">
        <v>51794</v>
      </c>
      <c r="AY3327" s="49">
        <v>51794</v>
      </c>
      <c r="AZ3327" s="49">
        <v>51794</v>
      </c>
      <c r="BA3327" s="49">
        <v>51794</v>
      </c>
    </row>
    <row r="3328" spans="23:53" ht="16.2" customHeight="1" x14ac:dyDescent="0.4">
      <c r="W3328" s="49">
        <v>51800</v>
      </c>
      <c r="X3328" s="49">
        <v>51800</v>
      </c>
      <c r="Y3328" s="49">
        <v>51800</v>
      </c>
      <c r="AY3328" s="49">
        <v>51800</v>
      </c>
      <c r="AZ3328" s="49">
        <v>51800</v>
      </c>
      <c r="BA3328" s="49">
        <v>51800</v>
      </c>
    </row>
    <row r="3329" spans="23:53" ht="16.2" customHeight="1" x14ac:dyDescent="0.4">
      <c r="W3329" s="49">
        <v>51801</v>
      </c>
      <c r="X3329" s="49">
        <v>51801</v>
      </c>
      <c r="Y3329" s="49">
        <v>51801</v>
      </c>
      <c r="AY3329" s="49">
        <v>51801</v>
      </c>
      <c r="AZ3329" s="49">
        <v>51801</v>
      </c>
      <c r="BA3329" s="49">
        <v>51801</v>
      </c>
    </row>
    <row r="3330" spans="23:53" ht="16.2" customHeight="1" x14ac:dyDescent="0.4">
      <c r="W3330" s="49">
        <v>51807</v>
      </c>
      <c r="X3330" s="49">
        <v>51807</v>
      </c>
      <c r="Y3330" s="49">
        <v>51807</v>
      </c>
      <c r="AY3330" s="49">
        <v>51807</v>
      </c>
      <c r="AZ3330" s="49">
        <v>51807</v>
      </c>
      <c r="BA3330" s="49">
        <v>51807</v>
      </c>
    </row>
    <row r="3331" spans="23:53" ht="16.2" customHeight="1" x14ac:dyDescent="0.4">
      <c r="W3331" s="49">
        <v>51808</v>
      </c>
      <c r="X3331" s="49">
        <v>51808</v>
      </c>
      <c r="Y3331" s="49">
        <v>51808</v>
      </c>
      <c r="AY3331" s="49">
        <v>51808</v>
      </c>
      <c r="AZ3331" s="49">
        <v>51808</v>
      </c>
      <c r="BA3331" s="49">
        <v>51808</v>
      </c>
    </row>
    <row r="3332" spans="23:53" ht="16.2" customHeight="1" x14ac:dyDescent="0.4">
      <c r="W3332" s="49">
        <v>51814</v>
      </c>
      <c r="X3332" s="49">
        <v>51814</v>
      </c>
      <c r="Y3332" s="49">
        <v>51814</v>
      </c>
      <c r="AY3332" s="49">
        <v>51814</v>
      </c>
      <c r="AZ3332" s="49">
        <v>51814</v>
      </c>
      <c r="BA3332" s="49">
        <v>51814</v>
      </c>
    </row>
    <row r="3333" spans="23:53" ht="16.2" customHeight="1" x14ac:dyDescent="0.4">
      <c r="W3333" s="49">
        <v>51815</v>
      </c>
      <c r="X3333" s="49">
        <v>51815</v>
      </c>
      <c r="Y3333" s="49">
        <v>51815</v>
      </c>
      <c r="AY3333" s="49">
        <v>51815</v>
      </c>
      <c r="AZ3333" s="49">
        <v>51815</v>
      </c>
      <c r="BA3333" s="49">
        <v>51815</v>
      </c>
    </row>
    <row r="3334" spans="23:53" ht="16.2" customHeight="1" x14ac:dyDescent="0.4">
      <c r="W3334" s="49">
        <v>51821</v>
      </c>
      <c r="X3334" s="49">
        <v>51821</v>
      </c>
      <c r="Y3334" s="49">
        <v>51821</v>
      </c>
      <c r="AY3334" s="49">
        <v>51821</v>
      </c>
      <c r="AZ3334" s="49">
        <v>51821</v>
      </c>
      <c r="BA3334" s="49">
        <v>51821</v>
      </c>
    </row>
    <row r="3335" spans="23:53" ht="16.2" customHeight="1" x14ac:dyDescent="0.4">
      <c r="W3335" s="49">
        <v>51822</v>
      </c>
      <c r="X3335" s="49">
        <v>51822</v>
      </c>
      <c r="Y3335" s="49">
        <v>51822</v>
      </c>
      <c r="AY3335" s="49">
        <v>51822</v>
      </c>
      <c r="AZ3335" s="49">
        <v>51822</v>
      </c>
      <c r="BA3335" s="49">
        <v>51822</v>
      </c>
    </row>
    <row r="3336" spans="23:53" ht="16.2" customHeight="1" x14ac:dyDescent="0.4">
      <c r="W3336" s="49">
        <v>51828</v>
      </c>
      <c r="X3336" s="49">
        <v>51828</v>
      </c>
      <c r="Y3336" s="49">
        <v>51828</v>
      </c>
      <c r="AY3336" s="49">
        <v>51828</v>
      </c>
      <c r="AZ3336" s="49">
        <v>51828</v>
      </c>
      <c r="BA3336" s="49">
        <v>51828</v>
      </c>
    </row>
    <row r="3337" spans="23:53" ht="16.2" customHeight="1" x14ac:dyDescent="0.4">
      <c r="W3337" s="49">
        <v>51829</v>
      </c>
      <c r="X3337" s="49">
        <v>51829</v>
      </c>
      <c r="Y3337" s="49">
        <v>51829</v>
      </c>
      <c r="AY3337" s="49">
        <v>51829</v>
      </c>
      <c r="AZ3337" s="49">
        <v>51829</v>
      </c>
      <c r="BA3337" s="49">
        <v>51829</v>
      </c>
    </row>
    <row r="3338" spans="23:53" ht="16.2" customHeight="1" x14ac:dyDescent="0.4">
      <c r="W3338" s="49">
        <v>51835</v>
      </c>
      <c r="X3338" s="49">
        <v>51835</v>
      </c>
      <c r="Y3338" s="49">
        <v>51835</v>
      </c>
      <c r="AY3338" s="49">
        <v>51835</v>
      </c>
      <c r="AZ3338" s="49">
        <v>51835</v>
      </c>
      <c r="BA3338" s="49">
        <v>51835</v>
      </c>
    </row>
    <row r="3339" spans="23:53" ht="16.2" customHeight="1" x14ac:dyDescent="0.4">
      <c r="W3339" s="49">
        <v>51836</v>
      </c>
      <c r="X3339" s="49">
        <v>51836</v>
      </c>
      <c r="Y3339" s="49">
        <v>51836</v>
      </c>
      <c r="AY3339" s="49">
        <v>51836</v>
      </c>
      <c r="AZ3339" s="49">
        <v>51836</v>
      </c>
      <c r="BA3339" s="49">
        <v>51836</v>
      </c>
    </row>
    <row r="3340" spans="23:53" ht="16.2" customHeight="1" x14ac:dyDescent="0.4">
      <c r="W3340" s="49">
        <v>51842</v>
      </c>
      <c r="X3340" s="49">
        <v>51842</v>
      </c>
      <c r="Y3340" s="49">
        <v>51842</v>
      </c>
      <c r="AY3340" s="49">
        <v>51842</v>
      </c>
      <c r="AZ3340" s="49">
        <v>51842</v>
      </c>
      <c r="BA3340" s="49">
        <v>51842</v>
      </c>
    </row>
    <row r="3341" spans="23:53" ht="16.2" customHeight="1" x14ac:dyDescent="0.4">
      <c r="W3341" s="49">
        <v>51843</v>
      </c>
      <c r="X3341" s="49">
        <v>51843</v>
      </c>
      <c r="Y3341" s="49">
        <v>51843</v>
      </c>
      <c r="AY3341" s="49">
        <v>51843</v>
      </c>
      <c r="AZ3341" s="49">
        <v>51843</v>
      </c>
      <c r="BA3341" s="49">
        <v>51843</v>
      </c>
    </row>
    <row r="3342" spans="23:53" ht="16.2" customHeight="1" x14ac:dyDescent="0.4">
      <c r="W3342" s="49">
        <v>51849</v>
      </c>
      <c r="X3342" s="49">
        <v>51849</v>
      </c>
      <c r="Y3342" s="49">
        <v>51849</v>
      </c>
      <c r="AY3342" s="49">
        <v>51849</v>
      </c>
      <c r="AZ3342" s="49">
        <v>51849</v>
      </c>
      <c r="BA3342" s="49">
        <v>51849</v>
      </c>
    </row>
    <row r="3343" spans="23:53" ht="16.2" customHeight="1" x14ac:dyDescent="0.4">
      <c r="W3343" s="49">
        <v>51850</v>
      </c>
      <c r="X3343" s="49">
        <v>51850</v>
      </c>
      <c r="Y3343" s="49">
        <v>51850</v>
      </c>
      <c r="AY3343" s="49">
        <v>51850</v>
      </c>
      <c r="AZ3343" s="49">
        <v>51850</v>
      </c>
      <c r="BA3343" s="49">
        <v>51850</v>
      </c>
    </row>
    <row r="3344" spans="23:53" ht="16.2" customHeight="1" x14ac:dyDescent="0.4">
      <c r="W3344" s="49">
        <v>51856</v>
      </c>
      <c r="X3344" s="49">
        <v>51856</v>
      </c>
      <c r="Y3344" s="49">
        <v>51856</v>
      </c>
      <c r="AY3344" s="49">
        <v>51856</v>
      </c>
      <c r="AZ3344" s="49">
        <v>51856</v>
      </c>
      <c r="BA3344" s="49">
        <v>51856</v>
      </c>
    </row>
    <row r="3345" spans="23:53" ht="16.2" customHeight="1" x14ac:dyDescent="0.4">
      <c r="W3345" s="49">
        <v>51857</v>
      </c>
      <c r="X3345" s="49">
        <v>51857</v>
      </c>
      <c r="Y3345" s="49">
        <v>51857</v>
      </c>
      <c r="AY3345" s="49">
        <v>51857</v>
      </c>
      <c r="AZ3345" s="49">
        <v>51857</v>
      </c>
      <c r="BA3345" s="49">
        <v>51857</v>
      </c>
    </row>
    <row r="3346" spans="23:53" ht="16.2" customHeight="1" x14ac:dyDescent="0.4">
      <c r="W3346" s="49">
        <v>51860</v>
      </c>
      <c r="X3346" s="49">
        <v>51860</v>
      </c>
      <c r="Y3346" s="49">
        <v>51860</v>
      </c>
      <c r="AY3346" s="49">
        <v>51860</v>
      </c>
      <c r="AZ3346" s="49">
        <v>51860</v>
      </c>
      <c r="BA3346" s="49">
        <v>51860</v>
      </c>
    </row>
    <row r="3347" spans="23:53" ht="16.2" customHeight="1" x14ac:dyDescent="0.4">
      <c r="W3347" s="49">
        <v>51863</v>
      </c>
      <c r="X3347" s="49">
        <v>51863</v>
      </c>
      <c r="Y3347" s="49">
        <v>51863</v>
      </c>
      <c r="AY3347" s="49">
        <v>51863</v>
      </c>
      <c r="AZ3347" s="49">
        <v>51863</v>
      </c>
      <c r="BA3347" s="49">
        <v>51863</v>
      </c>
    </row>
    <row r="3348" spans="23:53" ht="16.2" customHeight="1" x14ac:dyDescent="0.4">
      <c r="W3348" s="49">
        <v>51864</v>
      </c>
      <c r="X3348" s="49">
        <v>51864</v>
      </c>
      <c r="Y3348" s="49">
        <v>51864</v>
      </c>
      <c r="AY3348" s="49">
        <v>51864</v>
      </c>
      <c r="AZ3348" s="49">
        <v>51864</v>
      </c>
      <c r="BA3348" s="49">
        <v>51864</v>
      </c>
    </row>
    <row r="3349" spans="23:53" ht="16.2" customHeight="1" x14ac:dyDescent="0.4">
      <c r="W3349" s="49">
        <v>51867</v>
      </c>
      <c r="X3349" s="49">
        <v>51867</v>
      </c>
      <c r="Y3349" s="49">
        <v>51867</v>
      </c>
      <c r="AY3349" s="49">
        <v>51867</v>
      </c>
      <c r="AZ3349" s="49">
        <v>51867</v>
      </c>
      <c r="BA3349" s="49">
        <v>51867</v>
      </c>
    </row>
    <row r="3350" spans="23:53" ht="16.2" customHeight="1" x14ac:dyDescent="0.4">
      <c r="W3350" s="49">
        <v>51870</v>
      </c>
      <c r="X3350" s="49">
        <v>51870</v>
      </c>
      <c r="Y3350" s="49">
        <v>51870</v>
      </c>
      <c r="AY3350" s="49">
        <v>51870</v>
      </c>
      <c r="AZ3350" s="49">
        <v>51870</v>
      </c>
      <c r="BA3350" s="49">
        <v>51870</v>
      </c>
    </row>
    <row r="3351" spans="23:53" ht="16.2" customHeight="1" x14ac:dyDescent="0.4">
      <c r="W3351" s="49">
        <v>51871</v>
      </c>
      <c r="X3351" s="49">
        <v>51871</v>
      </c>
      <c r="Y3351" s="49">
        <v>51871</v>
      </c>
      <c r="AY3351" s="49">
        <v>51871</v>
      </c>
      <c r="AZ3351" s="49">
        <v>51871</v>
      </c>
      <c r="BA3351" s="49">
        <v>51871</v>
      </c>
    </row>
    <row r="3352" spans="23:53" ht="16.2" customHeight="1" x14ac:dyDescent="0.4">
      <c r="W3352" s="49">
        <v>51877</v>
      </c>
      <c r="X3352" s="49">
        <v>51877</v>
      </c>
      <c r="Y3352" s="49">
        <v>51877</v>
      </c>
      <c r="AY3352" s="49">
        <v>51877</v>
      </c>
      <c r="AZ3352" s="49">
        <v>51877</v>
      </c>
      <c r="BA3352" s="49">
        <v>51877</v>
      </c>
    </row>
    <row r="3353" spans="23:53" ht="16.2" customHeight="1" x14ac:dyDescent="0.4">
      <c r="W3353" s="49">
        <v>51878</v>
      </c>
      <c r="X3353" s="49">
        <v>51878</v>
      </c>
      <c r="Y3353" s="49">
        <v>51878</v>
      </c>
      <c r="AY3353" s="49">
        <v>51878</v>
      </c>
      <c r="AZ3353" s="49">
        <v>51878</v>
      </c>
      <c r="BA3353" s="49">
        <v>51878</v>
      </c>
    </row>
    <row r="3354" spans="23:53" ht="16.2" customHeight="1" x14ac:dyDescent="0.4">
      <c r="W3354" s="49">
        <v>51884</v>
      </c>
      <c r="X3354" s="49">
        <v>51884</v>
      </c>
      <c r="Y3354" s="49">
        <v>51884</v>
      </c>
      <c r="AY3354" s="49">
        <v>51884</v>
      </c>
      <c r="AZ3354" s="49">
        <v>51884</v>
      </c>
      <c r="BA3354" s="49">
        <v>51884</v>
      </c>
    </row>
    <row r="3355" spans="23:53" ht="16.2" customHeight="1" x14ac:dyDescent="0.4">
      <c r="W3355" s="49">
        <v>51885</v>
      </c>
      <c r="X3355" s="49">
        <v>51885</v>
      </c>
      <c r="Y3355" s="49">
        <v>51885</v>
      </c>
      <c r="AY3355" s="49">
        <v>51885</v>
      </c>
      <c r="AZ3355" s="49">
        <v>51885</v>
      </c>
      <c r="BA3355" s="49">
        <v>51885</v>
      </c>
    </row>
    <row r="3356" spans="23:53" ht="16.2" customHeight="1" x14ac:dyDescent="0.4">
      <c r="W3356" s="49">
        <v>51887</v>
      </c>
      <c r="X3356" s="49">
        <v>51887</v>
      </c>
      <c r="Y3356" s="49">
        <v>51887</v>
      </c>
      <c r="AY3356" s="49">
        <v>51887</v>
      </c>
      <c r="AZ3356" s="49">
        <v>51887</v>
      </c>
      <c r="BA3356" s="49">
        <v>51887</v>
      </c>
    </row>
    <row r="3357" spans="23:53" ht="16.2" customHeight="1" x14ac:dyDescent="0.4">
      <c r="W3357" s="49">
        <v>51888</v>
      </c>
      <c r="X3357" s="49">
        <v>51888</v>
      </c>
      <c r="Y3357" s="49">
        <v>51888</v>
      </c>
      <c r="AY3357" s="49">
        <v>51888</v>
      </c>
      <c r="AZ3357" s="49">
        <v>51888</v>
      </c>
      <c r="BA3357" s="49">
        <v>51888</v>
      </c>
    </row>
    <row r="3358" spans="23:53" ht="16.2" customHeight="1" x14ac:dyDescent="0.4">
      <c r="W3358" s="49">
        <v>51889</v>
      </c>
      <c r="X3358" s="49">
        <v>51889</v>
      </c>
      <c r="Y3358" s="49">
        <v>51889</v>
      </c>
      <c r="AY3358" s="49">
        <v>51889</v>
      </c>
      <c r="AZ3358" s="49">
        <v>51889</v>
      </c>
      <c r="BA3358" s="49">
        <v>51889</v>
      </c>
    </row>
    <row r="3359" spans="23:53" ht="16.2" customHeight="1" x14ac:dyDescent="0.4">
      <c r="W3359" s="49">
        <v>51891</v>
      </c>
      <c r="X3359" s="49">
        <v>51891</v>
      </c>
      <c r="Y3359" s="49">
        <v>51891</v>
      </c>
      <c r="AY3359" s="49">
        <v>51891</v>
      </c>
      <c r="AZ3359" s="49">
        <v>51891</v>
      </c>
      <c r="BA3359" s="49">
        <v>51891</v>
      </c>
    </row>
    <row r="3360" spans="23:53" ht="16.2" customHeight="1" x14ac:dyDescent="0.4">
      <c r="W3360" s="49">
        <v>51892</v>
      </c>
      <c r="X3360" s="49">
        <v>51892</v>
      </c>
      <c r="Y3360" s="49">
        <v>51892</v>
      </c>
      <c r="AY3360" s="49">
        <v>51892</v>
      </c>
      <c r="AZ3360" s="49">
        <v>51892</v>
      </c>
      <c r="BA3360" s="49">
        <v>51892</v>
      </c>
    </row>
    <row r="3361" spans="23:53" ht="16.2" customHeight="1" x14ac:dyDescent="0.4">
      <c r="W3361" s="49">
        <v>51898</v>
      </c>
      <c r="X3361" s="49">
        <v>51898</v>
      </c>
      <c r="Y3361" s="49">
        <v>51898</v>
      </c>
      <c r="AY3361" s="49">
        <v>51898</v>
      </c>
      <c r="AZ3361" s="49">
        <v>51898</v>
      </c>
      <c r="BA3361" s="49">
        <v>51898</v>
      </c>
    </row>
    <row r="3362" spans="23:53" ht="16.2" customHeight="1" x14ac:dyDescent="0.4">
      <c r="W3362" s="49">
        <v>51899</v>
      </c>
      <c r="X3362" s="49">
        <v>51899</v>
      </c>
      <c r="Y3362" s="49">
        <v>51899</v>
      </c>
      <c r="AY3362" s="49">
        <v>51899</v>
      </c>
      <c r="AZ3362" s="49">
        <v>51899</v>
      </c>
      <c r="BA3362" s="49">
        <v>51899</v>
      </c>
    </row>
    <row r="3363" spans="23:53" ht="16.2" customHeight="1" x14ac:dyDescent="0.4">
      <c r="W3363" s="49">
        <v>51905</v>
      </c>
      <c r="X3363" s="49">
        <v>51905</v>
      </c>
      <c r="Y3363" s="49">
        <v>51905</v>
      </c>
      <c r="AY3363" s="49">
        <v>51905</v>
      </c>
      <c r="AZ3363" s="49">
        <v>51905</v>
      </c>
      <c r="BA3363" s="49">
        <v>51905</v>
      </c>
    </row>
    <row r="3364" spans="23:53" ht="16.2" customHeight="1" x14ac:dyDescent="0.4">
      <c r="W3364" s="49">
        <v>51906</v>
      </c>
      <c r="X3364" s="49">
        <v>51906</v>
      </c>
      <c r="Y3364" s="49">
        <v>51906</v>
      </c>
      <c r="AY3364" s="49">
        <v>51906</v>
      </c>
      <c r="AZ3364" s="49">
        <v>51906</v>
      </c>
      <c r="BA3364" s="49">
        <v>51906</v>
      </c>
    </row>
    <row r="3365" spans="23:53" ht="16.2" customHeight="1" x14ac:dyDescent="0.4">
      <c r="W3365" s="49">
        <v>51912</v>
      </c>
      <c r="X3365" s="49">
        <v>51912</v>
      </c>
      <c r="Y3365" s="49">
        <v>51912</v>
      </c>
      <c r="AY3365" s="49">
        <v>51912</v>
      </c>
      <c r="AZ3365" s="49">
        <v>51912</v>
      </c>
      <c r="BA3365" s="49">
        <v>51912</v>
      </c>
    </row>
    <row r="3366" spans="23:53" ht="16.2" customHeight="1" x14ac:dyDescent="0.4">
      <c r="W3366" s="49">
        <v>51913</v>
      </c>
      <c r="X3366" s="49">
        <v>51913</v>
      </c>
      <c r="Y3366" s="49">
        <v>51913</v>
      </c>
      <c r="AY3366" s="49">
        <v>51913</v>
      </c>
      <c r="AZ3366" s="49">
        <v>51913</v>
      </c>
      <c r="BA3366" s="49">
        <v>51913</v>
      </c>
    </row>
    <row r="3367" spans="23:53" ht="16.2" customHeight="1" x14ac:dyDescent="0.4">
      <c r="W3367" s="49">
        <v>51919</v>
      </c>
      <c r="X3367" s="49">
        <v>51919</v>
      </c>
      <c r="Y3367" s="49">
        <v>51919</v>
      </c>
      <c r="AY3367" s="49">
        <v>51919</v>
      </c>
      <c r="AZ3367" s="49">
        <v>51919</v>
      </c>
      <c r="BA3367" s="49">
        <v>51919</v>
      </c>
    </row>
    <row r="3368" spans="23:53" ht="16.2" customHeight="1" x14ac:dyDescent="0.4">
      <c r="W3368" s="49">
        <v>51920</v>
      </c>
      <c r="X3368" s="49">
        <v>51920</v>
      </c>
      <c r="Y3368" s="49">
        <v>51920</v>
      </c>
      <c r="AY3368" s="49">
        <v>51920</v>
      </c>
      <c r="AZ3368" s="49">
        <v>51920</v>
      </c>
      <c r="BA3368" s="49">
        <v>51920</v>
      </c>
    </row>
    <row r="3369" spans="23:53" ht="16.2" customHeight="1" x14ac:dyDescent="0.4">
      <c r="W3369" s="49">
        <v>51927</v>
      </c>
      <c r="X3369" s="49">
        <v>51927</v>
      </c>
      <c r="Y3369" s="49">
        <v>51927</v>
      </c>
      <c r="AY3369" s="49">
        <v>51927</v>
      </c>
      <c r="AZ3369" s="49">
        <v>51927</v>
      </c>
      <c r="BA3369" s="49">
        <v>51927</v>
      </c>
    </row>
    <row r="3370" spans="23:53" ht="16.2" customHeight="1" x14ac:dyDescent="0.4">
      <c r="W3370" s="49">
        <v>51933</v>
      </c>
      <c r="X3370" s="49">
        <v>51933</v>
      </c>
      <c r="Y3370" s="49">
        <v>51933</v>
      </c>
      <c r="AY3370" s="49">
        <v>51933</v>
      </c>
      <c r="AZ3370" s="49">
        <v>51933</v>
      </c>
      <c r="BA3370" s="49">
        <v>51933</v>
      </c>
    </row>
    <row r="3371" spans="23:53" ht="16.2" customHeight="1" x14ac:dyDescent="0.4">
      <c r="W3371" s="49">
        <v>51934</v>
      </c>
      <c r="X3371" s="49">
        <v>51934</v>
      </c>
      <c r="Y3371" s="49">
        <v>51934</v>
      </c>
      <c r="AY3371" s="49">
        <v>51934</v>
      </c>
      <c r="AZ3371" s="49">
        <v>51934</v>
      </c>
      <c r="BA3371" s="49">
        <v>51934</v>
      </c>
    </row>
    <row r="3372" spans="23:53" ht="16.2" customHeight="1" x14ac:dyDescent="0.4">
      <c r="W3372" s="49">
        <v>51940</v>
      </c>
      <c r="X3372" s="49">
        <v>51940</v>
      </c>
      <c r="Y3372" s="49">
        <v>51940</v>
      </c>
      <c r="AY3372" s="49">
        <v>51940</v>
      </c>
      <c r="AZ3372" s="49">
        <v>51940</v>
      </c>
      <c r="BA3372" s="49">
        <v>51940</v>
      </c>
    </row>
    <row r="3373" spans="23:53" ht="16.2" customHeight="1" x14ac:dyDescent="0.4">
      <c r="W3373" s="49">
        <v>51941</v>
      </c>
      <c r="X3373" s="49">
        <v>51941</v>
      </c>
      <c r="Y3373" s="49">
        <v>51941</v>
      </c>
      <c r="AY3373" s="49">
        <v>51941</v>
      </c>
      <c r="AZ3373" s="49">
        <v>51941</v>
      </c>
      <c r="BA3373" s="49">
        <v>51941</v>
      </c>
    </row>
    <row r="3374" spans="23:53" ht="16.2" customHeight="1" x14ac:dyDescent="0.4">
      <c r="W3374" s="49">
        <v>51947</v>
      </c>
      <c r="X3374" s="49">
        <v>51947</v>
      </c>
      <c r="Y3374" s="49">
        <v>51947</v>
      </c>
      <c r="AY3374" s="49">
        <v>51947</v>
      </c>
      <c r="AZ3374" s="49">
        <v>51947</v>
      </c>
      <c r="BA3374" s="49">
        <v>51947</v>
      </c>
    </row>
    <row r="3375" spans="23:53" ht="16.2" customHeight="1" x14ac:dyDescent="0.4">
      <c r="W3375" s="49">
        <v>51948</v>
      </c>
      <c r="X3375" s="49">
        <v>51948</v>
      </c>
      <c r="Y3375" s="49">
        <v>51948</v>
      </c>
      <c r="AY3375" s="49">
        <v>51948</v>
      </c>
      <c r="AZ3375" s="49">
        <v>51948</v>
      </c>
      <c r="BA3375" s="49">
        <v>51948</v>
      </c>
    </row>
    <row r="3376" spans="23:53" ht="16.2" customHeight="1" x14ac:dyDescent="0.4">
      <c r="W3376" s="49">
        <v>51954</v>
      </c>
      <c r="X3376" s="49">
        <v>51954</v>
      </c>
      <c r="Y3376" s="49">
        <v>51954</v>
      </c>
      <c r="AY3376" s="49">
        <v>51954</v>
      </c>
      <c r="AZ3376" s="49">
        <v>51954</v>
      </c>
      <c r="BA3376" s="49">
        <v>51954</v>
      </c>
    </row>
    <row r="3377" spans="23:53" ht="16.2" customHeight="1" x14ac:dyDescent="0.4">
      <c r="W3377" s="49">
        <v>51955</v>
      </c>
      <c r="X3377" s="49">
        <v>51955</v>
      </c>
      <c r="Y3377" s="49">
        <v>51955</v>
      </c>
      <c r="AY3377" s="49">
        <v>51955</v>
      </c>
      <c r="AZ3377" s="49">
        <v>51955</v>
      </c>
      <c r="BA3377" s="49">
        <v>51955</v>
      </c>
    </row>
    <row r="3378" spans="23:53" ht="16.2" customHeight="1" x14ac:dyDescent="0.4">
      <c r="W3378" s="49">
        <v>51961</v>
      </c>
      <c r="X3378" s="49">
        <v>51961</v>
      </c>
      <c r="Y3378" s="49">
        <v>51961</v>
      </c>
      <c r="AY3378" s="49">
        <v>51961</v>
      </c>
      <c r="AZ3378" s="49">
        <v>51961</v>
      </c>
      <c r="BA3378" s="49">
        <v>51961</v>
      </c>
    </row>
    <row r="3379" spans="23:53" ht="16.2" customHeight="1" x14ac:dyDescent="0.4">
      <c r="W3379" s="49">
        <v>51962</v>
      </c>
      <c r="X3379" s="49">
        <v>51962</v>
      </c>
      <c r="Y3379" s="49">
        <v>51962</v>
      </c>
      <c r="AY3379" s="49">
        <v>51962</v>
      </c>
      <c r="AZ3379" s="49">
        <v>51962</v>
      </c>
      <c r="BA3379" s="49">
        <v>51962</v>
      </c>
    </row>
    <row r="3380" spans="23:53" ht="16.2" customHeight="1" x14ac:dyDescent="0.4">
      <c r="W3380" s="49">
        <v>51968</v>
      </c>
      <c r="X3380" s="49">
        <v>51968</v>
      </c>
      <c r="Y3380" s="49">
        <v>51968</v>
      </c>
      <c r="AY3380" s="49">
        <v>51968</v>
      </c>
      <c r="AZ3380" s="49">
        <v>51968</v>
      </c>
      <c r="BA3380" s="49">
        <v>51968</v>
      </c>
    </row>
    <row r="3381" spans="23:53" ht="16.2" customHeight="1" x14ac:dyDescent="0.4">
      <c r="W3381" s="49">
        <v>51969</v>
      </c>
      <c r="X3381" s="49">
        <v>51969</v>
      </c>
      <c r="Y3381" s="49">
        <v>51969</v>
      </c>
      <c r="AY3381" s="49">
        <v>51969</v>
      </c>
      <c r="AZ3381" s="49">
        <v>51969</v>
      </c>
      <c r="BA3381" s="49">
        <v>51969</v>
      </c>
    </row>
    <row r="3382" spans="23:53" ht="16.2" customHeight="1" x14ac:dyDescent="0.4">
      <c r="W3382" s="49">
        <v>51975</v>
      </c>
      <c r="X3382" s="49">
        <v>51975</v>
      </c>
      <c r="Y3382" s="49">
        <v>51975</v>
      </c>
      <c r="AY3382" s="49">
        <v>51975</v>
      </c>
      <c r="AZ3382" s="49">
        <v>51975</v>
      </c>
      <c r="BA3382" s="49">
        <v>51975</v>
      </c>
    </row>
    <row r="3383" spans="23:53" ht="16.2" customHeight="1" x14ac:dyDescent="0.4">
      <c r="W3383" s="49">
        <v>51976</v>
      </c>
      <c r="X3383" s="49">
        <v>51976</v>
      </c>
      <c r="Y3383" s="49">
        <v>51976</v>
      </c>
      <c r="AY3383" s="49">
        <v>51976</v>
      </c>
      <c r="AZ3383" s="49">
        <v>51976</v>
      </c>
      <c r="BA3383" s="49">
        <v>51976</v>
      </c>
    </row>
    <row r="3384" spans="23:53" ht="16.2" customHeight="1" x14ac:dyDescent="0.4">
      <c r="W3384" s="49">
        <v>51982</v>
      </c>
      <c r="X3384" s="49">
        <v>51982</v>
      </c>
      <c r="Y3384" s="49">
        <v>51982</v>
      </c>
      <c r="AY3384" s="49">
        <v>51982</v>
      </c>
      <c r="AZ3384" s="49">
        <v>51982</v>
      </c>
      <c r="BA3384" s="49">
        <v>51982</v>
      </c>
    </row>
    <row r="3385" spans="23:53" ht="16.2" customHeight="1" x14ac:dyDescent="0.4">
      <c r="W3385" s="49">
        <v>51983</v>
      </c>
      <c r="X3385" s="49">
        <v>51983</v>
      </c>
      <c r="Y3385" s="49">
        <v>51983</v>
      </c>
      <c r="AY3385" s="49">
        <v>51983</v>
      </c>
      <c r="AZ3385" s="49">
        <v>51983</v>
      </c>
      <c r="BA3385" s="49">
        <v>51983</v>
      </c>
    </row>
    <row r="3386" spans="23:53" ht="16.2" customHeight="1" x14ac:dyDescent="0.4">
      <c r="W3386" s="49">
        <v>51987</v>
      </c>
      <c r="X3386" s="49">
        <v>51987</v>
      </c>
      <c r="Y3386" s="49">
        <v>51987</v>
      </c>
      <c r="AY3386" s="49">
        <v>51987</v>
      </c>
      <c r="AZ3386" s="49">
        <v>51987</v>
      </c>
      <c r="BA3386" s="49">
        <v>51987</v>
      </c>
    </row>
    <row r="3387" spans="23:53" ht="16.2" customHeight="1" x14ac:dyDescent="0.4">
      <c r="W3387" s="49">
        <v>51989</v>
      </c>
      <c r="X3387" s="49">
        <v>51989</v>
      </c>
      <c r="Y3387" s="49">
        <v>51989</v>
      </c>
      <c r="AY3387" s="49">
        <v>51989</v>
      </c>
      <c r="AZ3387" s="49">
        <v>51989</v>
      </c>
      <c r="BA3387" s="49">
        <v>51989</v>
      </c>
    </row>
    <row r="3388" spans="23:53" ht="16.2" customHeight="1" x14ac:dyDescent="0.4">
      <c r="W3388" s="49">
        <v>51990</v>
      </c>
      <c r="X3388" s="49">
        <v>51990</v>
      </c>
      <c r="Y3388" s="49">
        <v>51990</v>
      </c>
      <c r="AY3388" s="49">
        <v>51990</v>
      </c>
      <c r="AZ3388" s="49">
        <v>51990</v>
      </c>
      <c r="BA3388" s="49">
        <v>51990</v>
      </c>
    </row>
    <row r="3389" spans="23:53" ht="16.2" customHeight="1" x14ac:dyDescent="0.4">
      <c r="W3389" s="49">
        <v>51991</v>
      </c>
      <c r="X3389" s="49">
        <v>51991</v>
      </c>
      <c r="Y3389" s="49">
        <v>51991</v>
      </c>
      <c r="AY3389" s="49">
        <v>51991</v>
      </c>
      <c r="AZ3389" s="49">
        <v>51991</v>
      </c>
      <c r="BA3389" s="49">
        <v>51991</v>
      </c>
    </row>
    <row r="3390" spans="23:53" ht="16.2" customHeight="1" x14ac:dyDescent="0.4">
      <c r="W3390" s="49">
        <v>51996</v>
      </c>
      <c r="X3390" s="49">
        <v>51996</v>
      </c>
      <c r="Y3390" s="49">
        <v>51996</v>
      </c>
      <c r="AY3390" s="49">
        <v>51996</v>
      </c>
      <c r="AZ3390" s="49">
        <v>51996</v>
      </c>
      <c r="BA3390" s="49">
        <v>51996</v>
      </c>
    </row>
    <row r="3391" spans="23:53" ht="16.2" customHeight="1" x14ac:dyDescent="0.4">
      <c r="W3391" s="49">
        <v>51997</v>
      </c>
      <c r="X3391" s="49">
        <v>51997</v>
      </c>
      <c r="Y3391" s="49">
        <v>51997</v>
      </c>
      <c r="AY3391" s="49">
        <v>51997</v>
      </c>
      <c r="AZ3391" s="49">
        <v>51997</v>
      </c>
      <c r="BA3391" s="49">
        <v>51997</v>
      </c>
    </row>
    <row r="3392" spans="23:53" ht="16.2" customHeight="1" x14ac:dyDescent="0.4">
      <c r="W3392" s="49">
        <v>52003</v>
      </c>
      <c r="X3392" s="49">
        <v>52003</v>
      </c>
      <c r="Y3392" s="49">
        <v>52003</v>
      </c>
      <c r="AY3392" s="49">
        <v>52003</v>
      </c>
      <c r="AZ3392" s="49">
        <v>52003</v>
      </c>
      <c r="BA3392" s="49">
        <v>52003</v>
      </c>
    </row>
    <row r="3393" spans="23:53" ht="16.2" customHeight="1" x14ac:dyDescent="0.4">
      <c r="W3393" s="49">
        <v>52004</v>
      </c>
      <c r="X3393" s="49">
        <v>52004</v>
      </c>
      <c r="Y3393" s="49">
        <v>52004</v>
      </c>
      <c r="AY3393" s="49">
        <v>52004</v>
      </c>
      <c r="AZ3393" s="49">
        <v>52004</v>
      </c>
      <c r="BA3393" s="49">
        <v>52004</v>
      </c>
    </row>
    <row r="3394" spans="23:53" ht="16.2" customHeight="1" x14ac:dyDescent="0.4">
      <c r="W3394" s="49">
        <v>52010</v>
      </c>
      <c r="X3394" s="49">
        <v>52010</v>
      </c>
      <c r="Y3394" s="49">
        <v>52010</v>
      </c>
      <c r="AY3394" s="49">
        <v>52010</v>
      </c>
      <c r="AZ3394" s="49">
        <v>52010</v>
      </c>
      <c r="BA3394" s="49">
        <v>52010</v>
      </c>
    </row>
    <row r="3395" spans="23:53" ht="16.2" customHeight="1" x14ac:dyDescent="0.4">
      <c r="W3395" s="49">
        <v>52011</v>
      </c>
      <c r="X3395" s="49">
        <v>52011</v>
      </c>
      <c r="Y3395" s="49">
        <v>52011</v>
      </c>
      <c r="AY3395" s="49">
        <v>52011</v>
      </c>
      <c r="AZ3395" s="49">
        <v>52011</v>
      </c>
      <c r="BA3395" s="49">
        <v>52011</v>
      </c>
    </row>
    <row r="3396" spans="23:53" ht="16.2" customHeight="1" x14ac:dyDescent="0.4">
      <c r="W3396" s="49">
        <v>52012</v>
      </c>
      <c r="X3396" s="49">
        <v>52012</v>
      </c>
      <c r="Y3396" s="49">
        <v>52012</v>
      </c>
      <c r="AY3396" s="49">
        <v>52012</v>
      </c>
      <c r="AZ3396" s="49">
        <v>52012</v>
      </c>
      <c r="BA3396" s="49">
        <v>52012</v>
      </c>
    </row>
    <row r="3397" spans="23:53" ht="16.2" customHeight="1" x14ac:dyDescent="0.4">
      <c r="W3397" s="49">
        <v>52017</v>
      </c>
      <c r="X3397" s="49">
        <v>52017</v>
      </c>
      <c r="Y3397" s="49">
        <v>52017</v>
      </c>
      <c r="AY3397" s="49">
        <v>52017</v>
      </c>
      <c r="AZ3397" s="49">
        <v>52017</v>
      </c>
      <c r="BA3397" s="49">
        <v>52017</v>
      </c>
    </row>
    <row r="3398" spans="23:53" ht="16.2" customHeight="1" x14ac:dyDescent="0.4">
      <c r="W3398" s="49">
        <v>52018</v>
      </c>
      <c r="X3398" s="49">
        <v>52018</v>
      </c>
      <c r="Y3398" s="49">
        <v>52018</v>
      </c>
      <c r="AY3398" s="49">
        <v>52018</v>
      </c>
      <c r="AZ3398" s="49">
        <v>52018</v>
      </c>
      <c r="BA3398" s="49">
        <v>52018</v>
      </c>
    </row>
    <row r="3399" spans="23:53" ht="16.2" customHeight="1" x14ac:dyDescent="0.4">
      <c r="W3399" s="49">
        <v>52023</v>
      </c>
      <c r="X3399" s="49">
        <v>52023</v>
      </c>
      <c r="Y3399" s="49">
        <v>52023</v>
      </c>
      <c r="AY3399" s="49">
        <v>52023</v>
      </c>
      <c r="AZ3399" s="49">
        <v>52023</v>
      </c>
      <c r="BA3399" s="49">
        <v>52023</v>
      </c>
    </row>
    <row r="3400" spans="23:53" ht="16.2" customHeight="1" x14ac:dyDescent="0.4">
      <c r="W3400" s="49">
        <v>52024</v>
      </c>
      <c r="X3400" s="49">
        <v>52024</v>
      </c>
      <c r="Y3400" s="49">
        <v>52024</v>
      </c>
      <c r="AY3400" s="49">
        <v>52024</v>
      </c>
      <c r="AZ3400" s="49">
        <v>52024</v>
      </c>
      <c r="BA3400" s="49">
        <v>52024</v>
      </c>
    </row>
    <row r="3401" spans="23:53" ht="16.2" customHeight="1" x14ac:dyDescent="0.4">
      <c r="W3401" s="49">
        <v>52025</v>
      </c>
      <c r="X3401" s="49">
        <v>52025</v>
      </c>
      <c r="Y3401" s="49">
        <v>52025</v>
      </c>
      <c r="AY3401" s="49">
        <v>52025</v>
      </c>
      <c r="AZ3401" s="49">
        <v>52025</v>
      </c>
      <c r="BA3401" s="49">
        <v>52025</v>
      </c>
    </row>
    <row r="3402" spans="23:53" ht="16.2" customHeight="1" x14ac:dyDescent="0.4">
      <c r="W3402" s="49">
        <v>52031</v>
      </c>
      <c r="X3402" s="49">
        <v>52031</v>
      </c>
      <c r="Y3402" s="49">
        <v>52031</v>
      </c>
      <c r="AY3402" s="49">
        <v>52031</v>
      </c>
      <c r="AZ3402" s="49">
        <v>52031</v>
      </c>
      <c r="BA3402" s="49">
        <v>52031</v>
      </c>
    </row>
    <row r="3403" spans="23:53" ht="16.2" customHeight="1" x14ac:dyDescent="0.4">
      <c r="W3403" s="49">
        <v>52032</v>
      </c>
      <c r="X3403" s="49">
        <v>52032</v>
      </c>
      <c r="Y3403" s="49">
        <v>52032</v>
      </c>
      <c r="AY3403" s="49">
        <v>52032</v>
      </c>
      <c r="AZ3403" s="49">
        <v>52032</v>
      </c>
      <c r="BA3403" s="49">
        <v>52032</v>
      </c>
    </row>
    <row r="3404" spans="23:53" ht="16.2" customHeight="1" x14ac:dyDescent="0.4">
      <c r="W3404" s="49">
        <v>52038</v>
      </c>
      <c r="X3404" s="49">
        <v>52038</v>
      </c>
      <c r="Y3404" s="49">
        <v>52038</v>
      </c>
      <c r="AY3404" s="49">
        <v>52038</v>
      </c>
      <c r="AZ3404" s="49">
        <v>52038</v>
      </c>
      <c r="BA3404" s="49">
        <v>52038</v>
      </c>
    </row>
    <row r="3405" spans="23:53" ht="16.2" customHeight="1" x14ac:dyDescent="0.4">
      <c r="W3405" s="49">
        <v>52039</v>
      </c>
      <c r="X3405" s="49">
        <v>52039</v>
      </c>
      <c r="Y3405" s="49">
        <v>52039</v>
      </c>
      <c r="AY3405" s="49">
        <v>52039</v>
      </c>
      <c r="AZ3405" s="49">
        <v>52039</v>
      </c>
      <c r="BA3405" s="49">
        <v>52039</v>
      </c>
    </row>
    <row r="3406" spans="23:53" ht="16.2" customHeight="1" x14ac:dyDescent="0.4">
      <c r="W3406" s="49">
        <v>52045</v>
      </c>
      <c r="X3406" s="49">
        <v>52045</v>
      </c>
      <c r="Y3406" s="49">
        <v>52045</v>
      </c>
      <c r="AY3406" s="49">
        <v>52045</v>
      </c>
      <c r="AZ3406" s="49">
        <v>52045</v>
      </c>
      <c r="BA3406" s="49">
        <v>52045</v>
      </c>
    </row>
    <row r="3407" spans="23:53" ht="16.2" customHeight="1" x14ac:dyDescent="0.4">
      <c r="W3407" s="49">
        <v>52046</v>
      </c>
      <c r="X3407" s="49">
        <v>52046</v>
      </c>
      <c r="Y3407" s="49">
        <v>52046</v>
      </c>
      <c r="AY3407" s="49">
        <v>52046</v>
      </c>
      <c r="AZ3407" s="49">
        <v>52046</v>
      </c>
      <c r="BA3407" s="49">
        <v>52046</v>
      </c>
    </row>
    <row r="3408" spans="23:53" ht="16.2" customHeight="1" x14ac:dyDescent="0.4">
      <c r="W3408" s="49">
        <v>52052</v>
      </c>
      <c r="X3408" s="49">
        <v>52052</v>
      </c>
      <c r="Y3408" s="49">
        <v>52052</v>
      </c>
      <c r="AY3408" s="49">
        <v>52052</v>
      </c>
      <c r="AZ3408" s="49">
        <v>52052</v>
      </c>
      <c r="BA3408" s="49">
        <v>52052</v>
      </c>
    </row>
    <row r="3409" spans="23:53" ht="16.2" customHeight="1" x14ac:dyDescent="0.4">
      <c r="W3409" s="49">
        <v>52053</v>
      </c>
      <c r="X3409" s="49">
        <v>52053</v>
      </c>
      <c r="Y3409" s="49">
        <v>52053</v>
      </c>
      <c r="AY3409" s="49">
        <v>52053</v>
      </c>
      <c r="AZ3409" s="49">
        <v>52053</v>
      </c>
      <c r="BA3409" s="49">
        <v>52053</v>
      </c>
    </row>
    <row r="3410" spans="23:53" ht="16.2" customHeight="1" x14ac:dyDescent="0.4">
      <c r="W3410" s="49">
        <v>52059</v>
      </c>
      <c r="X3410" s="49">
        <v>52059</v>
      </c>
      <c r="Y3410" s="49">
        <v>52059</v>
      </c>
      <c r="AY3410" s="49">
        <v>52059</v>
      </c>
      <c r="AZ3410" s="49">
        <v>52059</v>
      </c>
      <c r="BA3410" s="49">
        <v>52059</v>
      </c>
    </row>
    <row r="3411" spans="23:53" ht="16.2" customHeight="1" x14ac:dyDescent="0.4">
      <c r="W3411" s="49">
        <v>52060</v>
      </c>
      <c r="X3411" s="49">
        <v>52060</v>
      </c>
      <c r="Y3411" s="49">
        <v>52060</v>
      </c>
      <c r="AY3411" s="49">
        <v>52060</v>
      </c>
      <c r="AZ3411" s="49">
        <v>52060</v>
      </c>
      <c r="BA3411" s="49">
        <v>52060</v>
      </c>
    </row>
    <row r="3412" spans="23:53" ht="16.2" customHeight="1" x14ac:dyDescent="0.4">
      <c r="W3412" s="49">
        <v>52066</v>
      </c>
      <c r="X3412" s="49">
        <v>52066</v>
      </c>
      <c r="Y3412" s="49">
        <v>52066</v>
      </c>
      <c r="AY3412" s="49">
        <v>52066</v>
      </c>
      <c r="AZ3412" s="49">
        <v>52066</v>
      </c>
      <c r="BA3412" s="49">
        <v>52066</v>
      </c>
    </row>
    <row r="3413" spans="23:53" ht="16.2" customHeight="1" x14ac:dyDescent="0.4">
      <c r="W3413" s="49">
        <v>52067</v>
      </c>
      <c r="X3413" s="49">
        <v>52067</v>
      </c>
      <c r="Y3413" s="49">
        <v>52067</v>
      </c>
      <c r="AY3413" s="49">
        <v>52067</v>
      </c>
      <c r="AZ3413" s="49">
        <v>52067</v>
      </c>
      <c r="BA3413" s="49">
        <v>52067</v>
      </c>
    </row>
    <row r="3414" spans="23:53" ht="16.2" customHeight="1" x14ac:dyDescent="0.4">
      <c r="W3414" s="49">
        <v>52073</v>
      </c>
      <c r="X3414" s="49">
        <v>52073</v>
      </c>
      <c r="Y3414" s="49">
        <v>52073</v>
      </c>
      <c r="AY3414" s="49">
        <v>52073</v>
      </c>
      <c r="AZ3414" s="49">
        <v>52073</v>
      </c>
      <c r="BA3414" s="49">
        <v>52073</v>
      </c>
    </row>
    <row r="3415" spans="23:53" ht="16.2" customHeight="1" x14ac:dyDescent="0.4">
      <c r="W3415" s="49">
        <v>52074</v>
      </c>
      <c r="X3415" s="49">
        <v>52074</v>
      </c>
      <c r="Y3415" s="49">
        <v>52074</v>
      </c>
      <c r="AY3415" s="49">
        <v>52074</v>
      </c>
      <c r="AZ3415" s="49">
        <v>52074</v>
      </c>
      <c r="BA3415" s="49">
        <v>52074</v>
      </c>
    </row>
    <row r="3416" spans="23:53" ht="16.2" customHeight="1" x14ac:dyDescent="0.4">
      <c r="W3416" s="49">
        <v>52080</v>
      </c>
      <c r="X3416" s="49">
        <v>52080</v>
      </c>
      <c r="Y3416" s="49">
        <v>52080</v>
      </c>
      <c r="AY3416" s="49">
        <v>52080</v>
      </c>
      <c r="AZ3416" s="49">
        <v>52080</v>
      </c>
      <c r="BA3416" s="49">
        <v>52080</v>
      </c>
    </row>
    <row r="3417" spans="23:53" ht="16.2" customHeight="1" x14ac:dyDescent="0.4">
      <c r="W3417" s="49">
        <v>52081</v>
      </c>
      <c r="X3417" s="49">
        <v>52081</v>
      </c>
      <c r="Y3417" s="49">
        <v>52081</v>
      </c>
      <c r="AY3417" s="49">
        <v>52081</v>
      </c>
      <c r="AZ3417" s="49">
        <v>52081</v>
      </c>
      <c r="BA3417" s="49">
        <v>52081</v>
      </c>
    </row>
    <row r="3418" spans="23:53" ht="16.2" customHeight="1" x14ac:dyDescent="0.4">
      <c r="W3418" s="49">
        <v>52087</v>
      </c>
      <c r="X3418" s="49">
        <v>52087</v>
      </c>
      <c r="Y3418" s="49">
        <v>52087</v>
      </c>
      <c r="AY3418" s="49">
        <v>52087</v>
      </c>
      <c r="AZ3418" s="49">
        <v>52087</v>
      </c>
      <c r="BA3418" s="49">
        <v>52087</v>
      </c>
    </row>
    <row r="3419" spans="23:53" ht="16.2" customHeight="1" x14ac:dyDescent="0.4">
      <c r="W3419" s="49">
        <v>52088</v>
      </c>
      <c r="X3419" s="49">
        <v>52088</v>
      </c>
      <c r="Y3419" s="49">
        <v>52088</v>
      </c>
      <c r="AY3419" s="49">
        <v>52088</v>
      </c>
      <c r="AZ3419" s="49">
        <v>52088</v>
      </c>
      <c r="BA3419" s="49">
        <v>52088</v>
      </c>
    </row>
    <row r="3420" spans="23:53" ht="16.2" customHeight="1" x14ac:dyDescent="0.4">
      <c r="W3420" s="49">
        <v>52093</v>
      </c>
      <c r="X3420" s="49">
        <v>52093</v>
      </c>
      <c r="Y3420" s="49">
        <v>52093</v>
      </c>
      <c r="AY3420" s="49">
        <v>52093</v>
      </c>
      <c r="AZ3420" s="49">
        <v>52093</v>
      </c>
      <c r="BA3420" s="49">
        <v>52093</v>
      </c>
    </row>
    <row r="3421" spans="23:53" ht="16.2" customHeight="1" x14ac:dyDescent="0.4">
      <c r="W3421" s="49">
        <v>52094</v>
      </c>
      <c r="X3421" s="49">
        <v>52094</v>
      </c>
      <c r="Y3421" s="49">
        <v>52094</v>
      </c>
      <c r="AY3421" s="49">
        <v>52094</v>
      </c>
      <c r="AZ3421" s="49">
        <v>52094</v>
      </c>
      <c r="BA3421" s="49">
        <v>52094</v>
      </c>
    </row>
    <row r="3422" spans="23:53" ht="16.2" customHeight="1" x14ac:dyDescent="0.4">
      <c r="W3422" s="49">
        <v>52095</v>
      </c>
      <c r="X3422" s="49">
        <v>52095</v>
      </c>
      <c r="Y3422" s="49">
        <v>52095</v>
      </c>
      <c r="AY3422" s="49">
        <v>52095</v>
      </c>
      <c r="AZ3422" s="49">
        <v>52095</v>
      </c>
      <c r="BA3422" s="49">
        <v>52095</v>
      </c>
    </row>
    <row r="3423" spans="23:53" ht="16.2" customHeight="1" x14ac:dyDescent="0.4">
      <c r="W3423" s="49">
        <v>52101</v>
      </c>
      <c r="X3423" s="49">
        <v>52101</v>
      </c>
      <c r="Y3423" s="49">
        <v>52101</v>
      </c>
      <c r="AY3423" s="49">
        <v>52101</v>
      </c>
      <c r="AZ3423" s="49">
        <v>52101</v>
      </c>
      <c r="BA3423" s="49">
        <v>52101</v>
      </c>
    </row>
    <row r="3424" spans="23:53" ht="16.2" customHeight="1" x14ac:dyDescent="0.4">
      <c r="W3424" s="49">
        <v>52102</v>
      </c>
      <c r="X3424" s="49">
        <v>52102</v>
      </c>
      <c r="Y3424" s="49">
        <v>52102</v>
      </c>
      <c r="AY3424" s="49">
        <v>52102</v>
      </c>
      <c r="AZ3424" s="49">
        <v>52102</v>
      </c>
      <c r="BA3424" s="49">
        <v>52102</v>
      </c>
    </row>
    <row r="3425" spans="23:53" ht="16.2" customHeight="1" x14ac:dyDescent="0.4">
      <c r="W3425" s="49">
        <v>52108</v>
      </c>
      <c r="X3425" s="49">
        <v>52108</v>
      </c>
      <c r="Y3425" s="49">
        <v>52108</v>
      </c>
      <c r="AY3425" s="49">
        <v>52108</v>
      </c>
      <c r="AZ3425" s="49">
        <v>52108</v>
      </c>
      <c r="BA3425" s="49">
        <v>52108</v>
      </c>
    </row>
    <row r="3426" spans="23:53" ht="16.2" customHeight="1" x14ac:dyDescent="0.4">
      <c r="W3426" s="49">
        <v>52109</v>
      </c>
      <c r="X3426" s="49">
        <v>52109</v>
      </c>
      <c r="Y3426" s="49">
        <v>52109</v>
      </c>
      <c r="AY3426" s="49">
        <v>52109</v>
      </c>
      <c r="AZ3426" s="49">
        <v>52109</v>
      </c>
      <c r="BA3426" s="49">
        <v>52109</v>
      </c>
    </row>
    <row r="3427" spans="23:53" ht="16.2" customHeight="1" x14ac:dyDescent="0.4">
      <c r="W3427" s="49">
        <v>52115</v>
      </c>
      <c r="X3427" s="49">
        <v>52115</v>
      </c>
      <c r="Y3427" s="49">
        <v>52115</v>
      </c>
      <c r="AY3427" s="49">
        <v>52115</v>
      </c>
      <c r="AZ3427" s="49">
        <v>52115</v>
      </c>
      <c r="BA3427" s="49">
        <v>52115</v>
      </c>
    </row>
    <row r="3428" spans="23:53" ht="16.2" customHeight="1" x14ac:dyDescent="0.4">
      <c r="W3428" s="49">
        <v>52116</v>
      </c>
      <c r="X3428" s="49">
        <v>52116</v>
      </c>
      <c r="Y3428" s="49">
        <v>52116</v>
      </c>
      <c r="AY3428" s="49">
        <v>52116</v>
      </c>
      <c r="AZ3428" s="49">
        <v>52116</v>
      </c>
      <c r="BA3428" s="49">
        <v>52116</v>
      </c>
    </row>
    <row r="3429" spans="23:53" ht="16.2" customHeight="1" x14ac:dyDescent="0.4">
      <c r="W3429" s="49">
        <v>52122</v>
      </c>
      <c r="X3429" s="49">
        <v>52122</v>
      </c>
      <c r="Y3429" s="49">
        <v>52122</v>
      </c>
      <c r="AY3429" s="49">
        <v>52122</v>
      </c>
      <c r="AZ3429" s="49">
        <v>52122</v>
      </c>
      <c r="BA3429" s="49">
        <v>52122</v>
      </c>
    </row>
    <row r="3430" spans="23:53" ht="16.2" customHeight="1" x14ac:dyDescent="0.4">
      <c r="W3430" s="49">
        <v>52123</v>
      </c>
      <c r="X3430" s="49">
        <v>52123</v>
      </c>
      <c r="Y3430" s="49">
        <v>52123</v>
      </c>
      <c r="AY3430" s="49">
        <v>52123</v>
      </c>
      <c r="AZ3430" s="49">
        <v>52123</v>
      </c>
      <c r="BA3430" s="49">
        <v>52123</v>
      </c>
    </row>
    <row r="3431" spans="23:53" ht="16.2" customHeight="1" x14ac:dyDescent="0.4">
      <c r="W3431" s="49">
        <v>52129</v>
      </c>
      <c r="X3431" s="49">
        <v>52129</v>
      </c>
      <c r="Y3431" s="49">
        <v>52129</v>
      </c>
      <c r="AY3431" s="49">
        <v>52129</v>
      </c>
      <c r="AZ3431" s="49">
        <v>52129</v>
      </c>
      <c r="BA3431" s="49">
        <v>52129</v>
      </c>
    </row>
    <row r="3432" spans="23:53" ht="16.2" customHeight="1" x14ac:dyDescent="0.4">
      <c r="W3432" s="49">
        <v>52130</v>
      </c>
      <c r="X3432" s="49">
        <v>52130</v>
      </c>
      <c r="Y3432" s="49">
        <v>52130</v>
      </c>
      <c r="AY3432" s="49">
        <v>52130</v>
      </c>
      <c r="AZ3432" s="49">
        <v>52130</v>
      </c>
      <c r="BA3432" s="49">
        <v>52130</v>
      </c>
    </row>
    <row r="3433" spans="23:53" ht="16.2" customHeight="1" x14ac:dyDescent="0.4">
      <c r="W3433" s="49">
        <v>52137</v>
      </c>
      <c r="X3433" s="49">
        <v>52137</v>
      </c>
      <c r="Y3433" s="49">
        <v>52137</v>
      </c>
      <c r="AY3433" s="49">
        <v>52137</v>
      </c>
      <c r="AZ3433" s="49">
        <v>52137</v>
      </c>
      <c r="BA3433" s="49">
        <v>52137</v>
      </c>
    </row>
    <row r="3434" spans="23:53" ht="16.2" customHeight="1" x14ac:dyDescent="0.4">
      <c r="W3434" s="49">
        <v>52138</v>
      </c>
      <c r="X3434" s="49">
        <v>52138</v>
      </c>
      <c r="Y3434" s="49">
        <v>52138</v>
      </c>
      <c r="AY3434" s="49">
        <v>52138</v>
      </c>
      <c r="AZ3434" s="49">
        <v>52138</v>
      </c>
      <c r="BA3434" s="49">
        <v>52138</v>
      </c>
    </row>
    <row r="3435" spans="23:53" ht="16.2" customHeight="1" x14ac:dyDescent="0.4">
      <c r="W3435" s="49">
        <v>52139</v>
      </c>
      <c r="X3435" s="49">
        <v>52139</v>
      </c>
      <c r="Y3435" s="49">
        <v>52139</v>
      </c>
      <c r="AY3435" s="49">
        <v>52139</v>
      </c>
      <c r="AZ3435" s="49">
        <v>52139</v>
      </c>
      <c r="BA3435" s="49">
        <v>52139</v>
      </c>
    </row>
    <row r="3436" spans="23:53" ht="16.2" customHeight="1" x14ac:dyDescent="0.4">
      <c r="W3436" s="49">
        <v>52142</v>
      </c>
      <c r="X3436" s="49">
        <v>52142</v>
      </c>
      <c r="Y3436" s="49">
        <v>52142</v>
      </c>
      <c r="AY3436" s="49">
        <v>52142</v>
      </c>
      <c r="AZ3436" s="49">
        <v>52142</v>
      </c>
      <c r="BA3436" s="49">
        <v>52142</v>
      </c>
    </row>
    <row r="3437" spans="23:53" ht="16.2" customHeight="1" x14ac:dyDescent="0.4">
      <c r="W3437" s="49">
        <v>52143</v>
      </c>
      <c r="X3437" s="49">
        <v>52143</v>
      </c>
      <c r="Y3437" s="49">
        <v>52143</v>
      </c>
      <c r="AY3437" s="49">
        <v>52143</v>
      </c>
      <c r="AZ3437" s="49">
        <v>52143</v>
      </c>
      <c r="BA3437" s="49">
        <v>52143</v>
      </c>
    </row>
    <row r="3438" spans="23:53" ht="16.2" customHeight="1" x14ac:dyDescent="0.4">
      <c r="W3438" s="49">
        <v>52144</v>
      </c>
      <c r="X3438" s="49">
        <v>52144</v>
      </c>
      <c r="Y3438" s="49">
        <v>52144</v>
      </c>
      <c r="AY3438" s="49">
        <v>52144</v>
      </c>
      <c r="AZ3438" s="49">
        <v>52144</v>
      </c>
      <c r="BA3438" s="49">
        <v>52144</v>
      </c>
    </row>
    <row r="3439" spans="23:53" ht="16.2" customHeight="1" x14ac:dyDescent="0.4">
      <c r="W3439" s="49"/>
      <c r="X3439" s="49"/>
      <c r="Y3439" s="49"/>
      <c r="AY3439" s="49"/>
      <c r="AZ3439" s="49"/>
      <c r="BA3439" s="49"/>
    </row>
    <row r="3440" spans="23:53" ht="16.2" customHeight="1" x14ac:dyDescent="0.4">
      <c r="W3440" s="49"/>
      <c r="X3440" s="49"/>
      <c r="Y3440" s="49"/>
      <c r="AY3440" s="49"/>
      <c r="AZ3440" s="49"/>
      <c r="BA3440" s="49"/>
    </row>
    <row r="3441" spans="23:53" ht="16.2" customHeight="1" x14ac:dyDescent="0.4">
      <c r="W3441" s="49"/>
      <c r="X3441" s="49"/>
      <c r="Y3441" s="49"/>
      <c r="AY3441" s="49"/>
      <c r="AZ3441" s="49"/>
      <c r="BA3441" s="49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E1" workbookViewId="0">
      <selection activeCell="H5" sqref="H5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4" bestFit="1" customWidth="1"/>
    <col min="17" max="17" width="9.8984375" style="55"/>
    <col min="18" max="18" width="9.8984375" style="54"/>
    <col min="19" max="19" width="9.8984375" style="55"/>
    <col min="20" max="20" width="9.8984375" style="54"/>
    <col min="21" max="21" width="9.8984375" style="55"/>
    <col min="22" max="22" width="9.8984375" style="54"/>
    <col min="23" max="23" width="9.8984375" style="55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91" t="s">
        <v>56</v>
      </c>
      <c r="B3" s="191"/>
      <c r="C3" s="191"/>
      <c r="D3" s="191"/>
      <c r="E3" s="191"/>
      <c r="G3" s="191" t="s">
        <v>76</v>
      </c>
      <c r="H3" s="191"/>
      <c r="I3" s="191"/>
      <c r="J3" s="191"/>
      <c r="K3" s="191"/>
      <c r="L3" s="21"/>
      <c r="M3" s="21"/>
      <c r="N3" s="21"/>
      <c r="P3" s="191" t="s">
        <v>77</v>
      </c>
      <c r="Q3" s="191"/>
      <c r="R3" s="191"/>
      <c r="S3" s="191"/>
      <c r="T3" s="191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68</v>
      </c>
      <c r="H4" s="29" t="s">
        <v>57</v>
      </c>
      <c r="I4" s="28" t="s">
        <v>69</v>
      </c>
      <c r="J4" s="29" t="s">
        <v>58</v>
      </c>
      <c r="K4" s="28" t="s">
        <v>70</v>
      </c>
      <c r="L4" s="29" t="s">
        <v>59</v>
      </c>
      <c r="M4" s="28"/>
      <c r="N4" s="29"/>
      <c r="P4" s="28" t="s">
        <v>68</v>
      </c>
      <c r="Q4" s="29" t="s">
        <v>57</v>
      </c>
      <c r="R4" s="28" t="s">
        <v>69</v>
      </c>
      <c r="S4" s="29" t="s">
        <v>58</v>
      </c>
      <c r="T4" s="28" t="s">
        <v>70</v>
      </c>
      <c r="U4" s="29" t="s">
        <v>59</v>
      </c>
      <c r="V4" s="28"/>
      <c r="W4" s="29"/>
    </row>
    <row r="5" spans="1:23" ht="18" customHeight="1" x14ac:dyDescent="0.4">
      <c r="A5" s="23" t="s">
        <v>57</v>
      </c>
      <c r="B5" s="24">
        <v>1</v>
      </c>
      <c r="C5" s="24">
        <v>0.05</v>
      </c>
      <c r="D5" s="24">
        <v>0</v>
      </c>
      <c r="E5" s="25">
        <v>0</v>
      </c>
      <c r="G5" s="32">
        <v>44843</v>
      </c>
      <c r="H5" s="37">
        <v>3.04E-2</v>
      </c>
      <c r="I5" s="32">
        <v>44843</v>
      </c>
      <c r="J5" s="37">
        <f>커브정보!N61</f>
        <v>3.9140000000000001E-2</v>
      </c>
      <c r="K5" s="34">
        <v>44489</v>
      </c>
      <c r="L5" s="37">
        <v>1.0999999999999999E-2</v>
      </c>
      <c r="M5" s="34"/>
      <c r="N5" s="37"/>
      <c r="P5" s="32">
        <v>44843</v>
      </c>
      <c r="Q5" s="37">
        <v>3.9140000000000001E-2</v>
      </c>
      <c r="R5" s="32">
        <v>44843</v>
      </c>
      <c r="S5" s="37">
        <v>3.9140000000000001E-2</v>
      </c>
      <c r="T5" s="34">
        <v>44489</v>
      </c>
      <c r="U5" s="37">
        <v>1.0999999999999999E-2</v>
      </c>
      <c r="V5" s="34"/>
      <c r="W5" s="37"/>
    </row>
    <row r="6" spans="1:23" ht="18" customHeight="1" x14ac:dyDescent="0.4">
      <c r="A6" s="23" t="s">
        <v>58</v>
      </c>
      <c r="B6" s="26"/>
      <c r="C6" s="24">
        <v>1</v>
      </c>
      <c r="D6" s="24">
        <v>0</v>
      </c>
      <c r="E6" s="25">
        <v>0</v>
      </c>
      <c r="G6" s="32">
        <f>G5+1</f>
        <v>44844</v>
      </c>
      <c r="H6" s="37">
        <f>H5</f>
        <v>3.04E-2</v>
      </c>
      <c r="I6" s="32">
        <f>I5+1</f>
        <v>44844</v>
      </c>
      <c r="J6" s="37">
        <f>J5</f>
        <v>3.9140000000000001E-2</v>
      </c>
      <c r="K6" s="34">
        <v>44490</v>
      </c>
      <c r="L6" s="37">
        <v>1.0999999999999999E-2</v>
      </c>
      <c r="M6" s="34"/>
      <c r="N6" s="37"/>
      <c r="P6" s="32">
        <v>44844</v>
      </c>
      <c r="Q6" s="37">
        <v>3.9140000000000001E-2</v>
      </c>
      <c r="R6" s="32">
        <v>44844</v>
      </c>
      <c r="S6" s="37">
        <v>3.9140000000000001E-2</v>
      </c>
      <c r="T6" s="34">
        <v>44490</v>
      </c>
      <c r="U6" s="37">
        <v>1.0999999999999999E-2</v>
      </c>
      <c r="V6" s="34"/>
      <c r="W6" s="37"/>
    </row>
    <row r="7" spans="1:23" ht="18" customHeight="1" x14ac:dyDescent="0.4">
      <c r="A7" s="23" t="s">
        <v>59</v>
      </c>
      <c r="B7" s="26"/>
      <c r="C7" s="26"/>
      <c r="D7" s="24">
        <v>1</v>
      </c>
      <c r="E7" s="25">
        <v>0</v>
      </c>
      <c r="G7" s="32">
        <f t="shared" ref="G7:G70" si="8">G6+1</f>
        <v>44845</v>
      </c>
      <c r="H7" s="37">
        <f t="shared" ref="H7:H70" si="9">H6</f>
        <v>3.04E-2</v>
      </c>
      <c r="I7" s="32">
        <f t="shared" ref="I7:I70" si="10">I6+1</f>
        <v>44845</v>
      </c>
      <c r="J7" s="37">
        <f t="shared" ref="J7:J70" si="11">J6</f>
        <v>3.9140000000000001E-2</v>
      </c>
      <c r="K7" s="34">
        <v>44491</v>
      </c>
      <c r="L7" s="37">
        <v>1.0999999999999999E-2</v>
      </c>
      <c r="M7" s="34"/>
      <c r="N7" s="37"/>
      <c r="P7" s="32">
        <v>44845</v>
      </c>
      <c r="Q7" s="37">
        <v>3.9140000000000001E-2</v>
      </c>
      <c r="R7" s="32">
        <v>44845</v>
      </c>
      <c r="S7" s="37">
        <v>3.9140000000000001E-2</v>
      </c>
      <c r="T7" s="34">
        <v>44491</v>
      </c>
      <c r="U7" s="37">
        <v>1.0999999999999999E-2</v>
      </c>
      <c r="V7" s="34"/>
      <c r="W7" s="37"/>
    </row>
    <row r="8" spans="1:23" ht="18" customHeight="1" x14ac:dyDescent="0.4">
      <c r="A8" s="23" t="s">
        <v>60</v>
      </c>
      <c r="B8" s="27"/>
      <c r="C8" s="27"/>
      <c r="D8" s="27"/>
      <c r="E8" s="25">
        <v>1</v>
      </c>
      <c r="G8" s="32">
        <f t="shared" si="8"/>
        <v>44846</v>
      </c>
      <c r="H8" s="37">
        <f t="shared" si="9"/>
        <v>3.04E-2</v>
      </c>
      <c r="I8" s="32">
        <f t="shared" si="10"/>
        <v>44846</v>
      </c>
      <c r="J8" s="37">
        <f t="shared" si="11"/>
        <v>3.9140000000000001E-2</v>
      </c>
      <c r="K8" s="34">
        <v>44492</v>
      </c>
      <c r="L8" s="37">
        <v>1.0999999999999999E-2</v>
      </c>
      <c r="M8" s="34"/>
      <c r="N8" s="37"/>
      <c r="P8" s="32">
        <v>44846</v>
      </c>
      <c r="Q8" s="37">
        <v>3.9140000000000001E-2</v>
      </c>
      <c r="R8" s="32">
        <v>44846</v>
      </c>
      <c r="S8" s="37">
        <v>3.9140000000000001E-2</v>
      </c>
      <c r="T8" s="34">
        <v>44492</v>
      </c>
      <c r="U8" s="37">
        <v>1.0999999999999999E-2</v>
      </c>
      <c r="V8" s="34"/>
      <c r="W8" s="37"/>
    </row>
    <row r="9" spans="1:23" ht="18" customHeight="1" x14ac:dyDescent="0.4">
      <c r="G9" s="32">
        <f t="shared" si="8"/>
        <v>44847</v>
      </c>
      <c r="H9" s="37">
        <f t="shared" si="9"/>
        <v>3.04E-2</v>
      </c>
      <c r="I9" s="32">
        <f t="shared" si="10"/>
        <v>44847</v>
      </c>
      <c r="J9" s="37">
        <f t="shared" si="11"/>
        <v>3.9140000000000001E-2</v>
      </c>
      <c r="K9" s="34">
        <v>44493</v>
      </c>
      <c r="L9" s="37">
        <v>1.0999999999999999E-2</v>
      </c>
      <c r="N9" s="37"/>
      <c r="P9" s="32">
        <v>44847</v>
      </c>
      <c r="Q9" s="37">
        <v>3.9140000000000001E-2</v>
      </c>
      <c r="R9" s="32">
        <v>44847</v>
      </c>
      <c r="S9" s="37">
        <v>3.9140000000000001E-2</v>
      </c>
      <c r="T9" s="34">
        <v>44493</v>
      </c>
      <c r="U9" s="37">
        <v>1.0999999999999999E-2</v>
      </c>
      <c r="V9" s="36"/>
      <c r="W9" s="37"/>
    </row>
    <row r="10" spans="1:23" ht="18" customHeight="1" x14ac:dyDescent="0.4">
      <c r="G10" s="32">
        <f t="shared" si="8"/>
        <v>44848</v>
      </c>
      <c r="H10" s="37">
        <f t="shared" si="9"/>
        <v>3.04E-2</v>
      </c>
      <c r="I10" s="32">
        <f t="shared" si="10"/>
        <v>44848</v>
      </c>
      <c r="J10" s="37">
        <f t="shared" si="11"/>
        <v>3.9140000000000001E-2</v>
      </c>
      <c r="K10" s="34">
        <v>44494</v>
      </c>
      <c r="L10" s="37">
        <v>1.0999999999999999E-2</v>
      </c>
      <c r="N10" s="37"/>
      <c r="P10" s="32">
        <v>44848</v>
      </c>
      <c r="Q10" s="37">
        <v>3.9140000000000001E-2</v>
      </c>
      <c r="R10" s="32">
        <v>44848</v>
      </c>
      <c r="S10" s="37">
        <v>3.9140000000000001E-2</v>
      </c>
      <c r="T10" s="34">
        <v>44494</v>
      </c>
      <c r="U10" s="37">
        <v>1.0999999999999999E-2</v>
      </c>
      <c r="V10" s="36"/>
      <c r="W10" s="37"/>
    </row>
    <row r="11" spans="1:23" ht="18" customHeight="1" x14ac:dyDescent="0.4">
      <c r="G11" s="32">
        <f t="shared" si="8"/>
        <v>44849</v>
      </c>
      <c r="H11" s="37">
        <f t="shared" si="9"/>
        <v>3.04E-2</v>
      </c>
      <c r="I11" s="32">
        <f t="shared" si="10"/>
        <v>44849</v>
      </c>
      <c r="J11" s="37">
        <f t="shared" si="11"/>
        <v>3.9140000000000001E-2</v>
      </c>
      <c r="K11" s="34">
        <v>44495</v>
      </c>
      <c r="L11" s="37">
        <v>1.0999999999999999E-2</v>
      </c>
      <c r="N11" s="37"/>
      <c r="P11" s="32">
        <v>44849</v>
      </c>
      <c r="Q11" s="37">
        <v>3.9140000000000001E-2</v>
      </c>
      <c r="R11" s="32">
        <v>44849</v>
      </c>
      <c r="S11" s="37">
        <v>3.9140000000000001E-2</v>
      </c>
      <c r="T11" s="34">
        <v>44495</v>
      </c>
      <c r="U11" s="37">
        <v>1.0999999999999999E-2</v>
      </c>
      <c r="V11" s="36"/>
      <c r="W11" s="37"/>
    </row>
    <row r="12" spans="1:23" ht="18" customHeight="1" x14ac:dyDescent="0.4">
      <c r="G12" s="32">
        <f t="shared" si="8"/>
        <v>44850</v>
      </c>
      <c r="H12" s="37">
        <f t="shared" si="9"/>
        <v>3.04E-2</v>
      </c>
      <c r="I12" s="32">
        <f t="shared" si="10"/>
        <v>44850</v>
      </c>
      <c r="J12" s="37">
        <f t="shared" si="11"/>
        <v>3.9140000000000001E-2</v>
      </c>
      <c r="K12" s="34">
        <v>44496</v>
      </c>
      <c r="L12" s="37">
        <v>1.0999999999999999E-2</v>
      </c>
      <c r="N12" s="37"/>
      <c r="P12" s="32">
        <v>44850</v>
      </c>
      <c r="Q12" s="37">
        <v>3.9140000000000001E-2</v>
      </c>
      <c r="R12" s="32">
        <v>44850</v>
      </c>
      <c r="S12" s="37">
        <v>3.9140000000000001E-2</v>
      </c>
      <c r="T12" s="34">
        <v>44496</v>
      </c>
      <c r="U12" s="37">
        <v>1.0999999999999999E-2</v>
      </c>
      <c r="V12" s="36"/>
      <c r="W12" s="37"/>
    </row>
    <row r="13" spans="1:23" ht="18" customHeight="1" x14ac:dyDescent="0.4">
      <c r="G13" s="32">
        <f t="shared" si="8"/>
        <v>44851</v>
      </c>
      <c r="H13" s="37">
        <f t="shared" si="9"/>
        <v>3.04E-2</v>
      </c>
      <c r="I13" s="32">
        <f t="shared" si="10"/>
        <v>44851</v>
      </c>
      <c r="J13" s="37">
        <f t="shared" si="11"/>
        <v>3.9140000000000001E-2</v>
      </c>
      <c r="K13" s="34">
        <v>44497</v>
      </c>
      <c r="L13" s="37">
        <v>1.0999999999999999E-2</v>
      </c>
      <c r="N13" s="37"/>
      <c r="P13" s="32">
        <v>44851</v>
      </c>
      <c r="Q13" s="37">
        <v>3.9140000000000001E-2</v>
      </c>
      <c r="R13" s="32">
        <v>44851</v>
      </c>
      <c r="S13" s="37">
        <v>3.9140000000000001E-2</v>
      </c>
      <c r="T13" s="34">
        <v>44497</v>
      </c>
      <c r="U13" s="37">
        <v>1.0999999999999999E-2</v>
      </c>
      <c r="V13" s="36"/>
      <c r="W13" s="37"/>
    </row>
    <row r="14" spans="1:23" ht="18" customHeight="1" x14ac:dyDescent="0.4">
      <c r="G14" s="32">
        <f t="shared" si="8"/>
        <v>44852</v>
      </c>
      <c r="H14" s="37">
        <f t="shared" si="9"/>
        <v>3.04E-2</v>
      </c>
      <c r="I14" s="32">
        <f t="shared" si="10"/>
        <v>44852</v>
      </c>
      <c r="J14" s="37">
        <f t="shared" si="11"/>
        <v>3.9140000000000001E-2</v>
      </c>
      <c r="K14" s="32">
        <v>44498</v>
      </c>
      <c r="L14" s="37">
        <v>1.0999999999999999E-2</v>
      </c>
      <c r="P14" s="32">
        <v>44852</v>
      </c>
      <c r="Q14" s="37">
        <v>3.9140000000000001E-2</v>
      </c>
      <c r="R14" s="32">
        <v>44852</v>
      </c>
      <c r="S14" s="37">
        <v>3.9140000000000001E-2</v>
      </c>
      <c r="T14" s="32">
        <v>44498</v>
      </c>
      <c r="U14" s="37">
        <v>1.0999999999999999E-2</v>
      </c>
      <c r="V14" s="36"/>
      <c r="W14" s="38"/>
    </row>
    <row r="15" spans="1:23" ht="18" customHeight="1" x14ac:dyDescent="0.4">
      <c r="G15" s="32">
        <f t="shared" si="8"/>
        <v>44853</v>
      </c>
      <c r="H15" s="37">
        <f t="shared" si="9"/>
        <v>3.04E-2</v>
      </c>
      <c r="I15" s="32">
        <f t="shared" si="10"/>
        <v>44853</v>
      </c>
      <c r="J15" s="37">
        <f t="shared" si="11"/>
        <v>3.9140000000000001E-2</v>
      </c>
      <c r="K15" s="32">
        <v>44499</v>
      </c>
      <c r="L15" s="37">
        <v>1.0999999999999999E-2</v>
      </c>
      <c r="P15" s="32">
        <v>44853</v>
      </c>
      <c r="Q15" s="37">
        <v>3.9140000000000001E-2</v>
      </c>
      <c r="R15" s="32">
        <v>44853</v>
      </c>
      <c r="S15" s="37">
        <v>3.9140000000000001E-2</v>
      </c>
      <c r="T15" s="32">
        <v>44499</v>
      </c>
      <c r="U15" s="37">
        <v>1.0999999999999999E-2</v>
      </c>
      <c r="V15" s="36"/>
      <c r="W15" s="38"/>
    </row>
    <row r="16" spans="1:23" ht="18" customHeight="1" x14ac:dyDescent="0.4">
      <c r="G16" s="32">
        <f t="shared" si="8"/>
        <v>44854</v>
      </c>
      <c r="H16" s="37">
        <f t="shared" si="9"/>
        <v>3.04E-2</v>
      </c>
      <c r="I16" s="32">
        <f t="shared" si="10"/>
        <v>44854</v>
      </c>
      <c r="J16" s="37">
        <f t="shared" si="11"/>
        <v>3.9140000000000001E-2</v>
      </c>
      <c r="K16" s="32">
        <v>44500</v>
      </c>
      <c r="L16" s="37">
        <v>1.0999999999999999E-2</v>
      </c>
      <c r="P16" s="32">
        <v>44854</v>
      </c>
      <c r="Q16" s="37">
        <v>3.9140000000000001E-2</v>
      </c>
      <c r="R16" s="32">
        <v>44854</v>
      </c>
      <c r="S16" s="37">
        <v>3.9140000000000001E-2</v>
      </c>
      <c r="T16" s="32">
        <v>44500</v>
      </c>
      <c r="U16" s="37">
        <v>1.0999999999999999E-2</v>
      </c>
      <c r="V16" s="36"/>
      <c r="W16" s="38"/>
    </row>
    <row r="17" spans="7:23" ht="18" customHeight="1" x14ac:dyDescent="0.4">
      <c r="G17" s="32">
        <f t="shared" si="8"/>
        <v>44855</v>
      </c>
      <c r="H17" s="37">
        <f t="shared" si="9"/>
        <v>3.04E-2</v>
      </c>
      <c r="I17" s="32">
        <f t="shared" si="10"/>
        <v>44855</v>
      </c>
      <c r="J17" s="37">
        <f t="shared" si="11"/>
        <v>3.9140000000000001E-2</v>
      </c>
      <c r="K17" s="32">
        <v>44501</v>
      </c>
      <c r="L17" s="37">
        <v>1.0999999999999999E-2</v>
      </c>
      <c r="P17" s="32">
        <v>44855</v>
      </c>
      <c r="Q17" s="37">
        <v>3.9140000000000001E-2</v>
      </c>
      <c r="R17" s="32">
        <v>44855</v>
      </c>
      <c r="S17" s="37">
        <v>3.9140000000000001E-2</v>
      </c>
      <c r="T17" s="32">
        <v>44501</v>
      </c>
      <c r="U17" s="37">
        <v>1.0999999999999999E-2</v>
      </c>
      <c r="V17" s="36"/>
      <c r="W17" s="38"/>
    </row>
    <row r="18" spans="7:23" ht="18" customHeight="1" x14ac:dyDescent="0.4">
      <c r="G18" s="32">
        <f t="shared" si="8"/>
        <v>44856</v>
      </c>
      <c r="H18" s="37">
        <f t="shared" si="9"/>
        <v>3.04E-2</v>
      </c>
      <c r="I18" s="32">
        <f t="shared" si="10"/>
        <v>44856</v>
      </c>
      <c r="J18" s="37">
        <f t="shared" si="11"/>
        <v>3.9140000000000001E-2</v>
      </c>
      <c r="K18" s="32">
        <v>44502</v>
      </c>
      <c r="L18" s="37">
        <v>1.0999999999999999E-2</v>
      </c>
      <c r="P18" s="32">
        <v>44856</v>
      </c>
      <c r="Q18" s="37">
        <v>3.9140000000000001E-2</v>
      </c>
      <c r="R18" s="32">
        <v>44856</v>
      </c>
      <c r="S18" s="37">
        <v>3.9140000000000001E-2</v>
      </c>
      <c r="T18" s="32">
        <v>44502</v>
      </c>
      <c r="U18" s="37">
        <v>1.0999999999999999E-2</v>
      </c>
      <c r="V18" s="36"/>
      <c r="W18" s="38"/>
    </row>
    <row r="19" spans="7:23" ht="18" customHeight="1" x14ac:dyDescent="0.4">
      <c r="G19" s="32">
        <f t="shared" si="8"/>
        <v>44857</v>
      </c>
      <c r="H19" s="37">
        <f t="shared" si="9"/>
        <v>3.04E-2</v>
      </c>
      <c r="I19" s="32">
        <f t="shared" si="10"/>
        <v>44857</v>
      </c>
      <c r="J19" s="37">
        <f t="shared" si="11"/>
        <v>3.9140000000000001E-2</v>
      </c>
      <c r="K19" s="32">
        <v>44503</v>
      </c>
      <c r="L19" s="37">
        <v>1.0999999999999999E-2</v>
      </c>
      <c r="P19" s="32">
        <v>44857</v>
      </c>
      <c r="Q19" s="37">
        <v>3.9140000000000001E-2</v>
      </c>
      <c r="R19" s="32">
        <v>44857</v>
      </c>
      <c r="S19" s="37">
        <v>3.9140000000000001E-2</v>
      </c>
      <c r="T19" s="32">
        <v>44503</v>
      </c>
      <c r="U19" s="37">
        <v>1.0999999999999999E-2</v>
      </c>
      <c r="V19" s="34"/>
      <c r="W19" s="37"/>
    </row>
    <row r="20" spans="7:23" ht="18" customHeight="1" x14ac:dyDescent="0.4">
      <c r="G20" s="32">
        <f t="shared" si="8"/>
        <v>44858</v>
      </c>
      <c r="H20" s="37">
        <f t="shared" si="9"/>
        <v>3.04E-2</v>
      </c>
      <c r="I20" s="32">
        <f t="shared" si="10"/>
        <v>44858</v>
      </c>
      <c r="J20" s="37">
        <f t="shared" si="11"/>
        <v>3.9140000000000001E-2</v>
      </c>
      <c r="K20" s="32">
        <v>44504</v>
      </c>
      <c r="L20" s="37">
        <v>1.0999999999999999E-2</v>
      </c>
      <c r="P20" s="32">
        <v>44858</v>
      </c>
      <c r="Q20" s="37">
        <v>3.9140000000000001E-2</v>
      </c>
      <c r="R20" s="32">
        <v>44858</v>
      </c>
      <c r="S20" s="37">
        <v>3.9140000000000001E-2</v>
      </c>
      <c r="T20" s="32">
        <v>44504</v>
      </c>
      <c r="U20" s="37">
        <v>1.0999999999999999E-2</v>
      </c>
      <c r="V20" s="34"/>
      <c r="W20" s="37"/>
    </row>
    <row r="21" spans="7:23" ht="18" customHeight="1" x14ac:dyDescent="0.4">
      <c r="G21" s="32">
        <f t="shared" si="8"/>
        <v>44859</v>
      </c>
      <c r="H21" s="37">
        <f t="shared" si="9"/>
        <v>3.04E-2</v>
      </c>
      <c r="I21" s="32">
        <f t="shared" si="10"/>
        <v>44859</v>
      </c>
      <c r="J21" s="37">
        <f t="shared" si="11"/>
        <v>3.9140000000000001E-2</v>
      </c>
      <c r="K21" s="32">
        <v>44505</v>
      </c>
      <c r="L21" s="37">
        <v>1.0999999999999999E-2</v>
      </c>
      <c r="P21" s="32">
        <v>44859</v>
      </c>
      <c r="Q21" s="37">
        <v>3.9140000000000001E-2</v>
      </c>
      <c r="R21" s="32">
        <v>44859</v>
      </c>
      <c r="S21" s="37">
        <v>3.9140000000000001E-2</v>
      </c>
      <c r="T21" s="32">
        <v>44505</v>
      </c>
      <c r="U21" s="37">
        <v>1.0999999999999999E-2</v>
      </c>
      <c r="V21" s="34"/>
      <c r="W21" s="37"/>
    </row>
    <row r="22" spans="7:23" ht="18" customHeight="1" x14ac:dyDescent="0.4">
      <c r="G22" s="32">
        <f t="shared" si="8"/>
        <v>44860</v>
      </c>
      <c r="H22" s="37">
        <f t="shared" si="9"/>
        <v>3.04E-2</v>
      </c>
      <c r="I22" s="32">
        <f t="shared" si="10"/>
        <v>44860</v>
      </c>
      <c r="J22" s="37">
        <f t="shared" si="11"/>
        <v>3.9140000000000001E-2</v>
      </c>
      <c r="K22" s="32">
        <v>44506</v>
      </c>
      <c r="L22" s="37">
        <v>1.0999999999999999E-2</v>
      </c>
      <c r="P22" s="32">
        <v>44860</v>
      </c>
      <c r="Q22" s="37">
        <v>3.9140000000000001E-2</v>
      </c>
      <c r="R22" s="32">
        <v>44860</v>
      </c>
      <c r="S22" s="37">
        <v>3.9140000000000001E-2</v>
      </c>
      <c r="T22" s="32">
        <v>44506</v>
      </c>
      <c r="U22" s="37">
        <v>1.0999999999999999E-2</v>
      </c>
      <c r="V22" s="34"/>
      <c r="W22" s="37"/>
    </row>
    <row r="23" spans="7:23" ht="18" customHeight="1" x14ac:dyDescent="0.4">
      <c r="G23" s="32">
        <f t="shared" si="8"/>
        <v>44861</v>
      </c>
      <c r="H23" s="37">
        <f t="shared" si="9"/>
        <v>3.04E-2</v>
      </c>
      <c r="I23" s="32">
        <f t="shared" si="10"/>
        <v>44861</v>
      </c>
      <c r="J23" s="37">
        <f t="shared" si="11"/>
        <v>3.9140000000000001E-2</v>
      </c>
      <c r="K23" s="32">
        <v>44507</v>
      </c>
      <c r="L23" s="37">
        <v>1.0999999999999999E-2</v>
      </c>
      <c r="P23" s="32">
        <v>44861</v>
      </c>
      <c r="Q23" s="37">
        <v>3.9140000000000001E-2</v>
      </c>
      <c r="R23" s="32">
        <v>44861</v>
      </c>
      <c r="S23" s="37">
        <v>3.9140000000000001E-2</v>
      </c>
      <c r="T23" s="32">
        <v>44507</v>
      </c>
      <c r="U23" s="37">
        <v>1.0999999999999999E-2</v>
      </c>
      <c r="V23" s="36"/>
      <c r="W23" s="37"/>
    </row>
    <row r="24" spans="7:23" ht="18" customHeight="1" x14ac:dyDescent="0.4">
      <c r="G24" s="32">
        <f t="shared" si="8"/>
        <v>44862</v>
      </c>
      <c r="H24" s="37">
        <f t="shared" si="9"/>
        <v>3.04E-2</v>
      </c>
      <c r="I24" s="32">
        <f t="shared" si="10"/>
        <v>44862</v>
      </c>
      <c r="J24" s="37">
        <f t="shared" si="11"/>
        <v>3.9140000000000001E-2</v>
      </c>
      <c r="K24" s="32">
        <v>44508</v>
      </c>
      <c r="L24" s="37">
        <v>1.0999999999999999E-2</v>
      </c>
      <c r="P24" s="32">
        <v>44862</v>
      </c>
      <c r="Q24" s="37">
        <v>3.9140000000000001E-2</v>
      </c>
      <c r="R24" s="32">
        <v>44862</v>
      </c>
      <c r="S24" s="37">
        <v>3.9140000000000001E-2</v>
      </c>
      <c r="T24" s="32">
        <v>44508</v>
      </c>
      <c r="U24" s="37">
        <v>1.0999999999999999E-2</v>
      </c>
      <c r="V24" s="36"/>
      <c r="W24" s="37"/>
    </row>
    <row r="25" spans="7:23" ht="18" customHeight="1" x14ac:dyDescent="0.4">
      <c r="G25" s="32">
        <f t="shared" si="8"/>
        <v>44863</v>
      </c>
      <c r="H25" s="37">
        <f t="shared" si="9"/>
        <v>3.04E-2</v>
      </c>
      <c r="I25" s="32">
        <f t="shared" si="10"/>
        <v>44863</v>
      </c>
      <c r="J25" s="37">
        <f t="shared" si="11"/>
        <v>3.9140000000000001E-2</v>
      </c>
      <c r="K25" s="32">
        <v>44509</v>
      </c>
      <c r="L25" s="37">
        <v>1.0999999999999999E-2</v>
      </c>
      <c r="P25" s="32">
        <v>44863</v>
      </c>
      <c r="Q25" s="37">
        <v>3.9140000000000001E-2</v>
      </c>
      <c r="R25" s="32">
        <v>44863</v>
      </c>
      <c r="S25" s="37">
        <v>3.9140000000000001E-2</v>
      </c>
      <c r="T25" s="32">
        <v>44509</v>
      </c>
      <c r="U25" s="37">
        <v>1.0999999999999999E-2</v>
      </c>
      <c r="V25" s="36"/>
      <c r="W25" s="37"/>
    </row>
    <row r="26" spans="7:23" ht="18" customHeight="1" x14ac:dyDescent="0.4">
      <c r="G26" s="32">
        <f t="shared" si="8"/>
        <v>44864</v>
      </c>
      <c r="H26" s="37">
        <f t="shared" si="9"/>
        <v>3.04E-2</v>
      </c>
      <c r="I26" s="32">
        <f t="shared" si="10"/>
        <v>44864</v>
      </c>
      <c r="J26" s="37">
        <f t="shared" si="11"/>
        <v>3.9140000000000001E-2</v>
      </c>
      <c r="K26" s="32">
        <f>K25+1</f>
        <v>44510</v>
      </c>
      <c r="L26" s="37">
        <v>1.0999999999999999E-2</v>
      </c>
      <c r="P26" s="32">
        <v>44864</v>
      </c>
      <c r="Q26" s="37">
        <v>3.9140000000000001E-2</v>
      </c>
      <c r="R26" s="32">
        <v>44864</v>
      </c>
      <c r="S26" s="37">
        <v>3.9140000000000001E-2</v>
      </c>
      <c r="T26" s="32">
        <v>44510</v>
      </c>
      <c r="U26" s="37">
        <v>1.0999999999999999E-2</v>
      </c>
      <c r="V26" s="36"/>
      <c r="W26" s="37"/>
    </row>
    <row r="27" spans="7:23" ht="18" customHeight="1" x14ac:dyDescent="0.4">
      <c r="G27" s="32">
        <f t="shared" si="8"/>
        <v>44865</v>
      </c>
      <c r="H27" s="37">
        <f t="shared" si="9"/>
        <v>3.04E-2</v>
      </c>
      <c r="I27" s="32">
        <f t="shared" si="10"/>
        <v>44865</v>
      </c>
      <c r="J27" s="37">
        <f t="shared" si="11"/>
        <v>3.9140000000000001E-2</v>
      </c>
      <c r="K27" s="32">
        <f t="shared" ref="K27:K90" si="12">K26+1</f>
        <v>44511</v>
      </c>
      <c r="L27" s="37">
        <v>1.0999999999999999E-2</v>
      </c>
      <c r="P27" s="32">
        <v>44865</v>
      </c>
      <c r="Q27" s="37">
        <v>3.9140000000000001E-2</v>
      </c>
      <c r="R27" s="32">
        <v>44865</v>
      </c>
      <c r="S27" s="37">
        <v>3.9140000000000001E-2</v>
      </c>
      <c r="T27" s="32">
        <v>44511</v>
      </c>
      <c r="U27" s="37">
        <v>1.0999999999999999E-2</v>
      </c>
      <c r="V27" s="36"/>
      <c r="W27" s="37"/>
    </row>
    <row r="28" spans="7:23" ht="18" customHeight="1" x14ac:dyDescent="0.4">
      <c r="G28" s="32">
        <f t="shared" si="8"/>
        <v>44866</v>
      </c>
      <c r="H28" s="37">
        <f t="shared" si="9"/>
        <v>3.04E-2</v>
      </c>
      <c r="I28" s="32">
        <f t="shared" si="10"/>
        <v>44866</v>
      </c>
      <c r="J28" s="37">
        <f t="shared" si="11"/>
        <v>3.9140000000000001E-2</v>
      </c>
      <c r="K28" s="32">
        <f t="shared" si="12"/>
        <v>44512</v>
      </c>
      <c r="L28" s="37">
        <v>1.0999999999999999E-2</v>
      </c>
      <c r="P28" s="32">
        <v>44866</v>
      </c>
      <c r="Q28" s="37">
        <v>3.9140000000000001E-2</v>
      </c>
      <c r="R28" s="32">
        <v>44866</v>
      </c>
      <c r="S28" s="37">
        <v>3.9140000000000001E-2</v>
      </c>
      <c r="T28" s="32">
        <v>44512</v>
      </c>
      <c r="U28" s="37">
        <v>1.0999999999999999E-2</v>
      </c>
      <c r="V28" s="36"/>
      <c r="W28" s="38"/>
    </row>
    <row r="29" spans="7:23" ht="18" customHeight="1" x14ac:dyDescent="0.4">
      <c r="G29" s="32">
        <f t="shared" si="8"/>
        <v>44867</v>
      </c>
      <c r="H29" s="37">
        <f t="shared" si="9"/>
        <v>3.04E-2</v>
      </c>
      <c r="I29" s="32">
        <f t="shared" si="10"/>
        <v>44867</v>
      </c>
      <c r="J29" s="37">
        <f t="shared" si="11"/>
        <v>3.9140000000000001E-2</v>
      </c>
      <c r="K29" s="32">
        <f t="shared" si="12"/>
        <v>44513</v>
      </c>
      <c r="L29" s="37">
        <v>1.0999999999999999E-2</v>
      </c>
      <c r="P29" s="32">
        <v>44867</v>
      </c>
      <c r="Q29" s="37">
        <v>3.9140000000000001E-2</v>
      </c>
      <c r="R29" s="32">
        <v>44867</v>
      </c>
      <c r="S29" s="37">
        <v>3.9140000000000001E-2</v>
      </c>
      <c r="T29" s="32">
        <v>44513</v>
      </c>
      <c r="U29" s="37">
        <v>1.0999999999999999E-2</v>
      </c>
      <c r="V29" s="36"/>
      <c r="W29" s="38"/>
    </row>
    <row r="30" spans="7:23" ht="18" customHeight="1" x14ac:dyDescent="0.4">
      <c r="G30" s="32">
        <f t="shared" si="8"/>
        <v>44868</v>
      </c>
      <c r="H30" s="37">
        <f t="shared" si="9"/>
        <v>3.04E-2</v>
      </c>
      <c r="I30" s="32">
        <f t="shared" si="10"/>
        <v>44868</v>
      </c>
      <c r="J30" s="37">
        <f t="shared" si="11"/>
        <v>3.9140000000000001E-2</v>
      </c>
      <c r="K30" s="32">
        <f t="shared" si="12"/>
        <v>44514</v>
      </c>
      <c r="L30" s="37">
        <v>1.0999999999999999E-2</v>
      </c>
      <c r="P30" s="32">
        <v>44868</v>
      </c>
      <c r="Q30" s="37">
        <v>3.9140000000000001E-2</v>
      </c>
      <c r="R30" s="32">
        <v>44868</v>
      </c>
      <c r="S30" s="37">
        <v>3.9140000000000001E-2</v>
      </c>
      <c r="T30" s="32">
        <v>44514</v>
      </c>
      <c r="U30" s="37">
        <v>1.0999999999999999E-2</v>
      </c>
      <c r="V30" s="36"/>
      <c r="W30" s="38"/>
    </row>
    <row r="31" spans="7:23" ht="18" customHeight="1" x14ac:dyDescent="0.4">
      <c r="G31" s="32">
        <f t="shared" si="8"/>
        <v>44869</v>
      </c>
      <c r="H31" s="37">
        <f t="shared" si="9"/>
        <v>3.04E-2</v>
      </c>
      <c r="I31" s="32">
        <f t="shared" si="10"/>
        <v>44869</v>
      </c>
      <c r="J31" s="37">
        <f t="shared" si="11"/>
        <v>3.9140000000000001E-2</v>
      </c>
      <c r="K31" s="32">
        <f t="shared" si="12"/>
        <v>44515</v>
      </c>
      <c r="L31" s="37">
        <v>1.0999999999999999E-2</v>
      </c>
      <c r="P31" s="32">
        <v>44869</v>
      </c>
      <c r="Q31" s="37">
        <v>3.9140000000000001E-2</v>
      </c>
      <c r="R31" s="32">
        <v>44869</v>
      </c>
      <c r="S31" s="37">
        <v>3.9140000000000001E-2</v>
      </c>
      <c r="T31" s="32">
        <v>44515</v>
      </c>
      <c r="U31" s="37">
        <v>1.0999999999999999E-2</v>
      </c>
      <c r="V31" s="36"/>
      <c r="W31" s="38"/>
    </row>
    <row r="32" spans="7:23" ht="18" customHeight="1" x14ac:dyDescent="0.4">
      <c r="G32" s="32">
        <f t="shared" si="8"/>
        <v>44870</v>
      </c>
      <c r="H32" s="37">
        <f t="shared" si="9"/>
        <v>3.04E-2</v>
      </c>
      <c r="I32" s="32">
        <f t="shared" si="10"/>
        <v>44870</v>
      </c>
      <c r="J32" s="37">
        <f t="shared" si="11"/>
        <v>3.9140000000000001E-2</v>
      </c>
      <c r="K32" s="32">
        <f t="shared" si="12"/>
        <v>44516</v>
      </c>
      <c r="L32" s="37">
        <v>1.0999999999999999E-2</v>
      </c>
      <c r="P32" s="32">
        <v>44870</v>
      </c>
      <c r="Q32" s="37">
        <v>3.9140000000000001E-2</v>
      </c>
      <c r="R32" s="32">
        <v>44870</v>
      </c>
      <c r="S32" s="37">
        <v>3.9140000000000001E-2</v>
      </c>
      <c r="T32" s="32">
        <v>44516</v>
      </c>
      <c r="U32" s="37">
        <v>1.0999999999999999E-2</v>
      </c>
      <c r="V32" s="36"/>
      <c r="W32" s="38"/>
    </row>
    <row r="33" spans="7:21" ht="18" customHeight="1" x14ac:dyDescent="0.4">
      <c r="G33" s="32">
        <f t="shared" si="8"/>
        <v>44871</v>
      </c>
      <c r="H33" s="37">
        <f t="shared" si="9"/>
        <v>3.04E-2</v>
      </c>
      <c r="I33" s="32">
        <f t="shared" si="10"/>
        <v>44871</v>
      </c>
      <c r="J33" s="37">
        <f t="shared" si="11"/>
        <v>3.9140000000000001E-2</v>
      </c>
      <c r="K33" s="32">
        <f t="shared" si="12"/>
        <v>44517</v>
      </c>
      <c r="L33" s="37">
        <v>1.0999999999999999E-2</v>
      </c>
      <c r="P33" s="32">
        <v>44871</v>
      </c>
      <c r="Q33" s="37">
        <v>3.9140000000000001E-2</v>
      </c>
      <c r="R33" s="32">
        <v>44871</v>
      </c>
      <c r="S33" s="37">
        <v>3.9140000000000001E-2</v>
      </c>
      <c r="T33" s="32">
        <v>44517</v>
      </c>
      <c r="U33" s="37">
        <v>1.0999999999999999E-2</v>
      </c>
    </row>
    <row r="34" spans="7:21" ht="18" customHeight="1" x14ac:dyDescent="0.4">
      <c r="G34" s="32">
        <f t="shared" si="8"/>
        <v>44872</v>
      </c>
      <c r="H34" s="37">
        <f t="shared" si="9"/>
        <v>3.04E-2</v>
      </c>
      <c r="I34" s="32">
        <f t="shared" si="10"/>
        <v>44872</v>
      </c>
      <c r="J34" s="37">
        <f t="shared" si="11"/>
        <v>3.9140000000000001E-2</v>
      </c>
      <c r="K34" s="32">
        <f t="shared" si="12"/>
        <v>44518</v>
      </c>
      <c r="L34" s="37">
        <v>1.0999999999999999E-2</v>
      </c>
      <c r="P34" s="32">
        <v>44872</v>
      </c>
      <c r="Q34" s="37">
        <v>3.9140000000000001E-2</v>
      </c>
      <c r="R34" s="32">
        <v>44872</v>
      </c>
      <c r="S34" s="37">
        <v>3.9140000000000001E-2</v>
      </c>
      <c r="T34" s="32">
        <v>44518</v>
      </c>
      <c r="U34" s="37">
        <v>1.0999999999999999E-2</v>
      </c>
    </row>
    <row r="35" spans="7:21" ht="18" customHeight="1" x14ac:dyDescent="0.4">
      <c r="G35" s="32">
        <f t="shared" si="8"/>
        <v>44873</v>
      </c>
      <c r="H35" s="37">
        <f t="shared" si="9"/>
        <v>3.04E-2</v>
      </c>
      <c r="I35" s="32">
        <f t="shared" si="10"/>
        <v>44873</v>
      </c>
      <c r="J35" s="37">
        <f t="shared" si="11"/>
        <v>3.9140000000000001E-2</v>
      </c>
      <c r="K35" s="32">
        <f t="shared" si="12"/>
        <v>44519</v>
      </c>
      <c r="L35" s="37">
        <v>1.0999999999999999E-2</v>
      </c>
      <c r="P35" s="32">
        <v>44873</v>
      </c>
      <c r="Q35" s="37">
        <v>3.9140000000000001E-2</v>
      </c>
      <c r="R35" s="32">
        <v>44873</v>
      </c>
      <c r="S35" s="37">
        <v>3.9140000000000001E-2</v>
      </c>
      <c r="T35" s="32">
        <v>44519</v>
      </c>
      <c r="U35" s="37">
        <v>1.0999999999999999E-2</v>
      </c>
    </row>
    <row r="36" spans="7:21" ht="18" customHeight="1" x14ac:dyDescent="0.4">
      <c r="G36" s="32">
        <f t="shared" si="8"/>
        <v>44874</v>
      </c>
      <c r="H36" s="37">
        <f t="shared" si="9"/>
        <v>3.04E-2</v>
      </c>
      <c r="I36" s="32">
        <f t="shared" si="10"/>
        <v>44874</v>
      </c>
      <c r="J36" s="37">
        <f t="shared" si="11"/>
        <v>3.9140000000000001E-2</v>
      </c>
      <c r="K36" s="32">
        <f t="shared" si="12"/>
        <v>44520</v>
      </c>
      <c r="L36" s="37">
        <v>1.0999999999999999E-2</v>
      </c>
      <c r="P36" s="32">
        <v>44874</v>
      </c>
      <c r="Q36" s="37">
        <v>3.9140000000000001E-2</v>
      </c>
      <c r="R36" s="32">
        <v>44874</v>
      </c>
      <c r="S36" s="37">
        <v>3.9140000000000001E-2</v>
      </c>
      <c r="T36" s="32">
        <v>44520</v>
      </c>
      <c r="U36" s="37">
        <v>1.0999999999999999E-2</v>
      </c>
    </row>
    <row r="37" spans="7:21" ht="18" customHeight="1" x14ac:dyDescent="0.4">
      <c r="G37" s="32">
        <f t="shared" si="8"/>
        <v>44875</v>
      </c>
      <c r="H37" s="37">
        <f t="shared" si="9"/>
        <v>3.04E-2</v>
      </c>
      <c r="I37" s="32">
        <f t="shared" si="10"/>
        <v>44875</v>
      </c>
      <c r="J37" s="37">
        <f t="shared" si="11"/>
        <v>3.9140000000000001E-2</v>
      </c>
      <c r="K37" s="32">
        <f t="shared" si="12"/>
        <v>44521</v>
      </c>
      <c r="L37" s="37">
        <v>1.0999999999999999E-2</v>
      </c>
      <c r="P37" s="32">
        <v>44875</v>
      </c>
      <c r="Q37" s="37">
        <v>3.9140000000000001E-2</v>
      </c>
      <c r="R37" s="32">
        <v>44875</v>
      </c>
      <c r="S37" s="37">
        <v>3.9140000000000001E-2</v>
      </c>
      <c r="T37" s="32">
        <v>44521</v>
      </c>
      <c r="U37" s="37">
        <v>1.0999999999999999E-2</v>
      </c>
    </row>
    <row r="38" spans="7:21" ht="18" customHeight="1" x14ac:dyDescent="0.4">
      <c r="G38" s="32">
        <f t="shared" si="8"/>
        <v>44876</v>
      </c>
      <c r="H38" s="37">
        <f t="shared" si="9"/>
        <v>3.04E-2</v>
      </c>
      <c r="I38" s="32">
        <f t="shared" si="10"/>
        <v>44876</v>
      </c>
      <c r="J38" s="37">
        <f t="shared" si="11"/>
        <v>3.9140000000000001E-2</v>
      </c>
      <c r="K38" s="32">
        <f t="shared" si="12"/>
        <v>44522</v>
      </c>
      <c r="L38" s="37">
        <v>1.0999999999999999E-2</v>
      </c>
      <c r="P38" s="32">
        <v>44876</v>
      </c>
      <c r="Q38" s="37">
        <v>3.9140000000000001E-2</v>
      </c>
      <c r="R38" s="32">
        <v>44876</v>
      </c>
      <c r="S38" s="37">
        <v>3.9140000000000001E-2</v>
      </c>
      <c r="T38" s="32">
        <v>44522</v>
      </c>
      <c r="U38" s="37">
        <v>1.0999999999999999E-2</v>
      </c>
    </row>
    <row r="39" spans="7:21" ht="18" customHeight="1" x14ac:dyDescent="0.4">
      <c r="G39" s="32">
        <f t="shared" si="8"/>
        <v>44877</v>
      </c>
      <c r="H39" s="37">
        <f t="shared" si="9"/>
        <v>3.04E-2</v>
      </c>
      <c r="I39" s="32">
        <f t="shared" si="10"/>
        <v>44877</v>
      </c>
      <c r="J39" s="37">
        <f t="shared" si="11"/>
        <v>3.9140000000000001E-2</v>
      </c>
      <c r="K39" s="32">
        <f t="shared" si="12"/>
        <v>44523</v>
      </c>
      <c r="L39" s="37">
        <v>1.0999999999999999E-2</v>
      </c>
      <c r="P39" s="32">
        <v>44877</v>
      </c>
      <c r="Q39" s="37">
        <v>3.9140000000000001E-2</v>
      </c>
      <c r="R39" s="32">
        <v>44877</v>
      </c>
      <c r="S39" s="37">
        <v>3.9140000000000001E-2</v>
      </c>
      <c r="T39" s="32">
        <v>44523</v>
      </c>
      <c r="U39" s="37">
        <v>1.0999999999999999E-2</v>
      </c>
    </row>
    <row r="40" spans="7:21" ht="18" customHeight="1" x14ac:dyDescent="0.4">
      <c r="G40" s="32">
        <f t="shared" si="8"/>
        <v>44878</v>
      </c>
      <c r="H40" s="37">
        <f t="shared" si="9"/>
        <v>3.04E-2</v>
      </c>
      <c r="I40" s="32">
        <f t="shared" si="10"/>
        <v>44878</v>
      </c>
      <c r="J40" s="37">
        <f t="shared" si="11"/>
        <v>3.9140000000000001E-2</v>
      </c>
      <c r="K40" s="32">
        <f t="shared" si="12"/>
        <v>44524</v>
      </c>
      <c r="L40" s="37">
        <v>1.0999999999999999E-2</v>
      </c>
      <c r="P40" s="32">
        <v>44878</v>
      </c>
      <c r="Q40" s="37">
        <v>3.9140000000000001E-2</v>
      </c>
      <c r="R40" s="32">
        <v>44878</v>
      </c>
      <c r="S40" s="37">
        <v>3.9140000000000001E-2</v>
      </c>
      <c r="T40" s="32">
        <v>44524</v>
      </c>
      <c r="U40" s="37">
        <v>1.0999999999999999E-2</v>
      </c>
    </row>
    <row r="41" spans="7:21" ht="18" customHeight="1" x14ac:dyDescent="0.4">
      <c r="G41" s="32">
        <f t="shared" si="8"/>
        <v>44879</v>
      </c>
      <c r="H41" s="37">
        <f t="shared" si="9"/>
        <v>3.04E-2</v>
      </c>
      <c r="I41" s="32">
        <f t="shared" si="10"/>
        <v>44879</v>
      </c>
      <c r="J41" s="37">
        <f t="shared" si="11"/>
        <v>3.9140000000000001E-2</v>
      </c>
      <c r="K41" s="32">
        <f t="shared" si="12"/>
        <v>44525</v>
      </c>
      <c r="L41" s="37">
        <v>1.0999999999999999E-2</v>
      </c>
      <c r="P41" s="32">
        <v>44879</v>
      </c>
      <c r="Q41" s="37">
        <v>3.9140000000000001E-2</v>
      </c>
      <c r="R41" s="32">
        <v>44879</v>
      </c>
      <c r="S41" s="37">
        <v>3.9140000000000001E-2</v>
      </c>
      <c r="T41" s="32">
        <v>44525</v>
      </c>
      <c r="U41" s="37">
        <v>1.0999999999999999E-2</v>
      </c>
    </row>
    <row r="42" spans="7:21" ht="18" customHeight="1" x14ac:dyDescent="0.4">
      <c r="G42" s="32">
        <f t="shared" si="8"/>
        <v>44880</v>
      </c>
      <c r="H42" s="37">
        <f t="shared" si="9"/>
        <v>3.04E-2</v>
      </c>
      <c r="I42" s="32">
        <f t="shared" si="10"/>
        <v>44880</v>
      </c>
      <c r="J42" s="37">
        <f t="shared" si="11"/>
        <v>3.9140000000000001E-2</v>
      </c>
      <c r="K42" s="32">
        <f t="shared" si="12"/>
        <v>44526</v>
      </c>
      <c r="L42" s="37">
        <v>1.0999999999999999E-2</v>
      </c>
      <c r="P42" s="32">
        <v>44880</v>
      </c>
      <c r="Q42" s="37">
        <v>3.9140000000000001E-2</v>
      </c>
      <c r="R42" s="32">
        <v>44880</v>
      </c>
      <c r="S42" s="37">
        <v>3.9140000000000001E-2</v>
      </c>
      <c r="T42" s="32">
        <v>44526</v>
      </c>
      <c r="U42" s="37">
        <v>1.0999999999999999E-2</v>
      </c>
    </row>
    <row r="43" spans="7:21" ht="18" customHeight="1" x14ac:dyDescent="0.4">
      <c r="G43" s="32">
        <f t="shared" si="8"/>
        <v>44881</v>
      </c>
      <c r="H43" s="37">
        <f t="shared" si="9"/>
        <v>3.04E-2</v>
      </c>
      <c r="I43" s="32">
        <f t="shared" si="10"/>
        <v>44881</v>
      </c>
      <c r="J43" s="37">
        <f t="shared" si="11"/>
        <v>3.9140000000000001E-2</v>
      </c>
      <c r="K43" s="32">
        <f t="shared" si="12"/>
        <v>44527</v>
      </c>
      <c r="L43" s="37">
        <v>1.0999999999999999E-2</v>
      </c>
      <c r="P43" s="32">
        <v>44881</v>
      </c>
      <c r="Q43" s="37">
        <v>3.9140000000000001E-2</v>
      </c>
      <c r="R43" s="32">
        <v>44881</v>
      </c>
      <c r="S43" s="37">
        <v>3.9140000000000001E-2</v>
      </c>
      <c r="T43" s="32">
        <v>44527</v>
      </c>
      <c r="U43" s="37">
        <v>1.0999999999999999E-2</v>
      </c>
    </row>
    <row r="44" spans="7:21" ht="18" customHeight="1" x14ac:dyDescent="0.4">
      <c r="G44" s="32">
        <f t="shared" si="8"/>
        <v>44882</v>
      </c>
      <c r="H44" s="37">
        <f t="shared" si="9"/>
        <v>3.04E-2</v>
      </c>
      <c r="I44" s="32">
        <f t="shared" si="10"/>
        <v>44882</v>
      </c>
      <c r="J44" s="37">
        <f t="shared" si="11"/>
        <v>3.9140000000000001E-2</v>
      </c>
      <c r="K44" s="32">
        <f t="shared" si="12"/>
        <v>44528</v>
      </c>
      <c r="L44" s="37">
        <v>1.0999999999999999E-2</v>
      </c>
      <c r="P44" s="32">
        <v>44882</v>
      </c>
      <c r="Q44" s="37">
        <v>3.9140000000000001E-2</v>
      </c>
      <c r="R44" s="32">
        <v>44882</v>
      </c>
      <c r="S44" s="37">
        <v>3.9140000000000001E-2</v>
      </c>
      <c r="T44" s="32">
        <v>44528</v>
      </c>
      <c r="U44" s="37">
        <v>1.0999999999999999E-2</v>
      </c>
    </row>
    <row r="45" spans="7:21" ht="18" customHeight="1" x14ac:dyDescent="0.4">
      <c r="G45" s="32">
        <f t="shared" si="8"/>
        <v>44883</v>
      </c>
      <c r="H45" s="37">
        <f t="shared" si="9"/>
        <v>3.04E-2</v>
      </c>
      <c r="I45" s="32">
        <f t="shared" si="10"/>
        <v>44883</v>
      </c>
      <c r="J45" s="37">
        <f t="shared" si="11"/>
        <v>3.9140000000000001E-2</v>
      </c>
      <c r="K45" s="32">
        <f t="shared" si="12"/>
        <v>44529</v>
      </c>
      <c r="L45" s="37">
        <v>1.0999999999999999E-2</v>
      </c>
      <c r="P45" s="32">
        <v>44883</v>
      </c>
      <c r="Q45" s="37">
        <v>3.9140000000000001E-2</v>
      </c>
      <c r="R45" s="32">
        <v>44883</v>
      </c>
      <c r="S45" s="37">
        <v>3.9140000000000001E-2</v>
      </c>
      <c r="T45" s="32">
        <v>44529</v>
      </c>
      <c r="U45" s="37">
        <v>1.0999999999999999E-2</v>
      </c>
    </row>
    <row r="46" spans="7:21" ht="18" customHeight="1" x14ac:dyDescent="0.4">
      <c r="G46" s="32">
        <f t="shared" si="8"/>
        <v>44884</v>
      </c>
      <c r="H46" s="37">
        <f t="shared" si="9"/>
        <v>3.04E-2</v>
      </c>
      <c r="I46" s="32">
        <f t="shared" si="10"/>
        <v>44884</v>
      </c>
      <c r="J46" s="37">
        <f t="shared" si="11"/>
        <v>3.9140000000000001E-2</v>
      </c>
      <c r="K46" s="32">
        <f t="shared" si="12"/>
        <v>44530</v>
      </c>
      <c r="L46" s="37">
        <v>1.0999999999999999E-2</v>
      </c>
      <c r="P46" s="32">
        <v>44884</v>
      </c>
      <c r="Q46" s="37">
        <v>3.9140000000000001E-2</v>
      </c>
      <c r="R46" s="32">
        <v>44884</v>
      </c>
      <c r="S46" s="37">
        <v>3.9140000000000001E-2</v>
      </c>
      <c r="T46" s="32">
        <v>44530</v>
      </c>
      <c r="U46" s="37">
        <v>1.0999999999999999E-2</v>
      </c>
    </row>
    <row r="47" spans="7:21" ht="18" customHeight="1" x14ac:dyDescent="0.4">
      <c r="G47" s="32">
        <f t="shared" si="8"/>
        <v>44885</v>
      </c>
      <c r="H47" s="37">
        <f t="shared" si="9"/>
        <v>3.04E-2</v>
      </c>
      <c r="I47" s="32">
        <f t="shared" si="10"/>
        <v>44885</v>
      </c>
      <c r="J47" s="37">
        <f t="shared" si="11"/>
        <v>3.9140000000000001E-2</v>
      </c>
      <c r="K47" s="32">
        <f t="shared" si="12"/>
        <v>44531</v>
      </c>
      <c r="L47" s="37">
        <v>1.0999999999999999E-2</v>
      </c>
      <c r="P47" s="32">
        <v>44885</v>
      </c>
      <c r="Q47" s="37">
        <v>3.9140000000000001E-2</v>
      </c>
      <c r="R47" s="32">
        <v>44885</v>
      </c>
      <c r="S47" s="37">
        <v>3.9140000000000001E-2</v>
      </c>
      <c r="T47" s="32">
        <v>44531</v>
      </c>
      <c r="U47" s="37">
        <v>1.0999999999999999E-2</v>
      </c>
    </row>
    <row r="48" spans="7:21" ht="18" customHeight="1" x14ac:dyDescent="0.4">
      <c r="G48" s="32">
        <f t="shared" si="8"/>
        <v>44886</v>
      </c>
      <c r="H48" s="37">
        <f t="shared" si="9"/>
        <v>3.04E-2</v>
      </c>
      <c r="I48" s="32">
        <f t="shared" si="10"/>
        <v>44886</v>
      </c>
      <c r="J48" s="37">
        <f t="shared" si="11"/>
        <v>3.9140000000000001E-2</v>
      </c>
      <c r="K48" s="32">
        <f t="shared" si="12"/>
        <v>44532</v>
      </c>
      <c r="L48" s="37">
        <v>1.0999999999999999E-2</v>
      </c>
      <c r="P48" s="32">
        <v>44886</v>
      </c>
      <c r="Q48" s="37">
        <v>3.9140000000000001E-2</v>
      </c>
      <c r="R48" s="32">
        <v>44886</v>
      </c>
      <c r="S48" s="37">
        <v>3.9140000000000001E-2</v>
      </c>
      <c r="T48" s="32">
        <v>44532</v>
      </c>
      <c r="U48" s="37">
        <v>1.0999999999999999E-2</v>
      </c>
    </row>
    <row r="49" spans="7:21" ht="18" customHeight="1" x14ac:dyDescent="0.4">
      <c r="G49" s="32">
        <f t="shared" si="8"/>
        <v>44887</v>
      </c>
      <c r="H49" s="37">
        <f t="shared" si="9"/>
        <v>3.04E-2</v>
      </c>
      <c r="I49" s="32">
        <f t="shared" si="10"/>
        <v>44887</v>
      </c>
      <c r="J49" s="37">
        <f t="shared" si="11"/>
        <v>3.9140000000000001E-2</v>
      </c>
      <c r="K49" s="32">
        <f t="shared" si="12"/>
        <v>44533</v>
      </c>
      <c r="L49" s="37">
        <v>1.0999999999999999E-2</v>
      </c>
      <c r="P49" s="32">
        <v>44887</v>
      </c>
      <c r="Q49" s="37">
        <v>3.9140000000000001E-2</v>
      </c>
      <c r="R49" s="32">
        <v>44887</v>
      </c>
      <c r="S49" s="37">
        <v>3.9140000000000001E-2</v>
      </c>
      <c r="T49" s="32">
        <v>44533</v>
      </c>
      <c r="U49" s="37">
        <v>1.0999999999999999E-2</v>
      </c>
    </row>
    <row r="50" spans="7:21" ht="18" customHeight="1" x14ac:dyDescent="0.4">
      <c r="G50" s="32">
        <f t="shared" si="8"/>
        <v>44888</v>
      </c>
      <c r="H50" s="37">
        <f t="shared" si="9"/>
        <v>3.04E-2</v>
      </c>
      <c r="I50" s="32">
        <f t="shared" si="10"/>
        <v>44888</v>
      </c>
      <c r="J50" s="37">
        <f t="shared" si="11"/>
        <v>3.9140000000000001E-2</v>
      </c>
      <c r="K50" s="32">
        <f t="shared" si="12"/>
        <v>44534</v>
      </c>
      <c r="L50" s="37">
        <v>1.0999999999999999E-2</v>
      </c>
      <c r="P50" s="32">
        <v>44888</v>
      </c>
      <c r="Q50" s="37">
        <v>3.9140000000000001E-2</v>
      </c>
      <c r="R50" s="32">
        <v>44888</v>
      </c>
      <c r="S50" s="37">
        <v>3.9140000000000001E-2</v>
      </c>
      <c r="T50" s="32">
        <v>44534</v>
      </c>
      <c r="U50" s="37">
        <v>1.0999999999999999E-2</v>
      </c>
    </row>
    <row r="51" spans="7:21" ht="18" customHeight="1" x14ac:dyDescent="0.4">
      <c r="G51" s="32">
        <f t="shared" si="8"/>
        <v>44889</v>
      </c>
      <c r="H51" s="37">
        <f t="shared" si="9"/>
        <v>3.04E-2</v>
      </c>
      <c r="I51" s="32">
        <f t="shared" si="10"/>
        <v>44889</v>
      </c>
      <c r="J51" s="37">
        <f t="shared" si="11"/>
        <v>3.9140000000000001E-2</v>
      </c>
      <c r="K51" s="32">
        <f t="shared" si="12"/>
        <v>44535</v>
      </c>
      <c r="L51" s="37">
        <v>1.0999999999999999E-2</v>
      </c>
      <c r="P51" s="32">
        <v>44889</v>
      </c>
      <c r="Q51" s="37">
        <v>3.9140000000000001E-2</v>
      </c>
      <c r="R51" s="32">
        <v>44889</v>
      </c>
      <c r="S51" s="37">
        <v>3.9140000000000001E-2</v>
      </c>
      <c r="T51" s="32">
        <v>44535</v>
      </c>
      <c r="U51" s="37">
        <v>1.0999999999999999E-2</v>
      </c>
    </row>
    <row r="52" spans="7:21" ht="18" customHeight="1" x14ac:dyDescent="0.4">
      <c r="G52" s="32">
        <f t="shared" si="8"/>
        <v>44890</v>
      </c>
      <c r="H52" s="37">
        <f t="shared" si="9"/>
        <v>3.04E-2</v>
      </c>
      <c r="I52" s="32">
        <f t="shared" si="10"/>
        <v>44890</v>
      </c>
      <c r="J52" s="37">
        <f t="shared" si="11"/>
        <v>3.9140000000000001E-2</v>
      </c>
      <c r="K52" s="32">
        <f t="shared" si="12"/>
        <v>44536</v>
      </c>
      <c r="L52" s="37">
        <v>1.0999999999999999E-2</v>
      </c>
      <c r="P52" s="32">
        <v>44890</v>
      </c>
      <c r="Q52" s="37">
        <v>3.9140000000000001E-2</v>
      </c>
      <c r="R52" s="32">
        <v>44890</v>
      </c>
      <c r="S52" s="37">
        <v>3.9140000000000001E-2</v>
      </c>
      <c r="T52" s="32">
        <v>44536</v>
      </c>
      <c r="U52" s="37">
        <v>1.0999999999999999E-2</v>
      </c>
    </row>
    <row r="53" spans="7:21" ht="18" customHeight="1" x14ac:dyDescent="0.4">
      <c r="G53" s="32">
        <f t="shared" si="8"/>
        <v>44891</v>
      </c>
      <c r="H53" s="37">
        <f t="shared" si="9"/>
        <v>3.04E-2</v>
      </c>
      <c r="I53" s="32">
        <f t="shared" si="10"/>
        <v>44891</v>
      </c>
      <c r="J53" s="37">
        <f t="shared" si="11"/>
        <v>3.9140000000000001E-2</v>
      </c>
      <c r="K53" s="32">
        <f t="shared" si="12"/>
        <v>44537</v>
      </c>
      <c r="L53" s="37">
        <v>1.0999999999999999E-2</v>
      </c>
      <c r="P53" s="32">
        <v>44891</v>
      </c>
      <c r="Q53" s="37">
        <v>3.9140000000000001E-2</v>
      </c>
      <c r="R53" s="32">
        <v>44891</v>
      </c>
      <c r="S53" s="37">
        <v>3.9140000000000001E-2</v>
      </c>
      <c r="T53" s="32">
        <v>44537</v>
      </c>
      <c r="U53" s="37">
        <v>1.0999999999999999E-2</v>
      </c>
    </row>
    <row r="54" spans="7:21" ht="18" customHeight="1" x14ac:dyDescent="0.4">
      <c r="G54" s="32">
        <f t="shared" si="8"/>
        <v>44892</v>
      </c>
      <c r="H54" s="37">
        <f t="shared" si="9"/>
        <v>3.04E-2</v>
      </c>
      <c r="I54" s="32">
        <f t="shared" si="10"/>
        <v>44892</v>
      </c>
      <c r="J54" s="37">
        <f t="shared" si="11"/>
        <v>3.9140000000000001E-2</v>
      </c>
      <c r="K54" s="32">
        <f t="shared" si="12"/>
        <v>44538</v>
      </c>
      <c r="L54" s="37">
        <v>1.0999999999999999E-2</v>
      </c>
      <c r="P54" s="32">
        <v>44892</v>
      </c>
      <c r="Q54" s="37">
        <v>3.9140000000000001E-2</v>
      </c>
      <c r="R54" s="32">
        <v>44892</v>
      </c>
      <c r="S54" s="37">
        <v>3.9140000000000001E-2</v>
      </c>
      <c r="T54" s="32">
        <v>44538</v>
      </c>
      <c r="U54" s="37">
        <v>1.0999999999999999E-2</v>
      </c>
    </row>
    <row r="55" spans="7:21" ht="18" customHeight="1" x14ac:dyDescent="0.4">
      <c r="G55" s="32">
        <f t="shared" si="8"/>
        <v>44893</v>
      </c>
      <c r="H55" s="37">
        <f t="shared" si="9"/>
        <v>3.04E-2</v>
      </c>
      <c r="I55" s="32">
        <f t="shared" si="10"/>
        <v>44893</v>
      </c>
      <c r="J55" s="37">
        <f t="shared" si="11"/>
        <v>3.9140000000000001E-2</v>
      </c>
      <c r="K55" s="32">
        <f t="shared" si="12"/>
        <v>44539</v>
      </c>
      <c r="L55" s="37">
        <v>1.0999999999999999E-2</v>
      </c>
      <c r="P55" s="32">
        <v>44893</v>
      </c>
      <c r="Q55" s="37">
        <v>3.9140000000000001E-2</v>
      </c>
      <c r="R55" s="32">
        <v>44893</v>
      </c>
      <c r="S55" s="37">
        <v>3.9140000000000001E-2</v>
      </c>
      <c r="T55" s="32">
        <v>44539</v>
      </c>
      <c r="U55" s="37">
        <v>1.0999999999999999E-2</v>
      </c>
    </row>
    <row r="56" spans="7:21" ht="18" customHeight="1" x14ac:dyDescent="0.4">
      <c r="G56" s="32">
        <f t="shared" si="8"/>
        <v>44894</v>
      </c>
      <c r="H56" s="37">
        <f t="shared" si="9"/>
        <v>3.04E-2</v>
      </c>
      <c r="I56" s="32">
        <f t="shared" si="10"/>
        <v>44894</v>
      </c>
      <c r="J56" s="37">
        <f t="shared" si="11"/>
        <v>3.9140000000000001E-2</v>
      </c>
      <c r="K56" s="32">
        <f t="shared" si="12"/>
        <v>44540</v>
      </c>
      <c r="L56" s="37">
        <v>1.0999999999999999E-2</v>
      </c>
      <c r="P56" s="32">
        <v>44894</v>
      </c>
      <c r="Q56" s="37">
        <v>3.9140000000000001E-2</v>
      </c>
      <c r="R56" s="32">
        <v>44894</v>
      </c>
      <c r="S56" s="37">
        <v>3.9140000000000001E-2</v>
      </c>
      <c r="T56" s="32">
        <v>44540</v>
      </c>
      <c r="U56" s="37">
        <v>1.0999999999999999E-2</v>
      </c>
    </row>
    <row r="57" spans="7:21" ht="18" customHeight="1" x14ac:dyDescent="0.4">
      <c r="G57" s="32">
        <f t="shared" si="8"/>
        <v>44895</v>
      </c>
      <c r="H57" s="37">
        <f t="shared" si="9"/>
        <v>3.04E-2</v>
      </c>
      <c r="I57" s="32">
        <f t="shared" si="10"/>
        <v>44895</v>
      </c>
      <c r="J57" s="37">
        <f t="shared" si="11"/>
        <v>3.9140000000000001E-2</v>
      </c>
      <c r="K57" s="32">
        <f t="shared" si="12"/>
        <v>44541</v>
      </c>
      <c r="L57" s="37">
        <v>1.0999999999999999E-2</v>
      </c>
      <c r="P57" s="32">
        <v>44895</v>
      </c>
      <c r="Q57" s="37">
        <v>3.9140000000000001E-2</v>
      </c>
      <c r="R57" s="32">
        <v>44895</v>
      </c>
      <c r="S57" s="37">
        <v>3.9140000000000001E-2</v>
      </c>
      <c r="T57" s="32">
        <v>44541</v>
      </c>
      <c r="U57" s="37">
        <v>1.0999999999999999E-2</v>
      </c>
    </row>
    <row r="58" spans="7:21" ht="18" customHeight="1" x14ac:dyDescent="0.4">
      <c r="G58" s="32">
        <f t="shared" si="8"/>
        <v>44896</v>
      </c>
      <c r="H58" s="37">
        <f t="shared" si="9"/>
        <v>3.04E-2</v>
      </c>
      <c r="I58" s="32">
        <f t="shared" si="10"/>
        <v>44896</v>
      </c>
      <c r="J58" s="37">
        <f t="shared" si="11"/>
        <v>3.9140000000000001E-2</v>
      </c>
      <c r="K58" s="32">
        <f t="shared" si="12"/>
        <v>44542</v>
      </c>
      <c r="L58" s="37">
        <v>1.0999999999999999E-2</v>
      </c>
      <c r="P58" s="32">
        <v>44896</v>
      </c>
      <c r="Q58" s="37">
        <v>3.9140000000000001E-2</v>
      </c>
      <c r="R58" s="32">
        <v>44896</v>
      </c>
      <c r="S58" s="37">
        <v>3.9140000000000001E-2</v>
      </c>
      <c r="T58" s="32">
        <v>44542</v>
      </c>
      <c r="U58" s="37">
        <v>1.0999999999999999E-2</v>
      </c>
    </row>
    <row r="59" spans="7:21" ht="18" customHeight="1" x14ac:dyDescent="0.4">
      <c r="G59" s="32">
        <f t="shared" si="8"/>
        <v>44897</v>
      </c>
      <c r="H59" s="37">
        <f t="shared" si="9"/>
        <v>3.04E-2</v>
      </c>
      <c r="I59" s="32">
        <f t="shared" si="10"/>
        <v>44897</v>
      </c>
      <c r="J59" s="37">
        <f t="shared" si="11"/>
        <v>3.9140000000000001E-2</v>
      </c>
      <c r="K59" s="32">
        <f t="shared" si="12"/>
        <v>44543</v>
      </c>
      <c r="L59" s="37">
        <v>1.0999999999999999E-2</v>
      </c>
      <c r="P59" s="32">
        <v>44897</v>
      </c>
      <c r="Q59" s="37">
        <v>3.9140000000000001E-2</v>
      </c>
      <c r="R59" s="32">
        <v>44897</v>
      </c>
      <c r="S59" s="37">
        <v>3.9140000000000001E-2</v>
      </c>
      <c r="T59" s="32">
        <v>44543</v>
      </c>
      <c r="U59" s="37">
        <v>1.0999999999999999E-2</v>
      </c>
    </row>
    <row r="60" spans="7:21" ht="18" customHeight="1" x14ac:dyDescent="0.4">
      <c r="G60" s="32">
        <f t="shared" si="8"/>
        <v>44898</v>
      </c>
      <c r="H60" s="37">
        <f t="shared" si="9"/>
        <v>3.04E-2</v>
      </c>
      <c r="I60" s="32">
        <f t="shared" si="10"/>
        <v>44898</v>
      </c>
      <c r="J60" s="37">
        <f t="shared" si="11"/>
        <v>3.9140000000000001E-2</v>
      </c>
      <c r="K60" s="32">
        <f t="shared" si="12"/>
        <v>44544</v>
      </c>
      <c r="L60" s="37">
        <v>1.0999999999999999E-2</v>
      </c>
      <c r="P60" s="32">
        <v>44898</v>
      </c>
      <c r="Q60" s="37">
        <v>3.9140000000000001E-2</v>
      </c>
      <c r="R60" s="32">
        <v>44898</v>
      </c>
      <c r="S60" s="37">
        <v>3.9140000000000001E-2</v>
      </c>
      <c r="T60" s="32">
        <v>44544</v>
      </c>
      <c r="U60" s="37">
        <v>1.0999999999999999E-2</v>
      </c>
    </row>
    <row r="61" spans="7:21" ht="18" customHeight="1" x14ac:dyDescent="0.4">
      <c r="G61" s="32">
        <f t="shared" si="8"/>
        <v>44899</v>
      </c>
      <c r="H61" s="37">
        <f t="shared" si="9"/>
        <v>3.04E-2</v>
      </c>
      <c r="I61" s="32">
        <f t="shared" si="10"/>
        <v>44899</v>
      </c>
      <c r="J61" s="37">
        <f t="shared" si="11"/>
        <v>3.9140000000000001E-2</v>
      </c>
      <c r="K61" s="32">
        <f t="shared" si="12"/>
        <v>44545</v>
      </c>
      <c r="L61" s="37">
        <v>1.0999999999999999E-2</v>
      </c>
      <c r="P61" s="32">
        <v>44899</v>
      </c>
      <c r="Q61" s="37">
        <v>3.9140000000000001E-2</v>
      </c>
      <c r="R61" s="32">
        <v>44899</v>
      </c>
      <c r="S61" s="37">
        <v>3.9140000000000001E-2</v>
      </c>
      <c r="T61" s="32">
        <v>44545</v>
      </c>
      <c r="U61" s="37">
        <v>1.0999999999999999E-2</v>
      </c>
    </row>
    <row r="62" spans="7:21" ht="18" customHeight="1" x14ac:dyDescent="0.4">
      <c r="G62" s="32">
        <f t="shared" si="8"/>
        <v>44900</v>
      </c>
      <c r="H62" s="37">
        <f t="shared" si="9"/>
        <v>3.04E-2</v>
      </c>
      <c r="I62" s="32">
        <f t="shared" si="10"/>
        <v>44900</v>
      </c>
      <c r="J62" s="37">
        <f t="shared" si="11"/>
        <v>3.9140000000000001E-2</v>
      </c>
      <c r="K62" s="32">
        <f t="shared" si="12"/>
        <v>44546</v>
      </c>
      <c r="L62" s="37">
        <v>1.0999999999999999E-2</v>
      </c>
      <c r="P62" s="32">
        <v>44900</v>
      </c>
      <c r="Q62" s="37">
        <v>3.9140000000000001E-2</v>
      </c>
      <c r="R62" s="32">
        <v>44900</v>
      </c>
      <c r="S62" s="37">
        <v>3.9140000000000001E-2</v>
      </c>
      <c r="T62" s="32">
        <v>44546</v>
      </c>
      <c r="U62" s="37">
        <v>1.0999999999999999E-2</v>
      </c>
    </row>
    <row r="63" spans="7:21" ht="18" customHeight="1" x14ac:dyDescent="0.4">
      <c r="G63" s="32">
        <f t="shared" si="8"/>
        <v>44901</v>
      </c>
      <c r="H63" s="37">
        <f t="shared" si="9"/>
        <v>3.04E-2</v>
      </c>
      <c r="I63" s="32">
        <f t="shared" si="10"/>
        <v>44901</v>
      </c>
      <c r="J63" s="37">
        <f t="shared" si="11"/>
        <v>3.9140000000000001E-2</v>
      </c>
      <c r="K63" s="32">
        <f t="shared" si="12"/>
        <v>44547</v>
      </c>
      <c r="L63" s="37">
        <v>1.0999999999999999E-2</v>
      </c>
      <c r="P63" s="32">
        <v>44901</v>
      </c>
      <c r="Q63" s="37">
        <v>3.9140000000000001E-2</v>
      </c>
      <c r="R63" s="32">
        <v>44901</v>
      </c>
      <c r="S63" s="37">
        <v>3.9140000000000001E-2</v>
      </c>
      <c r="T63" s="32">
        <v>44547</v>
      </c>
      <c r="U63" s="37">
        <v>1.0999999999999999E-2</v>
      </c>
    </row>
    <row r="64" spans="7:21" ht="18" customHeight="1" x14ac:dyDescent="0.4">
      <c r="G64" s="32">
        <f t="shared" si="8"/>
        <v>44902</v>
      </c>
      <c r="H64" s="37">
        <f t="shared" si="9"/>
        <v>3.04E-2</v>
      </c>
      <c r="I64" s="32">
        <f t="shared" si="10"/>
        <v>44902</v>
      </c>
      <c r="J64" s="37">
        <f t="shared" si="11"/>
        <v>3.9140000000000001E-2</v>
      </c>
      <c r="K64" s="32">
        <f t="shared" si="12"/>
        <v>44548</v>
      </c>
      <c r="L64" s="37">
        <v>1.0999999999999999E-2</v>
      </c>
      <c r="P64" s="32">
        <v>44902</v>
      </c>
      <c r="Q64" s="37">
        <v>3.9140000000000001E-2</v>
      </c>
      <c r="R64" s="32">
        <v>44902</v>
      </c>
      <c r="S64" s="37">
        <v>3.9140000000000001E-2</v>
      </c>
      <c r="T64" s="32">
        <v>44548</v>
      </c>
      <c r="U64" s="37">
        <v>1.0999999999999999E-2</v>
      </c>
    </row>
    <row r="65" spans="7:21" ht="18" customHeight="1" x14ac:dyDescent="0.4">
      <c r="G65" s="32">
        <f t="shared" si="8"/>
        <v>44903</v>
      </c>
      <c r="H65" s="37">
        <f t="shared" si="9"/>
        <v>3.04E-2</v>
      </c>
      <c r="I65" s="32">
        <f t="shared" si="10"/>
        <v>44903</v>
      </c>
      <c r="J65" s="37">
        <f t="shared" si="11"/>
        <v>3.9140000000000001E-2</v>
      </c>
      <c r="K65" s="32">
        <f t="shared" si="12"/>
        <v>44549</v>
      </c>
      <c r="L65" s="37">
        <v>1.0999999999999999E-2</v>
      </c>
      <c r="P65" s="32">
        <v>44903</v>
      </c>
      <c r="Q65" s="37">
        <v>3.9140000000000001E-2</v>
      </c>
      <c r="R65" s="32">
        <v>44903</v>
      </c>
      <c r="S65" s="37">
        <v>3.9140000000000001E-2</v>
      </c>
      <c r="T65" s="32">
        <v>44549</v>
      </c>
      <c r="U65" s="37">
        <v>1.0999999999999999E-2</v>
      </c>
    </row>
    <row r="66" spans="7:21" ht="18" customHeight="1" x14ac:dyDescent="0.4">
      <c r="G66" s="32">
        <f t="shared" si="8"/>
        <v>44904</v>
      </c>
      <c r="H66" s="37">
        <f t="shared" si="9"/>
        <v>3.04E-2</v>
      </c>
      <c r="I66" s="32">
        <f t="shared" si="10"/>
        <v>44904</v>
      </c>
      <c r="J66" s="37">
        <f t="shared" si="11"/>
        <v>3.9140000000000001E-2</v>
      </c>
      <c r="K66" s="32">
        <f t="shared" si="12"/>
        <v>44550</v>
      </c>
      <c r="L66" s="37">
        <v>1.0999999999999999E-2</v>
      </c>
      <c r="P66" s="32">
        <v>44904</v>
      </c>
      <c r="Q66" s="37">
        <v>3.9140000000000001E-2</v>
      </c>
      <c r="R66" s="32">
        <v>44904</v>
      </c>
      <c r="S66" s="37">
        <v>3.9140000000000001E-2</v>
      </c>
      <c r="T66" s="32">
        <v>44550</v>
      </c>
      <c r="U66" s="37">
        <v>1.0999999999999999E-2</v>
      </c>
    </row>
    <row r="67" spans="7:21" ht="18" customHeight="1" x14ac:dyDescent="0.4">
      <c r="G67" s="32">
        <f t="shared" si="8"/>
        <v>44905</v>
      </c>
      <c r="H67" s="37">
        <f t="shared" si="9"/>
        <v>3.04E-2</v>
      </c>
      <c r="I67" s="32">
        <f t="shared" si="10"/>
        <v>44905</v>
      </c>
      <c r="J67" s="37">
        <f t="shared" si="11"/>
        <v>3.9140000000000001E-2</v>
      </c>
      <c r="K67" s="32">
        <f t="shared" si="12"/>
        <v>44551</v>
      </c>
      <c r="L67" s="37">
        <v>1.0999999999999999E-2</v>
      </c>
      <c r="P67" s="32">
        <v>44905</v>
      </c>
      <c r="Q67" s="37">
        <v>3.9140000000000001E-2</v>
      </c>
      <c r="R67" s="32">
        <v>44905</v>
      </c>
      <c r="S67" s="37">
        <v>3.9140000000000001E-2</v>
      </c>
      <c r="T67" s="32">
        <v>44551</v>
      </c>
      <c r="U67" s="37">
        <v>1.0999999999999999E-2</v>
      </c>
    </row>
    <row r="68" spans="7:21" ht="18" customHeight="1" x14ac:dyDescent="0.4">
      <c r="G68" s="32">
        <f t="shared" si="8"/>
        <v>44906</v>
      </c>
      <c r="H68" s="37">
        <f t="shared" si="9"/>
        <v>3.04E-2</v>
      </c>
      <c r="I68" s="32">
        <f t="shared" si="10"/>
        <v>44906</v>
      </c>
      <c r="J68" s="37">
        <f t="shared" si="11"/>
        <v>3.9140000000000001E-2</v>
      </c>
      <c r="K68" s="32">
        <f t="shared" si="12"/>
        <v>44552</v>
      </c>
      <c r="L68" s="37">
        <v>1.0999999999999999E-2</v>
      </c>
      <c r="P68" s="32">
        <v>44906</v>
      </c>
      <c r="Q68" s="37">
        <v>3.9140000000000001E-2</v>
      </c>
      <c r="R68" s="32">
        <v>44906</v>
      </c>
      <c r="S68" s="37">
        <v>3.9140000000000001E-2</v>
      </c>
      <c r="T68" s="32">
        <v>44552</v>
      </c>
      <c r="U68" s="37">
        <v>1.0999999999999999E-2</v>
      </c>
    </row>
    <row r="69" spans="7:21" ht="18" customHeight="1" x14ac:dyDescent="0.4">
      <c r="G69" s="32">
        <f t="shared" si="8"/>
        <v>44907</v>
      </c>
      <c r="H69" s="37">
        <f t="shared" si="9"/>
        <v>3.04E-2</v>
      </c>
      <c r="I69" s="32">
        <f t="shared" si="10"/>
        <v>44907</v>
      </c>
      <c r="J69" s="37">
        <f t="shared" si="11"/>
        <v>3.9140000000000001E-2</v>
      </c>
      <c r="K69" s="32">
        <f t="shared" si="12"/>
        <v>44553</v>
      </c>
      <c r="L69" s="37">
        <v>1.0999999999999999E-2</v>
      </c>
      <c r="P69" s="32">
        <v>44907</v>
      </c>
      <c r="Q69" s="37">
        <v>3.9140000000000001E-2</v>
      </c>
      <c r="R69" s="32">
        <v>44907</v>
      </c>
      <c r="S69" s="37">
        <v>3.9140000000000001E-2</v>
      </c>
      <c r="T69" s="32">
        <v>44553</v>
      </c>
      <c r="U69" s="37">
        <v>1.0999999999999999E-2</v>
      </c>
    </row>
    <row r="70" spans="7:21" ht="18" customHeight="1" x14ac:dyDescent="0.4">
      <c r="G70" s="32">
        <f t="shared" si="8"/>
        <v>44908</v>
      </c>
      <c r="H70" s="37">
        <f t="shared" si="9"/>
        <v>3.04E-2</v>
      </c>
      <c r="I70" s="32">
        <f t="shared" si="10"/>
        <v>44908</v>
      </c>
      <c r="J70" s="37">
        <f t="shared" si="11"/>
        <v>3.9140000000000001E-2</v>
      </c>
      <c r="K70" s="32">
        <f t="shared" si="12"/>
        <v>44554</v>
      </c>
      <c r="L70" s="37">
        <v>1.0999999999999999E-2</v>
      </c>
      <c r="P70" s="32">
        <v>44908</v>
      </c>
      <c r="Q70" s="37">
        <v>3.9140000000000001E-2</v>
      </c>
      <c r="R70" s="32">
        <v>44908</v>
      </c>
      <c r="S70" s="37">
        <v>3.9140000000000001E-2</v>
      </c>
      <c r="T70" s="32">
        <v>44554</v>
      </c>
      <c r="U70" s="37">
        <v>1.0999999999999999E-2</v>
      </c>
    </row>
    <row r="71" spans="7:21" ht="18" customHeight="1" x14ac:dyDescent="0.4">
      <c r="G71" s="32">
        <f t="shared" ref="G71:G134" si="13">G70+1</f>
        <v>44909</v>
      </c>
      <c r="H71" s="37">
        <f t="shared" ref="H71:H134" si="14">H70</f>
        <v>3.04E-2</v>
      </c>
      <c r="I71" s="32">
        <f t="shared" ref="I71:I134" si="15">I70+1</f>
        <v>44909</v>
      </c>
      <c r="J71" s="37">
        <f t="shared" ref="J71:J134" si="16">J70</f>
        <v>3.9140000000000001E-2</v>
      </c>
      <c r="K71" s="32">
        <f t="shared" si="12"/>
        <v>44555</v>
      </c>
      <c r="L71" s="37">
        <v>1.0999999999999999E-2</v>
      </c>
      <c r="P71" s="32">
        <v>44909</v>
      </c>
      <c r="Q71" s="37">
        <v>3.9140000000000001E-2</v>
      </c>
      <c r="R71" s="32">
        <v>44909</v>
      </c>
      <c r="S71" s="37">
        <v>3.9140000000000001E-2</v>
      </c>
      <c r="T71" s="32">
        <v>44555</v>
      </c>
      <c r="U71" s="37">
        <v>1.0999999999999999E-2</v>
      </c>
    </row>
    <row r="72" spans="7:21" ht="18" customHeight="1" x14ac:dyDescent="0.4">
      <c r="G72" s="32">
        <f t="shared" si="13"/>
        <v>44910</v>
      </c>
      <c r="H72" s="37">
        <f t="shared" si="14"/>
        <v>3.04E-2</v>
      </c>
      <c r="I72" s="32">
        <f t="shared" si="15"/>
        <v>44910</v>
      </c>
      <c r="J72" s="37">
        <f t="shared" si="16"/>
        <v>3.9140000000000001E-2</v>
      </c>
      <c r="K72" s="32">
        <f t="shared" si="12"/>
        <v>44556</v>
      </c>
      <c r="L72" s="37">
        <v>1.0999999999999999E-2</v>
      </c>
      <c r="P72" s="32">
        <v>44910</v>
      </c>
      <c r="Q72" s="37">
        <v>3.9140000000000001E-2</v>
      </c>
      <c r="R72" s="32">
        <v>44910</v>
      </c>
      <c r="S72" s="37">
        <v>3.9140000000000001E-2</v>
      </c>
      <c r="T72" s="32">
        <v>44556</v>
      </c>
      <c r="U72" s="37">
        <v>1.0999999999999999E-2</v>
      </c>
    </row>
    <row r="73" spans="7:21" ht="18" customHeight="1" x14ac:dyDescent="0.4">
      <c r="G73" s="32">
        <f t="shared" si="13"/>
        <v>44911</v>
      </c>
      <c r="H73" s="37">
        <f t="shared" si="14"/>
        <v>3.04E-2</v>
      </c>
      <c r="I73" s="32">
        <f t="shared" si="15"/>
        <v>44911</v>
      </c>
      <c r="J73" s="37">
        <f t="shared" si="16"/>
        <v>3.9140000000000001E-2</v>
      </c>
      <c r="K73" s="32">
        <f t="shared" si="12"/>
        <v>44557</v>
      </c>
      <c r="L73" s="37">
        <v>1.0999999999999999E-2</v>
      </c>
      <c r="P73" s="32">
        <v>44911</v>
      </c>
      <c r="Q73" s="37">
        <v>3.9140000000000001E-2</v>
      </c>
      <c r="R73" s="32">
        <v>44911</v>
      </c>
      <c r="S73" s="37">
        <v>3.9140000000000001E-2</v>
      </c>
      <c r="T73" s="32">
        <v>44557</v>
      </c>
      <c r="U73" s="37">
        <v>1.0999999999999999E-2</v>
      </c>
    </row>
    <row r="74" spans="7:21" ht="18" customHeight="1" x14ac:dyDescent="0.4">
      <c r="G74" s="32">
        <f t="shared" si="13"/>
        <v>44912</v>
      </c>
      <c r="H74" s="37">
        <f t="shared" si="14"/>
        <v>3.04E-2</v>
      </c>
      <c r="I74" s="32">
        <f t="shared" si="15"/>
        <v>44912</v>
      </c>
      <c r="J74" s="37">
        <f t="shared" si="16"/>
        <v>3.9140000000000001E-2</v>
      </c>
      <c r="K74" s="32">
        <f t="shared" si="12"/>
        <v>44558</v>
      </c>
      <c r="L74" s="37">
        <v>1.0999999999999999E-2</v>
      </c>
      <c r="P74" s="32">
        <v>44912</v>
      </c>
      <c r="Q74" s="37">
        <v>3.9140000000000001E-2</v>
      </c>
      <c r="R74" s="32">
        <v>44912</v>
      </c>
      <c r="S74" s="37">
        <v>3.9140000000000001E-2</v>
      </c>
      <c r="T74" s="32">
        <v>44558</v>
      </c>
      <c r="U74" s="37">
        <v>1.0999999999999999E-2</v>
      </c>
    </row>
    <row r="75" spans="7:21" ht="18" customHeight="1" x14ac:dyDescent="0.4">
      <c r="G75" s="32">
        <f t="shared" si="13"/>
        <v>44913</v>
      </c>
      <c r="H75" s="37">
        <f t="shared" si="14"/>
        <v>3.04E-2</v>
      </c>
      <c r="I75" s="32">
        <f t="shared" si="15"/>
        <v>44913</v>
      </c>
      <c r="J75" s="37">
        <f t="shared" si="16"/>
        <v>3.9140000000000001E-2</v>
      </c>
      <c r="K75" s="32">
        <f t="shared" si="12"/>
        <v>44559</v>
      </c>
      <c r="L75" s="37">
        <v>1.0999999999999999E-2</v>
      </c>
      <c r="P75" s="32">
        <v>44913</v>
      </c>
      <c r="Q75" s="37">
        <v>3.9140000000000001E-2</v>
      </c>
      <c r="R75" s="32">
        <v>44913</v>
      </c>
      <c r="S75" s="37">
        <v>3.9140000000000001E-2</v>
      </c>
      <c r="T75" s="32">
        <v>44559</v>
      </c>
      <c r="U75" s="37">
        <v>1.0999999999999999E-2</v>
      </c>
    </row>
    <row r="76" spans="7:21" ht="18" customHeight="1" x14ac:dyDescent="0.4">
      <c r="G76" s="32">
        <f t="shared" si="13"/>
        <v>44914</v>
      </c>
      <c r="H76" s="37">
        <f t="shared" si="14"/>
        <v>3.04E-2</v>
      </c>
      <c r="I76" s="32">
        <f t="shared" si="15"/>
        <v>44914</v>
      </c>
      <c r="J76" s="37">
        <f t="shared" si="16"/>
        <v>3.9140000000000001E-2</v>
      </c>
      <c r="K76" s="32">
        <f t="shared" si="12"/>
        <v>44560</v>
      </c>
      <c r="L76" s="37">
        <v>1.0999999999999999E-2</v>
      </c>
      <c r="P76" s="32">
        <v>44914</v>
      </c>
      <c r="Q76" s="37">
        <v>3.9140000000000001E-2</v>
      </c>
      <c r="R76" s="32">
        <v>44914</v>
      </c>
      <c r="S76" s="37">
        <v>3.9140000000000001E-2</v>
      </c>
      <c r="T76" s="32">
        <v>44560</v>
      </c>
      <c r="U76" s="37">
        <v>1.0999999999999999E-2</v>
      </c>
    </row>
    <row r="77" spans="7:21" ht="18" customHeight="1" x14ac:dyDescent="0.4">
      <c r="G77" s="32">
        <f t="shared" si="13"/>
        <v>44915</v>
      </c>
      <c r="H77" s="37">
        <f t="shared" si="14"/>
        <v>3.04E-2</v>
      </c>
      <c r="I77" s="32">
        <f t="shared" si="15"/>
        <v>44915</v>
      </c>
      <c r="J77" s="37">
        <f t="shared" si="16"/>
        <v>3.9140000000000001E-2</v>
      </c>
      <c r="K77" s="32">
        <f t="shared" si="12"/>
        <v>44561</v>
      </c>
      <c r="L77" s="37">
        <v>1.0999999999999999E-2</v>
      </c>
      <c r="P77" s="32">
        <v>44915</v>
      </c>
      <c r="Q77" s="37">
        <v>3.9140000000000001E-2</v>
      </c>
      <c r="R77" s="32">
        <v>44915</v>
      </c>
      <c r="S77" s="37">
        <v>3.9140000000000001E-2</v>
      </c>
      <c r="T77" s="32">
        <v>44561</v>
      </c>
      <c r="U77" s="37">
        <v>1.0999999999999999E-2</v>
      </c>
    </row>
    <row r="78" spans="7:21" ht="18" customHeight="1" x14ac:dyDescent="0.4">
      <c r="G78" s="32">
        <f t="shared" si="13"/>
        <v>44916</v>
      </c>
      <c r="H78" s="37">
        <f t="shared" si="14"/>
        <v>3.04E-2</v>
      </c>
      <c r="I78" s="32">
        <f t="shared" si="15"/>
        <v>44916</v>
      </c>
      <c r="J78" s="37">
        <f t="shared" si="16"/>
        <v>3.9140000000000001E-2</v>
      </c>
      <c r="K78" s="32">
        <f t="shared" si="12"/>
        <v>44562</v>
      </c>
      <c r="L78" s="37">
        <v>1.0999999999999999E-2</v>
      </c>
      <c r="P78" s="32">
        <v>44916</v>
      </c>
      <c r="Q78" s="37">
        <v>3.9140000000000001E-2</v>
      </c>
      <c r="R78" s="32">
        <v>44916</v>
      </c>
      <c r="S78" s="37">
        <v>3.9140000000000001E-2</v>
      </c>
      <c r="T78" s="32">
        <v>44562</v>
      </c>
      <c r="U78" s="37">
        <v>1.0999999999999999E-2</v>
      </c>
    </row>
    <row r="79" spans="7:21" ht="18" customHeight="1" x14ac:dyDescent="0.4">
      <c r="G79" s="32">
        <f t="shared" si="13"/>
        <v>44917</v>
      </c>
      <c r="H79" s="37">
        <f t="shared" si="14"/>
        <v>3.04E-2</v>
      </c>
      <c r="I79" s="32">
        <f t="shared" si="15"/>
        <v>44917</v>
      </c>
      <c r="J79" s="37">
        <f t="shared" si="16"/>
        <v>3.9140000000000001E-2</v>
      </c>
      <c r="K79" s="32">
        <f t="shared" si="12"/>
        <v>44563</v>
      </c>
      <c r="L79" s="37">
        <v>1.0999999999999999E-2</v>
      </c>
      <c r="P79" s="32">
        <v>44917</v>
      </c>
      <c r="Q79" s="37">
        <v>3.9140000000000001E-2</v>
      </c>
      <c r="R79" s="32">
        <v>44917</v>
      </c>
      <c r="S79" s="37">
        <v>3.9140000000000001E-2</v>
      </c>
      <c r="T79" s="32">
        <v>44563</v>
      </c>
      <c r="U79" s="37">
        <v>1.0999999999999999E-2</v>
      </c>
    </row>
    <row r="80" spans="7:21" ht="18" customHeight="1" x14ac:dyDescent="0.4">
      <c r="G80" s="32">
        <f t="shared" si="13"/>
        <v>44918</v>
      </c>
      <c r="H80" s="37">
        <f t="shared" si="14"/>
        <v>3.04E-2</v>
      </c>
      <c r="I80" s="32">
        <f t="shared" si="15"/>
        <v>44918</v>
      </c>
      <c r="J80" s="37">
        <f t="shared" si="16"/>
        <v>3.9140000000000001E-2</v>
      </c>
      <c r="K80" s="32">
        <f t="shared" si="12"/>
        <v>44564</v>
      </c>
      <c r="L80" s="37">
        <v>1.0999999999999999E-2</v>
      </c>
      <c r="P80" s="32">
        <v>44918</v>
      </c>
      <c r="Q80" s="37">
        <v>3.9140000000000001E-2</v>
      </c>
      <c r="R80" s="32">
        <v>44918</v>
      </c>
      <c r="S80" s="37">
        <v>3.9140000000000001E-2</v>
      </c>
      <c r="T80" s="32">
        <v>44564</v>
      </c>
      <c r="U80" s="37">
        <v>1.0999999999999999E-2</v>
      </c>
    </row>
    <row r="81" spans="7:21" ht="18" customHeight="1" x14ac:dyDescent="0.4">
      <c r="G81" s="32">
        <f t="shared" si="13"/>
        <v>44919</v>
      </c>
      <c r="H81" s="37">
        <f t="shared" si="14"/>
        <v>3.04E-2</v>
      </c>
      <c r="I81" s="32">
        <f t="shared" si="15"/>
        <v>44919</v>
      </c>
      <c r="J81" s="37">
        <f t="shared" si="16"/>
        <v>3.9140000000000001E-2</v>
      </c>
      <c r="K81" s="32">
        <f t="shared" si="12"/>
        <v>44565</v>
      </c>
      <c r="L81" s="37">
        <v>1.0999999999999999E-2</v>
      </c>
      <c r="P81" s="32">
        <v>44919</v>
      </c>
      <c r="Q81" s="37">
        <v>3.9140000000000001E-2</v>
      </c>
      <c r="R81" s="32">
        <v>44919</v>
      </c>
      <c r="S81" s="37">
        <v>3.9140000000000001E-2</v>
      </c>
      <c r="T81" s="32">
        <v>44565</v>
      </c>
      <c r="U81" s="37">
        <v>1.0999999999999999E-2</v>
      </c>
    </row>
    <row r="82" spans="7:21" ht="18" customHeight="1" x14ac:dyDescent="0.4">
      <c r="G82" s="32">
        <f t="shared" si="13"/>
        <v>44920</v>
      </c>
      <c r="H82" s="37">
        <f t="shared" si="14"/>
        <v>3.04E-2</v>
      </c>
      <c r="I82" s="32">
        <f t="shared" si="15"/>
        <v>44920</v>
      </c>
      <c r="J82" s="37">
        <f t="shared" si="16"/>
        <v>3.9140000000000001E-2</v>
      </c>
      <c r="K82" s="32">
        <f t="shared" si="12"/>
        <v>44566</v>
      </c>
      <c r="L82" s="37">
        <v>1.0999999999999999E-2</v>
      </c>
      <c r="P82" s="32">
        <v>44920</v>
      </c>
      <c r="Q82" s="37">
        <v>3.9140000000000001E-2</v>
      </c>
      <c r="R82" s="32">
        <v>44920</v>
      </c>
      <c r="S82" s="37">
        <v>3.9140000000000001E-2</v>
      </c>
      <c r="T82" s="32">
        <v>44566</v>
      </c>
      <c r="U82" s="37">
        <v>1.0999999999999999E-2</v>
      </c>
    </row>
    <row r="83" spans="7:21" ht="18" customHeight="1" x14ac:dyDescent="0.4">
      <c r="G83" s="32">
        <f t="shared" si="13"/>
        <v>44921</v>
      </c>
      <c r="H83" s="37">
        <f t="shared" si="14"/>
        <v>3.04E-2</v>
      </c>
      <c r="I83" s="32">
        <f t="shared" si="15"/>
        <v>44921</v>
      </c>
      <c r="J83" s="37">
        <f t="shared" si="16"/>
        <v>3.9140000000000001E-2</v>
      </c>
      <c r="K83" s="32">
        <f t="shared" si="12"/>
        <v>44567</v>
      </c>
      <c r="L83" s="37">
        <v>1.0999999999999999E-2</v>
      </c>
      <c r="P83" s="32">
        <v>44921</v>
      </c>
      <c r="Q83" s="37">
        <v>3.9140000000000001E-2</v>
      </c>
      <c r="R83" s="32">
        <v>44921</v>
      </c>
      <c r="S83" s="37">
        <v>3.9140000000000001E-2</v>
      </c>
      <c r="T83" s="32">
        <v>44567</v>
      </c>
      <c r="U83" s="37">
        <v>1.0999999999999999E-2</v>
      </c>
    </row>
    <row r="84" spans="7:21" ht="18" customHeight="1" x14ac:dyDescent="0.4">
      <c r="G84" s="32">
        <f t="shared" si="13"/>
        <v>44922</v>
      </c>
      <c r="H84" s="37">
        <f t="shared" si="14"/>
        <v>3.04E-2</v>
      </c>
      <c r="I84" s="32">
        <f t="shared" si="15"/>
        <v>44922</v>
      </c>
      <c r="J84" s="37">
        <f t="shared" si="16"/>
        <v>3.9140000000000001E-2</v>
      </c>
      <c r="K84" s="32">
        <f t="shared" si="12"/>
        <v>44568</v>
      </c>
      <c r="L84" s="37">
        <v>1.0999999999999999E-2</v>
      </c>
      <c r="P84" s="32">
        <v>44922</v>
      </c>
      <c r="Q84" s="37">
        <v>3.9140000000000001E-2</v>
      </c>
      <c r="R84" s="32">
        <v>44922</v>
      </c>
      <c r="S84" s="37">
        <v>3.9140000000000001E-2</v>
      </c>
      <c r="T84" s="32">
        <v>44568</v>
      </c>
      <c r="U84" s="37">
        <v>1.0999999999999999E-2</v>
      </c>
    </row>
    <row r="85" spans="7:21" ht="18" customHeight="1" x14ac:dyDescent="0.4">
      <c r="G85" s="32">
        <f t="shared" si="13"/>
        <v>44923</v>
      </c>
      <c r="H85" s="37">
        <f t="shared" si="14"/>
        <v>3.04E-2</v>
      </c>
      <c r="I85" s="32">
        <f t="shared" si="15"/>
        <v>44923</v>
      </c>
      <c r="J85" s="37">
        <f t="shared" si="16"/>
        <v>3.9140000000000001E-2</v>
      </c>
      <c r="K85" s="32">
        <f t="shared" si="12"/>
        <v>44569</v>
      </c>
      <c r="L85" s="37">
        <v>1.0999999999999999E-2</v>
      </c>
      <c r="P85" s="32">
        <v>44923</v>
      </c>
      <c r="Q85" s="37">
        <v>3.9140000000000001E-2</v>
      </c>
      <c r="R85" s="32">
        <v>44923</v>
      </c>
      <c r="S85" s="37">
        <v>3.9140000000000001E-2</v>
      </c>
      <c r="T85" s="32">
        <v>44569</v>
      </c>
      <c r="U85" s="37">
        <v>1.0999999999999999E-2</v>
      </c>
    </row>
    <row r="86" spans="7:21" ht="18" customHeight="1" x14ac:dyDescent="0.4">
      <c r="G86" s="32">
        <f t="shared" si="13"/>
        <v>44924</v>
      </c>
      <c r="H86" s="37">
        <f t="shared" si="14"/>
        <v>3.04E-2</v>
      </c>
      <c r="I86" s="32">
        <f t="shared" si="15"/>
        <v>44924</v>
      </c>
      <c r="J86" s="37">
        <f t="shared" si="16"/>
        <v>3.9140000000000001E-2</v>
      </c>
      <c r="K86" s="32">
        <f t="shared" si="12"/>
        <v>44570</v>
      </c>
      <c r="L86" s="37">
        <v>1.0999999999999999E-2</v>
      </c>
      <c r="P86" s="32">
        <v>44924</v>
      </c>
      <c r="Q86" s="37">
        <v>3.9140000000000001E-2</v>
      </c>
      <c r="R86" s="32">
        <v>44924</v>
      </c>
      <c r="S86" s="37">
        <v>3.9140000000000001E-2</v>
      </c>
      <c r="T86" s="32">
        <v>44570</v>
      </c>
      <c r="U86" s="37">
        <v>1.0999999999999999E-2</v>
      </c>
    </row>
    <row r="87" spans="7:21" ht="18" customHeight="1" x14ac:dyDescent="0.4">
      <c r="G87" s="32">
        <f t="shared" si="13"/>
        <v>44925</v>
      </c>
      <c r="H87" s="37">
        <f t="shared" si="14"/>
        <v>3.04E-2</v>
      </c>
      <c r="I87" s="32">
        <f t="shared" si="15"/>
        <v>44925</v>
      </c>
      <c r="J87" s="37">
        <f t="shared" si="16"/>
        <v>3.9140000000000001E-2</v>
      </c>
      <c r="K87" s="32">
        <f t="shared" si="12"/>
        <v>44571</v>
      </c>
      <c r="L87" s="37">
        <v>1.0999999999999999E-2</v>
      </c>
      <c r="P87" s="32">
        <v>44925</v>
      </c>
      <c r="Q87" s="37">
        <v>3.9140000000000001E-2</v>
      </c>
      <c r="R87" s="32">
        <v>44925</v>
      </c>
      <c r="S87" s="37">
        <v>3.9140000000000001E-2</v>
      </c>
      <c r="T87" s="32">
        <v>44571</v>
      </c>
      <c r="U87" s="37">
        <v>1.0999999999999999E-2</v>
      </c>
    </row>
    <row r="88" spans="7:21" ht="18" customHeight="1" x14ac:dyDescent="0.4">
      <c r="G88" s="32">
        <f t="shared" si="13"/>
        <v>44926</v>
      </c>
      <c r="H88" s="37">
        <f t="shared" si="14"/>
        <v>3.04E-2</v>
      </c>
      <c r="I88" s="32">
        <f t="shared" si="15"/>
        <v>44926</v>
      </c>
      <c r="J88" s="37">
        <f t="shared" si="16"/>
        <v>3.9140000000000001E-2</v>
      </c>
      <c r="K88" s="32">
        <f t="shared" si="12"/>
        <v>44572</v>
      </c>
      <c r="L88" s="37">
        <v>1.0999999999999999E-2</v>
      </c>
      <c r="P88" s="32">
        <v>44926</v>
      </c>
      <c r="Q88" s="37">
        <v>3.9140000000000001E-2</v>
      </c>
      <c r="R88" s="32">
        <v>44926</v>
      </c>
      <c r="S88" s="37">
        <v>3.9140000000000001E-2</v>
      </c>
      <c r="T88" s="32">
        <v>44572</v>
      </c>
      <c r="U88" s="37">
        <v>1.0999999999999999E-2</v>
      </c>
    </row>
    <row r="89" spans="7:21" ht="18" customHeight="1" x14ac:dyDescent="0.4">
      <c r="G89" s="32">
        <f t="shared" si="13"/>
        <v>44927</v>
      </c>
      <c r="H89" s="37">
        <f t="shared" si="14"/>
        <v>3.04E-2</v>
      </c>
      <c r="I89" s="32">
        <f t="shared" si="15"/>
        <v>44927</v>
      </c>
      <c r="J89" s="37">
        <f t="shared" si="16"/>
        <v>3.9140000000000001E-2</v>
      </c>
      <c r="K89" s="32">
        <f t="shared" si="12"/>
        <v>44573</v>
      </c>
      <c r="L89" s="37">
        <v>1.0999999999999999E-2</v>
      </c>
      <c r="P89" s="32">
        <v>44927</v>
      </c>
      <c r="Q89" s="37">
        <v>3.9140000000000001E-2</v>
      </c>
      <c r="R89" s="32">
        <v>44927</v>
      </c>
      <c r="S89" s="37">
        <v>3.9140000000000001E-2</v>
      </c>
      <c r="T89" s="32">
        <v>44573</v>
      </c>
      <c r="U89" s="37">
        <v>1.0999999999999999E-2</v>
      </c>
    </row>
    <row r="90" spans="7:21" ht="18" customHeight="1" x14ac:dyDescent="0.4">
      <c r="G90" s="32">
        <f t="shared" si="13"/>
        <v>44928</v>
      </c>
      <c r="H90" s="37">
        <f t="shared" si="14"/>
        <v>3.04E-2</v>
      </c>
      <c r="I90" s="32">
        <f t="shared" si="15"/>
        <v>44928</v>
      </c>
      <c r="J90" s="37">
        <f t="shared" si="16"/>
        <v>3.9140000000000001E-2</v>
      </c>
      <c r="K90" s="32">
        <f t="shared" si="12"/>
        <v>44574</v>
      </c>
      <c r="L90" s="37">
        <v>1.0999999999999999E-2</v>
      </c>
      <c r="P90" s="32">
        <v>44928</v>
      </c>
      <c r="Q90" s="37">
        <v>3.9140000000000001E-2</v>
      </c>
      <c r="R90" s="32">
        <v>44928</v>
      </c>
      <c r="S90" s="37">
        <v>3.9140000000000001E-2</v>
      </c>
      <c r="T90" s="32">
        <v>44574</v>
      </c>
      <c r="U90" s="37">
        <v>1.0999999999999999E-2</v>
      </c>
    </row>
    <row r="91" spans="7:21" ht="18" customHeight="1" x14ac:dyDescent="0.4">
      <c r="G91" s="32">
        <f t="shared" si="13"/>
        <v>44929</v>
      </c>
      <c r="H91" s="37">
        <f t="shared" si="14"/>
        <v>3.04E-2</v>
      </c>
      <c r="I91" s="32">
        <f t="shared" si="15"/>
        <v>44929</v>
      </c>
      <c r="J91" s="37">
        <f t="shared" si="16"/>
        <v>3.9140000000000001E-2</v>
      </c>
      <c r="K91" s="32">
        <f t="shared" ref="K91:K136" si="17">K90+1</f>
        <v>44575</v>
      </c>
      <c r="L91" s="37">
        <v>1.0999999999999999E-2</v>
      </c>
      <c r="P91" s="32">
        <v>44929</v>
      </c>
      <c r="Q91" s="37">
        <v>3.9140000000000001E-2</v>
      </c>
      <c r="R91" s="32">
        <v>44929</v>
      </c>
      <c r="S91" s="37">
        <v>3.9140000000000001E-2</v>
      </c>
      <c r="T91" s="32">
        <v>44575</v>
      </c>
      <c r="U91" s="37">
        <v>1.0999999999999999E-2</v>
      </c>
    </row>
    <row r="92" spans="7:21" ht="18" customHeight="1" x14ac:dyDescent="0.4">
      <c r="G92" s="32">
        <f t="shared" si="13"/>
        <v>44930</v>
      </c>
      <c r="H92" s="37">
        <f t="shared" si="14"/>
        <v>3.04E-2</v>
      </c>
      <c r="I92" s="32">
        <f t="shared" si="15"/>
        <v>44930</v>
      </c>
      <c r="J92" s="37">
        <f t="shared" si="16"/>
        <v>3.9140000000000001E-2</v>
      </c>
      <c r="K92" s="32">
        <f t="shared" si="17"/>
        <v>44576</v>
      </c>
      <c r="L92" s="37">
        <v>1.0999999999999999E-2</v>
      </c>
      <c r="P92" s="32">
        <v>44930</v>
      </c>
      <c r="Q92" s="37">
        <v>3.9140000000000001E-2</v>
      </c>
      <c r="R92" s="32">
        <v>44930</v>
      </c>
      <c r="S92" s="37">
        <v>3.9140000000000001E-2</v>
      </c>
      <c r="T92" s="32">
        <v>44576</v>
      </c>
      <c r="U92" s="37">
        <v>1.0999999999999999E-2</v>
      </c>
    </row>
    <row r="93" spans="7:21" ht="18" customHeight="1" x14ac:dyDescent="0.4">
      <c r="G93" s="32">
        <f t="shared" si="13"/>
        <v>44931</v>
      </c>
      <c r="H93" s="37">
        <f t="shared" si="14"/>
        <v>3.04E-2</v>
      </c>
      <c r="I93" s="32">
        <f t="shared" si="15"/>
        <v>44931</v>
      </c>
      <c r="J93" s="37">
        <f t="shared" si="16"/>
        <v>3.9140000000000001E-2</v>
      </c>
      <c r="K93" s="32">
        <f t="shared" si="17"/>
        <v>44577</v>
      </c>
      <c r="L93" s="37">
        <v>1.0999999999999999E-2</v>
      </c>
      <c r="P93" s="32">
        <v>44931</v>
      </c>
      <c r="Q93" s="37">
        <v>3.9140000000000001E-2</v>
      </c>
      <c r="R93" s="32">
        <v>44931</v>
      </c>
      <c r="S93" s="37">
        <v>3.9140000000000001E-2</v>
      </c>
      <c r="T93" s="32">
        <v>44577</v>
      </c>
      <c r="U93" s="37">
        <v>1.0999999999999999E-2</v>
      </c>
    </row>
    <row r="94" spans="7:21" ht="18" customHeight="1" x14ac:dyDescent="0.4">
      <c r="G94" s="32">
        <f t="shared" si="13"/>
        <v>44932</v>
      </c>
      <c r="H94" s="37">
        <f t="shared" si="14"/>
        <v>3.04E-2</v>
      </c>
      <c r="I94" s="32">
        <f t="shared" si="15"/>
        <v>44932</v>
      </c>
      <c r="J94" s="37">
        <f t="shared" si="16"/>
        <v>3.9140000000000001E-2</v>
      </c>
      <c r="K94" s="32">
        <f t="shared" si="17"/>
        <v>44578</v>
      </c>
      <c r="L94" s="37">
        <v>1.0999999999999999E-2</v>
      </c>
      <c r="P94" s="32">
        <v>44932</v>
      </c>
      <c r="Q94" s="37">
        <v>3.9140000000000001E-2</v>
      </c>
      <c r="R94" s="32">
        <v>44932</v>
      </c>
      <c r="S94" s="37">
        <v>3.9140000000000001E-2</v>
      </c>
      <c r="T94" s="32">
        <v>44578</v>
      </c>
      <c r="U94" s="37">
        <v>1.0999999999999999E-2</v>
      </c>
    </row>
    <row r="95" spans="7:21" ht="18" customHeight="1" x14ac:dyDescent="0.4">
      <c r="G95" s="32">
        <f t="shared" si="13"/>
        <v>44933</v>
      </c>
      <c r="H95" s="37">
        <f t="shared" si="14"/>
        <v>3.04E-2</v>
      </c>
      <c r="I95" s="32">
        <f t="shared" si="15"/>
        <v>44933</v>
      </c>
      <c r="J95" s="37">
        <f t="shared" si="16"/>
        <v>3.9140000000000001E-2</v>
      </c>
      <c r="K95" s="32">
        <f t="shared" si="17"/>
        <v>44579</v>
      </c>
      <c r="L95" s="37">
        <v>1.0999999999999999E-2</v>
      </c>
      <c r="P95" s="32">
        <v>44933</v>
      </c>
      <c r="Q95" s="37">
        <v>3.9140000000000001E-2</v>
      </c>
      <c r="R95" s="32">
        <v>44933</v>
      </c>
      <c r="S95" s="37">
        <v>3.9140000000000001E-2</v>
      </c>
      <c r="T95" s="32">
        <v>44579</v>
      </c>
      <c r="U95" s="37">
        <v>1.0999999999999999E-2</v>
      </c>
    </row>
    <row r="96" spans="7:21" ht="18" customHeight="1" x14ac:dyDescent="0.4">
      <c r="G96" s="32">
        <f t="shared" si="13"/>
        <v>44934</v>
      </c>
      <c r="H96" s="37">
        <f t="shared" si="14"/>
        <v>3.04E-2</v>
      </c>
      <c r="I96" s="32">
        <f t="shared" si="15"/>
        <v>44934</v>
      </c>
      <c r="J96" s="37">
        <f t="shared" si="16"/>
        <v>3.9140000000000001E-2</v>
      </c>
      <c r="K96" s="32">
        <f t="shared" si="17"/>
        <v>44580</v>
      </c>
      <c r="L96" s="37">
        <v>1.0999999999999999E-2</v>
      </c>
      <c r="P96" s="32">
        <v>44934</v>
      </c>
      <c r="Q96" s="37">
        <v>3.9140000000000001E-2</v>
      </c>
      <c r="R96" s="32">
        <v>44934</v>
      </c>
      <c r="S96" s="37">
        <v>3.9140000000000001E-2</v>
      </c>
      <c r="T96" s="32">
        <v>44580</v>
      </c>
      <c r="U96" s="37">
        <v>1.0999999999999999E-2</v>
      </c>
    </row>
    <row r="97" spans="7:21" ht="18" customHeight="1" x14ac:dyDescent="0.4">
      <c r="G97" s="32">
        <f t="shared" si="13"/>
        <v>44935</v>
      </c>
      <c r="H97" s="37">
        <f t="shared" si="14"/>
        <v>3.04E-2</v>
      </c>
      <c r="I97" s="32">
        <f t="shared" si="15"/>
        <v>44935</v>
      </c>
      <c r="J97" s="37">
        <f t="shared" si="16"/>
        <v>3.9140000000000001E-2</v>
      </c>
      <c r="K97" s="32">
        <f t="shared" si="17"/>
        <v>44581</v>
      </c>
      <c r="L97" s="37">
        <v>1.0999999999999999E-2</v>
      </c>
      <c r="P97" s="32">
        <v>44935</v>
      </c>
      <c r="Q97" s="37">
        <v>3.9140000000000001E-2</v>
      </c>
      <c r="R97" s="32">
        <v>44935</v>
      </c>
      <c r="S97" s="37">
        <v>3.9140000000000001E-2</v>
      </c>
      <c r="T97" s="32">
        <v>44581</v>
      </c>
      <c r="U97" s="37">
        <v>1.0999999999999999E-2</v>
      </c>
    </row>
    <row r="98" spans="7:21" ht="18" customHeight="1" x14ac:dyDescent="0.4">
      <c r="G98" s="32">
        <f t="shared" si="13"/>
        <v>44936</v>
      </c>
      <c r="H98" s="37">
        <f t="shared" si="14"/>
        <v>3.04E-2</v>
      </c>
      <c r="I98" s="32">
        <f t="shared" si="15"/>
        <v>44936</v>
      </c>
      <c r="J98" s="37">
        <f t="shared" si="16"/>
        <v>3.9140000000000001E-2</v>
      </c>
      <c r="K98" s="32">
        <f t="shared" si="17"/>
        <v>44582</v>
      </c>
      <c r="L98" s="37">
        <v>1.0999999999999999E-2</v>
      </c>
      <c r="P98" s="32">
        <v>44936</v>
      </c>
      <c r="Q98" s="37">
        <v>3.9140000000000001E-2</v>
      </c>
      <c r="R98" s="32">
        <v>44936</v>
      </c>
      <c r="S98" s="37">
        <v>3.9140000000000001E-2</v>
      </c>
      <c r="T98" s="32">
        <v>44582</v>
      </c>
      <c r="U98" s="37">
        <v>1.0999999999999999E-2</v>
      </c>
    </row>
    <row r="99" spans="7:21" ht="18" customHeight="1" x14ac:dyDescent="0.4">
      <c r="G99" s="32">
        <f t="shared" si="13"/>
        <v>44937</v>
      </c>
      <c r="H99" s="37">
        <f t="shared" si="14"/>
        <v>3.04E-2</v>
      </c>
      <c r="I99" s="32">
        <f t="shared" si="15"/>
        <v>44937</v>
      </c>
      <c r="J99" s="37">
        <f t="shared" si="16"/>
        <v>3.9140000000000001E-2</v>
      </c>
      <c r="K99" s="32">
        <f t="shared" si="17"/>
        <v>44583</v>
      </c>
      <c r="L99" s="37">
        <v>1.0999999999999999E-2</v>
      </c>
      <c r="P99" s="32">
        <v>44937</v>
      </c>
      <c r="Q99" s="37">
        <v>3.9140000000000001E-2</v>
      </c>
      <c r="R99" s="32">
        <v>44937</v>
      </c>
      <c r="S99" s="37">
        <v>3.9140000000000001E-2</v>
      </c>
      <c r="T99" s="32">
        <v>44583</v>
      </c>
      <c r="U99" s="37">
        <v>1.0999999999999999E-2</v>
      </c>
    </row>
    <row r="100" spans="7:21" ht="18" customHeight="1" x14ac:dyDescent="0.4">
      <c r="G100" s="32">
        <f t="shared" si="13"/>
        <v>44938</v>
      </c>
      <c r="H100" s="37">
        <f t="shared" si="14"/>
        <v>3.04E-2</v>
      </c>
      <c r="I100" s="32">
        <f t="shared" si="15"/>
        <v>44938</v>
      </c>
      <c r="J100" s="37">
        <f t="shared" si="16"/>
        <v>3.9140000000000001E-2</v>
      </c>
      <c r="K100" s="32">
        <f t="shared" si="17"/>
        <v>44584</v>
      </c>
      <c r="L100" s="37">
        <v>1.0999999999999999E-2</v>
      </c>
      <c r="P100" s="32">
        <v>44938</v>
      </c>
      <c r="Q100" s="37">
        <v>3.9140000000000001E-2</v>
      </c>
      <c r="R100" s="32">
        <v>44938</v>
      </c>
      <c r="S100" s="37">
        <v>3.9140000000000001E-2</v>
      </c>
      <c r="T100" s="32">
        <v>44584</v>
      </c>
      <c r="U100" s="37">
        <v>1.0999999999999999E-2</v>
      </c>
    </row>
    <row r="101" spans="7:21" ht="18" customHeight="1" x14ac:dyDescent="0.4">
      <c r="G101" s="32">
        <f t="shared" si="13"/>
        <v>44939</v>
      </c>
      <c r="H101" s="37">
        <f t="shared" si="14"/>
        <v>3.04E-2</v>
      </c>
      <c r="I101" s="32">
        <f t="shared" si="15"/>
        <v>44939</v>
      </c>
      <c r="J101" s="37">
        <f t="shared" si="16"/>
        <v>3.9140000000000001E-2</v>
      </c>
      <c r="K101" s="32">
        <f t="shared" si="17"/>
        <v>44585</v>
      </c>
      <c r="L101" s="37">
        <v>1.0999999999999999E-2</v>
      </c>
      <c r="P101" s="32">
        <v>44939</v>
      </c>
      <c r="Q101" s="37">
        <v>3.9140000000000001E-2</v>
      </c>
      <c r="R101" s="32">
        <v>44939</v>
      </c>
      <c r="S101" s="37">
        <v>3.9140000000000001E-2</v>
      </c>
      <c r="T101" s="32">
        <v>44585</v>
      </c>
      <c r="U101" s="37">
        <v>1.0999999999999999E-2</v>
      </c>
    </row>
    <row r="102" spans="7:21" ht="18" customHeight="1" x14ac:dyDescent="0.4">
      <c r="G102" s="32">
        <f t="shared" si="13"/>
        <v>44940</v>
      </c>
      <c r="H102" s="37">
        <f t="shared" si="14"/>
        <v>3.04E-2</v>
      </c>
      <c r="I102" s="32">
        <f t="shared" si="15"/>
        <v>44940</v>
      </c>
      <c r="J102" s="37">
        <f t="shared" si="16"/>
        <v>3.9140000000000001E-2</v>
      </c>
      <c r="K102" s="32">
        <f t="shared" si="17"/>
        <v>44586</v>
      </c>
      <c r="L102" s="37">
        <v>1.0999999999999999E-2</v>
      </c>
      <c r="P102" s="32">
        <v>44940</v>
      </c>
      <c r="Q102" s="37">
        <v>3.9140000000000001E-2</v>
      </c>
      <c r="R102" s="32">
        <v>44940</v>
      </c>
      <c r="S102" s="37">
        <v>3.9140000000000001E-2</v>
      </c>
      <c r="T102" s="32">
        <v>44586</v>
      </c>
      <c r="U102" s="37">
        <v>1.0999999999999999E-2</v>
      </c>
    </row>
    <row r="103" spans="7:21" ht="18" customHeight="1" x14ac:dyDescent="0.4">
      <c r="G103" s="32">
        <f t="shared" si="13"/>
        <v>44941</v>
      </c>
      <c r="H103" s="37">
        <f t="shared" si="14"/>
        <v>3.04E-2</v>
      </c>
      <c r="I103" s="32">
        <f t="shared" si="15"/>
        <v>44941</v>
      </c>
      <c r="J103" s="37">
        <f t="shared" si="16"/>
        <v>3.9140000000000001E-2</v>
      </c>
      <c r="K103" s="32">
        <f t="shared" si="17"/>
        <v>44587</v>
      </c>
      <c r="L103" s="37">
        <v>1.0999999999999999E-2</v>
      </c>
      <c r="P103" s="32">
        <v>44941</v>
      </c>
      <c r="Q103" s="37">
        <v>3.9140000000000001E-2</v>
      </c>
      <c r="R103" s="32">
        <v>44941</v>
      </c>
      <c r="S103" s="37">
        <v>3.9140000000000001E-2</v>
      </c>
      <c r="T103" s="32">
        <v>44587</v>
      </c>
      <c r="U103" s="37">
        <v>1.0999999999999999E-2</v>
      </c>
    </row>
    <row r="104" spans="7:21" ht="18" customHeight="1" x14ac:dyDescent="0.4">
      <c r="G104" s="32">
        <f t="shared" si="13"/>
        <v>44942</v>
      </c>
      <c r="H104" s="37">
        <f t="shared" si="14"/>
        <v>3.04E-2</v>
      </c>
      <c r="I104" s="32">
        <f t="shared" si="15"/>
        <v>44942</v>
      </c>
      <c r="J104" s="37">
        <f t="shared" si="16"/>
        <v>3.9140000000000001E-2</v>
      </c>
      <c r="K104" s="32">
        <f t="shared" si="17"/>
        <v>44588</v>
      </c>
      <c r="L104" s="37">
        <v>1.0999999999999999E-2</v>
      </c>
      <c r="P104" s="32">
        <v>44942</v>
      </c>
      <c r="Q104" s="37">
        <v>3.9140000000000001E-2</v>
      </c>
      <c r="R104" s="32">
        <v>44942</v>
      </c>
      <c r="S104" s="37">
        <v>3.9140000000000001E-2</v>
      </c>
      <c r="T104" s="32">
        <v>44588</v>
      </c>
      <c r="U104" s="37">
        <v>1.0999999999999999E-2</v>
      </c>
    </row>
    <row r="105" spans="7:21" ht="18" customHeight="1" x14ac:dyDescent="0.4">
      <c r="G105" s="32">
        <f t="shared" si="13"/>
        <v>44943</v>
      </c>
      <c r="H105" s="37">
        <f t="shared" si="14"/>
        <v>3.04E-2</v>
      </c>
      <c r="I105" s="32">
        <f t="shared" si="15"/>
        <v>44943</v>
      </c>
      <c r="J105" s="37">
        <f t="shared" si="16"/>
        <v>3.9140000000000001E-2</v>
      </c>
      <c r="K105" s="32">
        <f t="shared" si="17"/>
        <v>44589</v>
      </c>
      <c r="L105" s="37">
        <v>1.0999999999999999E-2</v>
      </c>
      <c r="P105" s="32">
        <v>44943</v>
      </c>
      <c r="Q105" s="37">
        <v>3.9140000000000001E-2</v>
      </c>
      <c r="R105" s="32">
        <v>44943</v>
      </c>
      <c r="S105" s="37">
        <v>3.9140000000000001E-2</v>
      </c>
      <c r="T105" s="32">
        <v>44589</v>
      </c>
      <c r="U105" s="37">
        <v>1.0999999999999999E-2</v>
      </c>
    </row>
    <row r="106" spans="7:21" ht="18" customHeight="1" x14ac:dyDescent="0.4">
      <c r="G106" s="32">
        <f t="shared" si="13"/>
        <v>44944</v>
      </c>
      <c r="H106" s="37">
        <f t="shared" si="14"/>
        <v>3.04E-2</v>
      </c>
      <c r="I106" s="32">
        <f t="shared" si="15"/>
        <v>44944</v>
      </c>
      <c r="J106" s="37">
        <f t="shared" si="16"/>
        <v>3.9140000000000001E-2</v>
      </c>
      <c r="K106" s="32">
        <f t="shared" si="17"/>
        <v>44590</v>
      </c>
      <c r="L106" s="37">
        <v>1.0999999999999999E-2</v>
      </c>
      <c r="P106" s="32">
        <v>44944</v>
      </c>
      <c r="Q106" s="37">
        <v>3.9140000000000001E-2</v>
      </c>
      <c r="R106" s="32">
        <v>44944</v>
      </c>
      <c r="S106" s="37">
        <v>3.9140000000000001E-2</v>
      </c>
      <c r="T106" s="32">
        <v>44590</v>
      </c>
      <c r="U106" s="37">
        <v>1.0999999999999999E-2</v>
      </c>
    </row>
    <row r="107" spans="7:21" ht="18" customHeight="1" x14ac:dyDescent="0.4">
      <c r="G107" s="32">
        <f t="shared" si="13"/>
        <v>44945</v>
      </c>
      <c r="H107" s="37">
        <f t="shared" si="14"/>
        <v>3.04E-2</v>
      </c>
      <c r="I107" s="32">
        <f t="shared" si="15"/>
        <v>44945</v>
      </c>
      <c r="J107" s="37">
        <f t="shared" si="16"/>
        <v>3.9140000000000001E-2</v>
      </c>
      <c r="K107" s="32">
        <f t="shared" si="17"/>
        <v>44591</v>
      </c>
      <c r="L107" s="37">
        <v>1.0999999999999999E-2</v>
      </c>
      <c r="P107" s="32">
        <v>44945</v>
      </c>
      <c r="Q107" s="37">
        <v>3.9140000000000001E-2</v>
      </c>
      <c r="R107" s="32">
        <v>44945</v>
      </c>
      <c r="S107" s="37">
        <v>3.9140000000000001E-2</v>
      </c>
      <c r="T107" s="32">
        <v>44591</v>
      </c>
      <c r="U107" s="37">
        <v>1.0999999999999999E-2</v>
      </c>
    </row>
    <row r="108" spans="7:21" ht="18" customHeight="1" x14ac:dyDescent="0.4">
      <c r="G108" s="32">
        <f t="shared" si="13"/>
        <v>44946</v>
      </c>
      <c r="H108" s="37">
        <f t="shared" si="14"/>
        <v>3.04E-2</v>
      </c>
      <c r="I108" s="32">
        <f t="shared" si="15"/>
        <v>44946</v>
      </c>
      <c r="J108" s="37">
        <f t="shared" si="16"/>
        <v>3.9140000000000001E-2</v>
      </c>
      <c r="K108" s="32">
        <f t="shared" si="17"/>
        <v>44592</v>
      </c>
      <c r="L108" s="37">
        <v>1.0999999999999999E-2</v>
      </c>
      <c r="P108" s="32">
        <v>44946</v>
      </c>
      <c r="Q108" s="37">
        <v>3.9140000000000001E-2</v>
      </c>
      <c r="R108" s="32">
        <v>44946</v>
      </c>
      <c r="S108" s="37">
        <v>3.9140000000000001E-2</v>
      </c>
      <c r="T108" s="32">
        <v>44592</v>
      </c>
      <c r="U108" s="37">
        <v>1.0999999999999999E-2</v>
      </c>
    </row>
    <row r="109" spans="7:21" ht="18" customHeight="1" x14ac:dyDescent="0.4">
      <c r="G109" s="32">
        <f t="shared" si="13"/>
        <v>44947</v>
      </c>
      <c r="H109" s="37">
        <f t="shared" si="14"/>
        <v>3.04E-2</v>
      </c>
      <c r="I109" s="32">
        <f t="shared" si="15"/>
        <v>44947</v>
      </c>
      <c r="J109" s="37">
        <f t="shared" si="16"/>
        <v>3.9140000000000001E-2</v>
      </c>
      <c r="K109" s="32">
        <f t="shared" si="17"/>
        <v>44593</v>
      </c>
      <c r="L109" s="37">
        <v>1.0999999999999999E-2</v>
      </c>
      <c r="P109" s="32">
        <v>44947</v>
      </c>
      <c r="Q109" s="37">
        <v>3.9140000000000001E-2</v>
      </c>
      <c r="R109" s="32">
        <v>44947</v>
      </c>
      <c r="S109" s="37">
        <v>3.9140000000000001E-2</v>
      </c>
      <c r="T109" s="32">
        <v>44593</v>
      </c>
      <c r="U109" s="37">
        <v>1.0999999999999999E-2</v>
      </c>
    </row>
    <row r="110" spans="7:21" ht="18" customHeight="1" x14ac:dyDescent="0.4">
      <c r="G110" s="32">
        <f t="shared" si="13"/>
        <v>44948</v>
      </c>
      <c r="H110" s="37">
        <f t="shared" si="14"/>
        <v>3.04E-2</v>
      </c>
      <c r="I110" s="32">
        <f t="shared" si="15"/>
        <v>44948</v>
      </c>
      <c r="J110" s="37">
        <f t="shared" si="16"/>
        <v>3.9140000000000001E-2</v>
      </c>
      <c r="K110" s="32">
        <f t="shared" si="17"/>
        <v>44594</v>
      </c>
      <c r="L110" s="37">
        <v>1.0999999999999999E-2</v>
      </c>
      <c r="P110" s="32">
        <v>44948</v>
      </c>
      <c r="Q110" s="37">
        <v>3.9140000000000001E-2</v>
      </c>
      <c r="R110" s="32">
        <v>44948</v>
      </c>
      <c r="S110" s="37">
        <v>3.9140000000000001E-2</v>
      </c>
      <c r="T110" s="32">
        <v>44594</v>
      </c>
      <c r="U110" s="37">
        <v>1.0999999999999999E-2</v>
      </c>
    </row>
    <row r="111" spans="7:21" ht="18" customHeight="1" x14ac:dyDescent="0.4">
      <c r="G111" s="32">
        <f t="shared" si="13"/>
        <v>44949</v>
      </c>
      <c r="H111" s="37">
        <f t="shared" si="14"/>
        <v>3.04E-2</v>
      </c>
      <c r="I111" s="32">
        <f t="shared" si="15"/>
        <v>44949</v>
      </c>
      <c r="J111" s="37">
        <f t="shared" si="16"/>
        <v>3.9140000000000001E-2</v>
      </c>
      <c r="K111" s="32">
        <f t="shared" si="17"/>
        <v>44595</v>
      </c>
      <c r="L111" s="37">
        <v>1.0999999999999999E-2</v>
      </c>
      <c r="P111" s="32">
        <v>44949</v>
      </c>
      <c r="Q111" s="37">
        <v>3.9140000000000001E-2</v>
      </c>
      <c r="R111" s="32">
        <v>44949</v>
      </c>
      <c r="S111" s="37">
        <v>3.9140000000000001E-2</v>
      </c>
      <c r="T111" s="32">
        <v>44595</v>
      </c>
      <c r="U111" s="37">
        <v>1.0999999999999999E-2</v>
      </c>
    </row>
    <row r="112" spans="7:21" ht="18" customHeight="1" x14ac:dyDescent="0.4">
      <c r="G112" s="32">
        <f t="shared" si="13"/>
        <v>44950</v>
      </c>
      <c r="H112" s="37">
        <f t="shared" si="14"/>
        <v>3.04E-2</v>
      </c>
      <c r="I112" s="32">
        <f t="shared" si="15"/>
        <v>44950</v>
      </c>
      <c r="J112" s="37">
        <f t="shared" si="16"/>
        <v>3.9140000000000001E-2</v>
      </c>
      <c r="K112" s="32">
        <f t="shared" si="17"/>
        <v>44596</v>
      </c>
      <c r="L112" s="37">
        <v>1.0999999999999999E-2</v>
      </c>
      <c r="P112" s="32">
        <v>44950</v>
      </c>
      <c r="Q112" s="37">
        <v>3.9140000000000001E-2</v>
      </c>
      <c r="R112" s="32">
        <v>44950</v>
      </c>
      <c r="S112" s="37">
        <v>3.9140000000000001E-2</v>
      </c>
      <c r="T112" s="32">
        <v>44596</v>
      </c>
      <c r="U112" s="37">
        <v>1.0999999999999999E-2</v>
      </c>
    </row>
    <row r="113" spans="7:21" ht="18" customHeight="1" x14ac:dyDescent="0.4">
      <c r="G113" s="32">
        <f t="shared" si="13"/>
        <v>44951</v>
      </c>
      <c r="H113" s="37">
        <f t="shared" si="14"/>
        <v>3.04E-2</v>
      </c>
      <c r="I113" s="32">
        <f t="shared" si="15"/>
        <v>44951</v>
      </c>
      <c r="J113" s="37">
        <f t="shared" si="16"/>
        <v>3.9140000000000001E-2</v>
      </c>
      <c r="K113" s="32">
        <f t="shared" si="17"/>
        <v>44597</v>
      </c>
      <c r="L113" s="37">
        <v>1.0999999999999999E-2</v>
      </c>
      <c r="P113" s="32">
        <v>44951</v>
      </c>
      <c r="Q113" s="37">
        <v>3.9140000000000001E-2</v>
      </c>
      <c r="R113" s="32">
        <v>44951</v>
      </c>
      <c r="S113" s="37">
        <v>3.9140000000000001E-2</v>
      </c>
      <c r="T113" s="32">
        <v>44597</v>
      </c>
      <c r="U113" s="37">
        <v>1.0999999999999999E-2</v>
      </c>
    </row>
    <row r="114" spans="7:21" ht="18" customHeight="1" x14ac:dyDescent="0.4">
      <c r="G114" s="32">
        <f t="shared" si="13"/>
        <v>44952</v>
      </c>
      <c r="H114" s="37">
        <f t="shared" si="14"/>
        <v>3.04E-2</v>
      </c>
      <c r="I114" s="32">
        <f t="shared" si="15"/>
        <v>44952</v>
      </c>
      <c r="J114" s="37">
        <f t="shared" si="16"/>
        <v>3.9140000000000001E-2</v>
      </c>
      <c r="K114" s="32">
        <f t="shared" si="17"/>
        <v>44598</v>
      </c>
      <c r="L114" s="37">
        <v>1.0999999999999999E-2</v>
      </c>
      <c r="P114" s="32">
        <v>44952</v>
      </c>
      <c r="Q114" s="37">
        <v>3.9140000000000001E-2</v>
      </c>
      <c r="R114" s="32">
        <v>44952</v>
      </c>
      <c r="S114" s="37">
        <v>3.9140000000000001E-2</v>
      </c>
      <c r="T114" s="32">
        <v>44598</v>
      </c>
      <c r="U114" s="37">
        <v>1.0999999999999999E-2</v>
      </c>
    </row>
    <row r="115" spans="7:21" ht="18" customHeight="1" x14ac:dyDescent="0.4">
      <c r="G115" s="32">
        <f t="shared" si="13"/>
        <v>44953</v>
      </c>
      <c r="H115" s="37">
        <f t="shared" si="14"/>
        <v>3.04E-2</v>
      </c>
      <c r="I115" s="32">
        <f t="shared" si="15"/>
        <v>44953</v>
      </c>
      <c r="J115" s="37">
        <f t="shared" si="16"/>
        <v>3.9140000000000001E-2</v>
      </c>
      <c r="K115" s="32">
        <f t="shared" si="17"/>
        <v>44599</v>
      </c>
      <c r="L115" s="37">
        <v>1.0999999999999999E-2</v>
      </c>
      <c r="P115" s="32">
        <v>44953</v>
      </c>
      <c r="Q115" s="37">
        <v>3.9140000000000001E-2</v>
      </c>
      <c r="R115" s="32">
        <v>44953</v>
      </c>
      <c r="S115" s="37">
        <v>3.9140000000000001E-2</v>
      </c>
      <c r="T115" s="32">
        <v>44599</v>
      </c>
      <c r="U115" s="37">
        <v>1.0999999999999999E-2</v>
      </c>
    </row>
    <row r="116" spans="7:21" ht="18" customHeight="1" x14ac:dyDescent="0.4">
      <c r="G116" s="32">
        <f t="shared" si="13"/>
        <v>44954</v>
      </c>
      <c r="H116" s="37">
        <f t="shared" si="14"/>
        <v>3.04E-2</v>
      </c>
      <c r="I116" s="32">
        <f t="shared" si="15"/>
        <v>44954</v>
      </c>
      <c r="J116" s="37">
        <f t="shared" si="16"/>
        <v>3.9140000000000001E-2</v>
      </c>
      <c r="K116" s="32">
        <f t="shared" si="17"/>
        <v>44600</v>
      </c>
      <c r="L116" s="37">
        <v>1.0999999999999999E-2</v>
      </c>
      <c r="P116" s="32">
        <v>44954</v>
      </c>
      <c r="Q116" s="37">
        <v>3.9140000000000001E-2</v>
      </c>
      <c r="R116" s="32">
        <v>44954</v>
      </c>
      <c r="S116" s="37">
        <v>3.9140000000000001E-2</v>
      </c>
      <c r="T116" s="32">
        <v>44600</v>
      </c>
      <c r="U116" s="37">
        <v>1.0999999999999999E-2</v>
      </c>
    </row>
    <row r="117" spans="7:21" ht="18" customHeight="1" x14ac:dyDescent="0.4">
      <c r="G117" s="32">
        <f t="shared" si="13"/>
        <v>44955</v>
      </c>
      <c r="H117" s="37">
        <f t="shared" si="14"/>
        <v>3.04E-2</v>
      </c>
      <c r="I117" s="32">
        <f t="shared" si="15"/>
        <v>44955</v>
      </c>
      <c r="J117" s="37">
        <f t="shared" si="16"/>
        <v>3.9140000000000001E-2</v>
      </c>
      <c r="K117" s="32">
        <f t="shared" si="17"/>
        <v>44601</v>
      </c>
      <c r="L117" s="37">
        <v>1.0999999999999999E-2</v>
      </c>
      <c r="P117" s="32">
        <v>44955</v>
      </c>
      <c r="Q117" s="37">
        <v>3.9140000000000001E-2</v>
      </c>
      <c r="R117" s="32">
        <v>44955</v>
      </c>
      <c r="S117" s="37">
        <v>3.9140000000000001E-2</v>
      </c>
      <c r="T117" s="32">
        <v>44601</v>
      </c>
      <c r="U117" s="37">
        <v>1.0999999999999999E-2</v>
      </c>
    </row>
    <row r="118" spans="7:21" ht="18" customHeight="1" x14ac:dyDescent="0.4">
      <c r="G118" s="32">
        <f t="shared" si="13"/>
        <v>44956</v>
      </c>
      <c r="H118" s="37">
        <f t="shared" si="14"/>
        <v>3.04E-2</v>
      </c>
      <c r="I118" s="32">
        <f t="shared" si="15"/>
        <v>44956</v>
      </c>
      <c r="J118" s="37">
        <f t="shared" si="16"/>
        <v>3.9140000000000001E-2</v>
      </c>
      <c r="K118" s="32">
        <f t="shared" si="17"/>
        <v>44602</v>
      </c>
      <c r="L118" s="37">
        <v>1.0999999999999999E-2</v>
      </c>
      <c r="P118" s="32">
        <v>44956</v>
      </c>
      <c r="Q118" s="37">
        <v>3.9140000000000001E-2</v>
      </c>
      <c r="R118" s="32">
        <v>44956</v>
      </c>
      <c r="S118" s="37">
        <v>3.9140000000000001E-2</v>
      </c>
      <c r="T118" s="32">
        <v>44602</v>
      </c>
      <c r="U118" s="37">
        <v>1.0999999999999999E-2</v>
      </c>
    </row>
    <row r="119" spans="7:21" ht="18" customHeight="1" x14ac:dyDescent="0.4">
      <c r="G119" s="32">
        <f t="shared" si="13"/>
        <v>44957</v>
      </c>
      <c r="H119" s="37">
        <f t="shared" si="14"/>
        <v>3.04E-2</v>
      </c>
      <c r="I119" s="32">
        <f t="shared" si="15"/>
        <v>44957</v>
      </c>
      <c r="J119" s="37">
        <f t="shared" si="16"/>
        <v>3.9140000000000001E-2</v>
      </c>
      <c r="K119" s="32">
        <f t="shared" si="17"/>
        <v>44603</v>
      </c>
      <c r="L119" s="37">
        <v>1.0999999999999999E-2</v>
      </c>
      <c r="P119" s="32">
        <v>44957</v>
      </c>
      <c r="Q119" s="37">
        <v>3.9140000000000001E-2</v>
      </c>
      <c r="R119" s="32">
        <v>44957</v>
      </c>
      <c r="S119" s="37">
        <v>3.9140000000000001E-2</v>
      </c>
      <c r="T119" s="32">
        <v>44603</v>
      </c>
      <c r="U119" s="37">
        <v>1.0999999999999999E-2</v>
      </c>
    </row>
    <row r="120" spans="7:21" ht="18" customHeight="1" x14ac:dyDescent="0.4">
      <c r="G120" s="32">
        <f t="shared" si="13"/>
        <v>44958</v>
      </c>
      <c r="H120" s="37">
        <f t="shared" si="14"/>
        <v>3.04E-2</v>
      </c>
      <c r="I120" s="32">
        <f t="shared" si="15"/>
        <v>44958</v>
      </c>
      <c r="J120" s="37">
        <f t="shared" si="16"/>
        <v>3.9140000000000001E-2</v>
      </c>
      <c r="K120" s="32">
        <f t="shared" si="17"/>
        <v>44604</v>
      </c>
      <c r="L120" s="37">
        <v>1.0999999999999999E-2</v>
      </c>
      <c r="P120" s="32">
        <v>44958</v>
      </c>
      <c r="Q120" s="37">
        <v>3.9140000000000001E-2</v>
      </c>
      <c r="R120" s="32">
        <v>44958</v>
      </c>
      <c r="S120" s="37">
        <v>3.9140000000000001E-2</v>
      </c>
      <c r="T120" s="32">
        <v>44604</v>
      </c>
      <c r="U120" s="37">
        <v>1.0999999999999999E-2</v>
      </c>
    </row>
    <row r="121" spans="7:21" ht="18" customHeight="1" x14ac:dyDescent="0.4">
      <c r="G121" s="32">
        <f t="shared" si="13"/>
        <v>44959</v>
      </c>
      <c r="H121" s="37">
        <f t="shared" si="14"/>
        <v>3.04E-2</v>
      </c>
      <c r="I121" s="32">
        <f t="shared" si="15"/>
        <v>44959</v>
      </c>
      <c r="J121" s="37">
        <f t="shared" si="16"/>
        <v>3.9140000000000001E-2</v>
      </c>
      <c r="K121" s="32">
        <f t="shared" si="17"/>
        <v>44605</v>
      </c>
      <c r="L121" s="37">
        <v>1.0999999999999999E-2</v>
      </c>
      <c r="P121" s="32">
        <v>44959</v>
      </c>
      <c r="Q121" s="37">
        <v>3.9140000000000001E-2</v>
      </c>
      <c r="R121" s="32">
        <v>44959</v>
      </c>
      <c r="S121" s="37">
        <v>3.9140000000000001E-2</v>
      </c>
      <c r="T121" s="32">
        <v>44605</v>
      </c>
      <c r="U121" s="37">
        <v>1.0999999999999999E-2</v>
      </c>
    </row>
    <row r="122" spans="7:21" ht="18" customHeight="1" x14ac:dyDescent="0.4">
      <c r="G122" s="32">
        <f t="shared" si="13"/>
        <v>44960</v>
      </c>
      <c r="H122" s="37">
        <f t="shared" si="14"/>
        <v>3.04E-2</v>
      </c>
      <c r="I122" s="32">
        <f t="shared" si="15"/>
        <v>44960</v>
      </c>
      <c r="J122" s="37">
        <f t="shared" si="16"/>
        <v>3.9140000000000001E-2</v>
      </c>
      <c r="K122" s="32">
        <f t="shared" si="17"/>
        <v>44606</v>
      </c>
      <c r="L122" s="37">
        <v>1.0999999999999999E-2</v>
      </c>
      <c r="P122" s="32">
        <v>44960</v>
      </c>
      <c r="Q122" s="37">
        <v>3.9140000000000001E-2</v>
      </c>
      <c r="R122" s="32">
        <v>44960</v>
      </c>
      <c r="S122" s="37">
        <v>3.9140000000000001E-2</v>
      </c>
      <c r="T122" s="32">
        <v>44606</v>
      </c>
      <c r="U122" s="37">
        <v>1.0999999999999999E-2</v>
      </c>
    </row>
    <row r="123" spans="7:21" ht="18" customHeight="1" x14ac:dyDescent="0.4">
      <c r="G123" s="32">
        <f t="shared" si="13"/>
        <v>44961</v>
      </c>
      <c r="H123" s="37">
        <f t="shared" si="14"/>
        <v>3.04E-2</v>
      </c>
      <c r="I123" s="32">
        <f t="shared" si="15"/>
        <v>44961</v>
      </c>
      <c r="J123" s="37">
        <f t="shared" si="16"/>
        <v>3.9140000000000001E-2</v>
      </c>
      <c r="K123" s="32">
        <f t="shared" si="17"/>
        <v>44607</v>
      </c>
      <c r="L123" s="37">
        <v>1.0999999999999999E-2</v>
      </c>
      <c r="P123" s="32">
        <v>44961</v>
      </c>
      <c r="Q123" s="37">
        <v>3.9140000000000001E-2</v>
      </c>
      <c r="R123" s="32">
        <v>44961</v>
      </c>
      <c r="S123" s="37">
        <v>3.9140000000000001E-2</v>
      </c>
      <c r="T123" s="32">
        <v>44607</v>
      </c>
      <c r="U123" s="37">
        <v>1.0999999999999999E-2</v>
      </c>
    </row>
    <row r="124" spans="7:21" ht="18" customHeight="1" x14ac:dyDescent="0.4">
      <c r="G124" s="32">
        <f t="shared" si="13"/>
        <v>44962</v>
      </c>
      <c r="H124" s="37">
        <f t="shared" si="14"/>
        <v>3.04E-2</v>
      </c>
      <c r="I124" s="32">
        <f t="shared" si="15"/>
        <v>44962</v>
      </c>
      <c r="J124" s="37">
        <f t="shared" si="16"/>
        <v>3.9140000000000001E-2</v>
      </c>
      <c r="K124" s="32">
        <f t="shared" si="17"/>
        <v>44608</v>
      </c>
      <c r="L124" s="37">
        <v>1.0999999999999999E-2</v>
      </c>
      <c r="P124" s="32">
        <v>44962</v>
      </c>
      <c r="Q124" s="37">
        <v>3.9140000000000001E-2</v>
      </c>
      <c r="R124" s="32">
        <v>44962</v>
      </c>
      <c r="S124" s="37">
        <v>3.9140000000000001E-2</v>
      </c>
      <c r="T124" s="32">
        <v>44608</v>
      </c>
      <c r="U124" s="37">
        <v>1.0999999999999999E-2</v>
      </c>
    </row>
    <row r="125" spans="7:21" ht="18" customHeight="1" x14ac:dyDescent="0.4">
      <c r="G125" s="32">
        <f t="shared" si="13"/>
        <v>44963</v>
      </c>
      <c r="H125" s="37">
        <f t="shared" si="14"/>
        <v>3.04E-2</v>
      </c>
      <c r="I125" s="32">
        <f t="shared" si="15"/>
        <v>44963</v>
      </c>
      <c r="J125" s="37">
        <f t="shared" si="16"/>
        <v>3.9140000000000001E-2</v>
      </c>
      <c r="K125" s="32">
        <f t="shared" si="17"/>
        <v>44609</v>
      </c>
      <c r="L125" s="37">
        <v>1.0999999999999999E-2</v>
      </c>
      <c r="P125" s="32">
        <v>44963</v>
      </c>
      <c r="Q125" s="37">
        <v>3.9140000000000001E-2</v>
      </c>
      <c r="R125" s="32">
        <v>44963</v>
      </c>
      <c r="S125" s="37">
        <v>3.9140000000000001E-2</v>
      </c>
      <c r="T125" s="32">
        <v>44609</v>
      </c>
      <c r="U125" s="37">
        <v>1.0999999999999999E-2</v>
      </c>
    </row>
    <row r="126" spans="7:21" ht="18" customHeight="1" x14ac:dyDescent="0.4">
      <c r="G126" s="32">
        <f t="shared" si="13"/>
        <v>44964</v>
      </c>
      <c r="H126" s="37">
        <f t="shared" si="14"/>
        <v>3.04E-2</v>
      </c>
      <c r="I126" s="32">
        <f t="shared" si="15"/>
        <v>44964</v>
      </c>
      <c r="J126" s="37">
        <f t="shared" si="16"/>
        <v>3.9140000000000001E-2</v>
      </c>
      <c r="K126" s="32">
        <f t="shared" si="17"/>
        <v>44610</v>
      </c>
      <c r="L126" s="37">
        <v>1.0999999999999999E-2</v>
      </c>
      <c r="P126" s="32">
        <v>44964</v>
      </c>
      <c r="Q126" s="37">
        <v>3.9140000000000001E-2</v>
      </c>
      <c r="R126" s="32">
        <v>44964</v>
      </c>
      <c r="S126" s="37">
        <v>3.9140000000000001E-2</v>
      </c>
      <c r="T126" s="32">
        <v>44610</v>
      </c>
      <c r="U126" s="37">
        <v>1.0999999999999999E-2</v>
      </c>
    </row>
    <row r="127" spans="7:21" ht="18" customHeight="1" x14ac:dyDescent="0.4">
      <c r="G127" s="32">
        <f t="shared" si="13"/>
        <v>44965</v>
      </c>
      <c r="H127" s="37">
        <f t="shared" si="14"/>
        <v>3.04E-2</v>
      </c>
      <c r="I127" s="32">
        <f t="shared" si="15"/>
        <v>44965</v>
      </c>
      <c r="J127" s="37">
        <f t="shared" si="16"/>
        <v>3.9140000000000001E-2</v>
      </c>
      <c r="K127" s="32">
        <f t="shared" si="17"/>
        <v>44611</v>
      </c>
      <c r="L127" s="37">
        <v>1.0999999999999999E-2</v>
      </c>
      <c r="P127" s="32">
        <v>44965</v>
      </c>
      <c r="Q127" s="37">
        <v>3.9140000000000001E-2</v>
      </c>
      <c r="R127" s="32">
        <v>44965</v>
      </c>
      <c r="S127" s="37">
        <v>3.9140000000000001E-2</v>
      </c>
      <c r="T127" s="32">
        <v>44611</v>
      </c>
      <c r="U127" s="37">
        <v>1.0999999999999999E-2</v>
      </c>
    </row>
    <row r="128" spans="7:21" ht="18" customHeight="1" x14ac:dyDescent="0.4">
      <c r="G128" s="32">
        <f t="shared" si="13"/>
        <v>44966</v>
      </c>
      <c r="H128" s="37">
        <f t="shared" si="14"/>
        <v>3.04E-2</v>
      </c>
      <c r="I128" s="32">
        <f t="shared" si="15"/>
        <v>44966</v>
      </c>
      <c r="J128" s="37">
        <f t="shared" si="16"/>
        <v>3.9140000000000001E-2</v>
      </c>
      <c r="K128" s="32">
        <f t="shared" si="17"/>
        <v>44612</v>
      </c>
      <c r="L128" s="37">
        <v>1.0999999999999999E-2</v>
      </c>
      <c r="P128" s="32">
        <v>44966</v>
      </c>
      <c r="Q128" s="37">
        <v>3.9140000000000001E-2</v>
      </c>
      <c r="R128" s="32">
        <v>44966</v>
      </c>
      <c r="S128" s="37">
        <v>3.9140000000000001E-2</v>
      </c>
      <c r="T128" s="32">
        <v>44612</v>
      </c>
      <c r="U128" s="37">
        <v>1.0999999999999999E-2</v>
      </c>
    </row>
    <row r="129" spans="7:21" ht="18" customHeight="1" x14ac:dyDescent="0.4">
      <c r="G129" s="32">
        <f t="shared" si="13"/>
        <v>44967</v>
      </c>
      <c r="H129" s="37">
        <f t="shared" si="14"/>
        <v>3.04E-2</v>
      </c>
      <c r="I129" s="32">
        <f t="shared" si="15"/>
        <v>44967</v>
      </c>
      <c r="J129" s="37">
        <f t="shared" si="16"/>
        <v>3.9140000000000001E-2</v>
      </c>
      <c r="K129" s="32">
        <f t="shared" si="17"/>
        <v>44613</v>
      </c>
      <c r="L129" s="37">
        <v>1.0999999999999999E-2</v>
      </c>
      <c r="P129" s="32">
        <v>44967</v>
      </c>
      <c r="Q129" s="37">
        <v>3.9140000000000001E-2</v>
      </c>
      <c r="R129" s="32">
        <v>44967</v>
      </c>
      <c r="S129" s="37">
        <v>3.9140000000000001E-2</v>
      </c>
      <c r="T129" s="32">
        <v>44613</v>
      </c>
      <c r="U129" s="37">
        <v>1.0999999999999999E-2</v>
      </c>
    </row>
    <row r="130" spans="7:21" ht="18" customHeight="1" x14ac:dyDescent="0.4">
      <c r="G130" s="32">
        <f t="shared" si="13"/>
        <v>44968</v>
      </c>
      <c r="H130" s="37">
        <f t="shared" si="14"/>
        <v>3.04E-2</v>
      </c>
      <c r="I130" s="32">
        <f t="shared" si="15"/>
        <v>44968</v>
      </c>
      <c r="J130" s="37">
        <f t="shared" si="16"/>
        <v>3.9140000000000001E-2</v>
      </c>
      <c r="K130" s="32">
        <f t="shared" si="17"/>
        <v>44614</v>
      </c>
      <c r="L130" s="37">
        <v>1.0999999999999999E-2</v>
      </c>
      <c r="P130" s="32">
        <v>44968</v>
      </c>
      <c r="Q130" s="37">
        <v>3.9140000000000001E-2</v>
      </c>
      <c r="R130" s="32">
        <v>44968</v>
      </c>
      <c r="S130" s="37">
        <v>3.9140000000000001E-2</v>
      </c>
      <c r="T130" s="32">
        <v>44614</v>
      </c>
      <c r="U130" s="37">
        <v>1.0999999999999999E-2</v>
      </c>
    </row>
    <row r="131" spans="7:21" ht="18" customHeight="1" x14ac:dyDescent="0.4">
      <c r="G131" s="32">
        <f t="shared" si="13"/>
        <v>44969</v>
      </c>
      <c r="H131" s="37">
        <f t="shared" si="14"/>
        <v>3.04E-2</v>
      </c>
      <c r="I131" s="32">
        <f t="shared" si="15"/>
        <v>44969</v>
      </c>
      <c r="J131" s="37">
        <f t="shared" si="16"/>
        <v>3.9140000000000001E-2</v>
      </c>
      <c r="K131" s="32">
        <f t="shared" si="17"/>
        <v>44615</v>
      </c>
      <c r="L131" s="37">
        <v>1.0999999999999999E-2</v>
      </c>
      <c r="P131" s="32">
        <v>44969</v>
      </c>
      <c r="Q131" s="37">
        <v>3.9140000000000001E-2</v>
      </c>
      <c r="R131" s="32">
        <v>44969</v>
      </c>
      <c r="S131" s="37">
        <v>3.9140000000000001E-2</v>
      </c>
      <c r="T131" s="32">
        <v>44615</v>
      </c>
      <c r="U131" s="37">
        <v>1.0999999999999999E-2</v>
      </c>
    </row>
    <row r="132" spans="7:21" ht="18" customHeight="1" x14ac:dyDescent="0.4">
      <c r="G132" s="32">
        <f t="shared" si="13"/>
        <v>44970</v>
      </c>
      <c r="H132" s="37">
        <f t="shared" si="14"/>
        <v>3.04E-2</v>
      </c>
      <c r="I132" s="32">
        <f t="shared" si="15"/>
        <v>44970</v>
      </c>
      <c r="J132" s="37">
        <f t="shared" si="16"/>
        <v>3.9140000000000001E-2</v>
      </c>
      <c r="K132" s="32">
        <f t="shared" si="17"/>
        <v>44616</v>
      </c>
      <c r="L132" s="37">
        <v>1.0999999999999999E-2</v>
      </c>
      <c r="P132" s="32">
        <v>44970</v>
      </c>
      <c r="Q132" s="37">
        <v>3.9140000000000001E-2</v>
      </c>
      <c r="R132" s="32">
        <v>44970</v>
      </c>
      <c r="S132" s="37">
        <v>3.9140000000000001E-2</v>
      </c>
      <c r="T132" s="32">
        <v>44616</v>
      </c>
      <c r="U132" s="37">
        <v>1.0999999999999999E-2</v>
      </c>
    </row>
    <row r="133" spans="7:21" ht="18" customHeight="1" x14ac:dyDescent="0.4">
      <c r="G133" s="32">
        <f t="shared" si="13"/>
        <v>44971</v>
      </c>
      <c r="H133" s="37">
        <f t="shared" si="14"/>
        <v>3.04E-2</v>
      </c>
      <c r="I133" s="32">
        <f t="shared" si="15"/>
        <v>44971</v>
      </c>
      <c r="J133" s="37">
        <f t="shared" si="16"/>
        <v>3.9140000000000001E-2</v>
      </c>
      <c r="K133" s="32">
        <f t="shared" si="17"/>
        <v>44617</v>
      </c>
      <c r="L133" s="37">
        <v>1.0999999999999999E-2</v>
      </c>
      <c r="P133" s="32">
        <v>44971</v>
      </c>
      <c r="Q133" s="37">
        <v>3.9140000000000001E-2</v>
      </c>
      <c r="R133" s="32">
        <v>44971</v>
      </c>
      <c r="S133" s="37">
        <v>3.9140000000000001E-2</v>
      </c>
      <c r="T133" s="32">
        <v>44617</v>
      </c>
      <c r="U133" s="37">
        <v>1.0999999999999999E-2</v>
      </c>
    </row>
    <row r="134" spans="7:21" ht="18" customHeight="1" x14ac:dyDescent="0.4">
      <c r="G134" s="32">
        <f t="shared" si="13"/>
        <v>44972</v>
      </c>
      <c r="H134" s="37">
        <f t="shared" si="14"/>
        <v>3.04E-2</v>
      </c>
      <c r="I134" s="32">
        <f t="shared" si="15"/>
        <v>44972</v>
      </c>
      <c r="J134" s="37">
        <f t="shared" si="16"/>
        <v>3.9140000000000001E-2</v>
      </c>
      <c r="K134" s="32">
        <f t="shared" si="17"/>
        <v>44618</v>
      </c>
      <c r="L134" s="37">
        <v>1.0999999999999999E-2</v>
      </c>
      <c r="P134" s="32">
        <v>44972</v>
      </c>
      <c r="Q134" s="37">
        <v>3.9140000000000001E-2</v>
      </c>
      <c r="R134" s="32">
        <v>44972</v>
      </c>
      <c r="S134" s="37">
        <v>3.9140000000000001E-2</v>
      </c>
      <c r="T134" s="32">
        <v>44618</v>
      </c>
      <c r="U134" s="37">
        <v>1.0999999999999999E-2</v>
      </c>
    </row>
    <row r="135" spans="7:21" ht="18" customHeight="1" x14ac:dyDescent="0.4">
      <c r="G135" s="32">
        <f t="shared" ref="G135:G198" si="18">G134+1</f>
        <v>44973</v>
      </c>
      <c r="H135" s="37">
        <f t="shared" ref="H135:H198" si="19">H134</f>
        <v>3.04E-2</v>
      </c>
      <c r="I135" s="32">
        <f t="shared" ref="I135:I198" si="20">I134+1</f>
        <v>44973</v>
      </c>
      <c r="J135" s="37">
        <f t="shared" ref="J135:J198" si="21">J134</f>
        <v>3.9140000000000001E-2</v>
      </c>
      <c r="K135" s="32">
        <f t="shared" si="17"/>
        <v>44619</v>
      </c>
      <c r="L135" s="37">
        <v>1.0999999999999999E-2</v>
      </c>
      <c r="P135" s="32">
        <v>44973</v>
      </c>
      <c r="Q135" s="37">
        <v>3.9140000000000001E-2</v>
      </c>
      <c r="R135" s="32">
        <v>44973</v>
      </c>
      <c r="S135" s="37">
        <v>3.9140000000000001E-2</v>
      </c>
      <c r="T135" s="32">
        <v>44619</v>
      </c>
      <c r="U135" s="37">
        <v>1.0999999999999999E-2</v>
      </c>
    </row>
    <row r="136" spans="7:21" ht="18" customHeight="1" x14ac:dyDescent="0.4">
      <c r="G136" s="32">
        <f t="shared" si="18"/>
        <v>44974</v>
      </c>
      <c r="H136" s="37">
        <f t="shared" si="19"/>
        <v>3.04E-2</v>
      </c>
      <c r="I136" s="32">
        <f t="shared" si="20"/>
        <v>44974</v>
      </c>
      <c r="J136" s="37">
        <f t="shared" si="21"/>
        <v>3.9140000000000001E-2</v>
      </c>
      <c r="K136" s="32">
        <f t="shared" si="17"/>
        <v>44620</v>
      </c>
      <c r="L136" s="37">
        <v>1.0999999999999999E-2</v>
      </c>
      <c r="P136" s="32">
        <v>44974</v>
      </c>
      <c r="Q136" s="37">
        <v>3.9140000000000001E-2</v>
      </c>
      <c r="R136" s="32">
        <v>44974</v>
      </c>
      <c r="S136" s="37">
        <v>3.9140000000000001E-2</v>
      </c>
      <c r="T136" s="32">
        <v>44620</v>
      </c>
      <c r="U136" s="37">
        <v>1.0999999999999999E-2</v>
      </c>
    </row>
    <row r="137" spans="7:21" ht="18" customHeight="1" x14ac:dyDescent="0.4">
      <c r="G137" s="32">
        <f t="shared" si="18"/>
        <v>44975</v>
      </c>
      <c r="H137" s="37">
        <f t="shared" si="19"/>
        <v>3.04E-2</v>
      </c>
      <c r="I137" s="32">
        <f t="shared" si="20"/>
        <v>44975</v>
      </c>
      <c r="J137" s="37">
        <f t="shared" si="21"/>
        <v>3.9140000000000001E-2</v>
      </c>
      <c r="K137" s="32">
        <f t="shared" ref="K137:K200" si="22">K136+1</f>
        <v>44621</v>
      </c>
      <c r="L137" s="37">
        <v>1.0999999999999999E-2</v>
      </c>
      <c r="P137" s="32">
        <v>44975</v>
      </c>
      <c r="Q137" s="37">
        <v>3.9140000000000001E-2</v>
      </c>
      <c r="R137" s="32">
        <v>44975</v>
      </c>
      <c r="S137" s="37">
        <v>3.9140000000000001E-2</v>
      </c>
      <c r="T137" s="32">
        <v>44621</v>
      </c>
      <c r="U137" s="37">
        <v>1.0999999999999999E-2</v>
      </c>
    </row>
    <row r="138" spans="7:21" ht="18" customHeight="1" x14ac:dyDescent="0.4">
      <c r="G138" s="32">
        <f t="shared" si="18"/>
        <v>44976</v>
      </c>
      <c r="H138" s="37">
        <f t="shared" si="19"/>
        <v>3.04E-2</v>
      </c>
      <c r="I138" s="32">
        <f t="shared" si="20"/>
        <v>44976</v>
      </c>
      <c r="J138" s="37">
        <f t="shared" si="21"/>
        <v>3.9140000000000001E-2</v>
      </c>
      <c r="K138" s="32">
        <f t="shared" si="22"/>
        <v>44622</v>
      </c>
      <c r="L138" s="37">
        <v>1.0999999999999999E-2</v>
      </c>
      <c r="P138" s="32">
        <v>44976</v>
      </c>
      <c r="Q138" s="37">
        <v>3.9140000000000001E-2</v>
      </c>
      <c r="R138" s="32">
        <v>44976</v>
      </c>
      <c r="S138" s="37">
        <v>3.9140000000000001E-2</v>
      </c>
      <c r="T138" s="32">
        <v>44622</v>
      </c>
      <c r="U138" s="37">
        <v>1.0999999999999999E-2</v>
      </c>
    </row>
    <row r="139" spans="7:21" ht="18" customHeight="1" x14ac:dyDescent="0.4">
      <c r="G139" s="32">
        <f t="shared" si="18"/>
        <v>44977</v>
      </c>
      <c r="H139" s="37">
        <f t="shared" si="19"/>
        <v>3.04E-2</v>
      </c>
      <c r="I139" s="32">
        <f t="shared" si="20"/>
        <v>44977</v>
      </c>
      <c r="J139" s="37">
        <f t="shared" si="21"/>
        <v>3.9140000000000001E-2</v>
      </c>
      <c r="K139" s="32">
        <f t="shared" si="22"/>
        <v>44623</v>
      </c>
      <c r="L139" s="37">
        <v>1.0999999999999999E-2</v>
      </c>
      <c r="P139" s="32">
        <v>44977</v>
      </c>
      <c r="Q139" s="37">
        <v>3.9140000000000001E-2</v>
      </c>
      <c r="R139" s="32">
        <v>44977</v>
      </c>
      <c r="S139" s="37">
        <v>3.9140000000000001E-2</v>
      </c>
      <c r="T139" s="32">
        <v>44623</v>
      </c>
      <c r="U139" s="37">
        <v>1.0999999999999999E-2</v>
      </c>
    </row>
    <row r="140" spans="7:21" ht="18" customHeight="1" x14ac:dyDescent="0.4">
      <c r="G140" s="32">
        <f t="shared" si="18"/>
        <v>44978</v>
      </c>
      <c r="H140" s="37">
        <f t="shared" si="19"/>
        <v>3.04E-2</v>
      </c>
      <c r="I140" s="32">
        <f t="shared" si="20"/>
        <v>44978</v>
      </c>
      <c r="J140" s="37">
        <f t="shared" si="21"/>
        <v>3.9140000000000001E-2</v>
      </c>
      <c r="K140" s="32">
        <f t="shared" si="22"/>
        <v>44624</v>
      </c>
      <c r="L140" s="37">
        <v>1.0999999999999999E-2</v>
      </c>
      <c r="P140" s="32">
        <v>44978</v>
      </c>
      <c r="Q140" s="37">
        <v>3.9140000000000001E-2</v>
      </c>
      <c r="R140" s="32">
        <v>44978</v>
      </c>
      <c r="S140" s="37">
        <v>3.9140000000000001E-2</v>
      </c>
      <c r="T140" s="32">
        <v>44624</v>
      </c>
      <c r="U140" s="37">
        <v>1.0999999999999999E-2</v>
      </c>
    </row>
    <row r="141" spans="7:21" ht="18" customHeight="1" x14ac:dyDescent="0.4">
      <c r="G141" s="32">
        <f t="shared" si="18"/>
        <v>44979</v>
      </c>
      <c r="H141" s="37">
        <f t="shared" si="19"/>
        <v>3.04E-2</v>
      </c>
      <c r="I141" s="32">
        <f t="shared" si="20"/>
        <v>44979</v>
      </c>
      <c r="J141" s="37">
        <f t="shared" si="21"/>
        <v>3.9140000000000001E-2</v>
      </c>
      <c r="K141" s="32">
        <f t="shared" si="22"/>
        <v>44625</v>
      </c>
      <c r="L141" s="37">
        <v>1.0999999999999999E-2</v>
      </c>
      <c r="P141" s="32">
        <v>44979</v>
      </c>
      <c r="Q141" s="37">
        <v>3.9140000000000001E-2</v>
      </c>
      <c r="R141" s="32">
        <v>44979</v>
      </c>
      <c r="S141" s="37">
        <v>3.9140000000000001E-2</v>
      </c>
      <c r="T141" s="32">
        <v>44625</v>
      </c>
      <c r="U141" s="37">
        <v>1.0999999999999999E-2</v>
      </c>
    </row>
    <row r="142" spans="7:21" ht="18" customHeight="1" x14ac:dyDescent="0.4">
      <c r="G142" s="32">
        <f t="shared" si="18"/>
        <v>44980</v>
      </c>
      <c r="H142" s="37">
        <f t="shared" si="19"/>
        <v>3.04E-2</v>
      </c>
      <c r="I142" s="32">
        <f t="shared" si="20"/>
        <v>44980</v>
      </c>
      <c r="J142" s="37">
        <f t="shared" si="21"/>
        <v>3.9140000000000001E-2</v>
      </c>
      <c r="K142" s="32">
        <f t="shared" si="22"/>
        <v>44626</v>
      </c>
      <c r="L142" s="37">
        <v>1.0999999999999999E-2</v>
      </c>
      <c r="P142" s="32">
        <v>44980</v>
      </c>
      <c r="Q142" s="37">
        <v>3.9140000000000001E-2</v>
      </c>
      <c r="R142" s="32">
        <v>44980</v>
      </c>
      <c r="S142" s="37">
        <v>3.9140000000000001E-2</v>
      </c>
      <c r="T142" s="32">
        <v>44626</v>
      </c>
      <c r="U142" s="37">
        <v>1.0999999999999999E-2</v>
      </c>
    </row>
    <row r="143" spans="7:21" ht="18" customHeight="1" x14ac:dyDescent="0.4">
      <c r="G143" s="32">
        <f t="shared" si="18"/>
        <v>44981</v>
      </c>
      <c r="H143" s="37">
        <f t="shared" si="19"/>
        <v>3.04E-2</v>
      </c>
      <c r="I143" s="32">
        <f t="shared" si="20"/>
        <v>44981</v>
      </c>
      <c r="J143" s="37">
        <f t="shared" si="21"/>
        <v>3.9140000000000001E-2</v>
      </c>
      <c r="K143" s="32">
        <f t="shared" si="22"/>
        <v>44627</v>
      </c>
      <c r="L143" s="37">
        <v>1.0999999999999999E-2</v>
      </c>
      <c r="P143" s="32">
        <v>44981</v>
      </c>
      <c r="Q143" s="37">
        <v>3.9140000000000001E-2</v>
      </c>
      <c r="R143" s="32">
        <v>44981</v>
      </c>
      <c r="S143" s="37">
        <v>3.9140000000000001E-2</v>
      </c>
      <c r="T143" s="32">
        <v>44627</v>
      </c>
      <c r="U143" s="37">
        <v>1.0999999999999999E-2</v>
      </c>
    </row>
    <row r="144" spans="7:21" ht="18" customHeight="1" x14ac:dyDescent="0.4">
      <c r="G144" s="32">
        <f t="shared" si="18"/>
        <v>44982</v>
      </c>
      <c r="H144" s="37">
        <f t="shared" si="19"/>
        <v>3.04E-2</v>
      </c>
      <c r="I144" s="32">
        <f t="shared" si="20"/>
        <v>44982</v>
      </c>
      <c r="J144" s="37">
        <f t="shared" si="21"/>
        <v>3.9140000000000001E-2</v>
      </c>
      <c r="K144" s="32">
        <f t="shared" si="22"/>
        <v>44628</v>
      </c>
      <c r="L144" s="37">
        <v>1.0999999999999999E-2</v>
      </c>
      <c r="P144" s="32">
        <v>44982</v>
      </c>
      <c r="Q144" s="37">
        <v>3.9140000000000001E-2</v>
      </c>
      <c r="R144" s="32">
        <v>44982</v>
      </c>
      <c r="S144" s="37">
        <v>3.9140000000000001E-2</v>
      </c>
      <c r="T144" s="32">
        <v>44628</v>
      </c>
      <c r="U144" s="37">
        <v>1.0999999999999999E-2</v>
      </c>
    </row>
    <row r="145" spans="7:21" ht="18" customHeight="1" x14ac:dyDescent="0.4">
      <c r="G145" s="32">
        <f t="shared" si="18"/>
        <v>44983</v>
      </c>
      <c r="H145" s="37">
        <f t="shared" si="19"/>
        <v>3.04E-2</v>
      </c>
      <c r="I145" s="32">
        <f t="shared" si="20"/>
        <v>44983</v>
      </c>
      <c r="J145" s="37">
        <f t="shared" si="21"/>
        <v>3.9140000000000001E-2</v>
      </c>
      <c r="K145" s="32">
        <f t="shared" si="22"/>
        <v>44629</v>
      </c>
      <c r="L145" s="37">
        <v>1.0999999999999999E-2</v>
      </c>
      <c r="P145" s="32">
        <v>44983</v>
      </c>
      <c r="Q145" s="37">
        <v>3.9140000000000001E-2</v>
      </c>
      <c r="R145" s="32">
        <v>44983</v>
      </c>
      <c r="S145" s="37">
        <v>3.9140000000000001E-2</v>
      </c>
      <c r="T145" s="32">
        <v>44629</v>
      </c>
      <c r="U145" s="37">
        <v>1.0999999999999999E-2</v>
      </c>
    </row>
    <row r="146" spans="7:21" ht="18" customHeight="1" x14ac:dyDescent="0.4">
      <c r="G146" s="32">
        <f t="shared" si="18"/>
        <v>44984</v>
      </c>
      <c r="H146" s="37">
        <f t="shared" si="19"/>
        <v>3.04E-2</v>
      </c>
      <c r="I146" s="32">
        <f t="shared" si="20"/>
        <v>44984</v>
      </c>
      <c r="J146" s="37">
        <f t="shared" si="21"/>
        <v>3.9140000000000001E-2</v>
      </c>
      <c r="K146" s="32">
        <f t="shared" si="22"/>
        <v>44630</v>
      </c>
      <c r="L146" s="37">
        <v>1.0999999999999999E-2</v>
      </c>
      <c r="P146" s="32">
        <v>44984</v>
      </c>
      <c r="Q146" s="37">
        <v>3.9140000000000001E-2</v>
      </c>
      <c r="R146" s="32">
        <v>44984</v>
      </c>
      <c r="S146" s="37">
        <v>3.9140000000000001E-2</v>
      </c>
      <c r="T146" s="32">
        <v>44630</v>
      </c>
      <c r="U146" s="37">
        <v>1.0999999999999999E-2</v>
      </c>
    </row>
    <row r="147" spans="7:21" ht="18" customHeight="1" x14ac:dyDescent="0.4">
      <c r="G147" s="32">
        <f t="shared" si="18"/>
        <v>44985</v>
      </c>
      <c r="H147" s="37">
        <f t="shared" si="19"/>
        <v>3.04E-2</v>
      </c>
      <c r="I147" s="32">
        <f t="shared" si="20"/>
        <v>44985</v>
      </c>
      <c r="J147" s="37">
        <f t="shared" si="21"/>
        <v>3.9140000000000001E-2</v>
      </c>
      <c r="K147" s="32">
        <f t="shared" si="22"/>
        <v>44631</v>
      </c>
      <c r="L147" s="37">
        <v>1.0999999999999999E-2</v>
      </c>
      <c r="P147" s="32">
        <v>44985</v>
      </c>
      <c r="Q147" s="37">
        <v>3.9140000000000001E-2</v>
      </c>
      <c r="R147" s="32">
        <v>44985</v>
      </c>
      <c r="S147" s="37">
        <v>3.9140000000000001E-2</v>
      </c>
      <c r="T147" s="32">
        <v>44631</v>
      </c>
      <c r="U147" s="37">
        <v>1.0999999999999999E-2</v>
      </c>
    </row>
    <row r="148" spans="7:21" ht="18" customHeight="1" x14ac:dyDescent="0.4">
      <c r="G148" s="32">
        <f t="shared" si="18"/>
        <v>44986</v>
      </c>
      <c r="H148" s="37">
        <f t="shared" si="19"/>
        <v>3.04E-2</v>
      </c>
      <c r="I148" s="32">
        <f t="shared" si="20"/>
        <v>44986</v>
      </c>
      <c r="J148" s="37">
        <f t="shared" si="21"/>
        <v>3.9140000000000001E-2</v>
      </c>
      <c r="K148" s="32">
        <f t="shared" si="22"/>
        <v>44632</v>
      </c>
      <c r="L148" s="37">
        <v>1.0999999999999999E-2</v>
      </c>
      <c r="P148" s="32">
        <v>44986</v>
      </c>
      <c r="Q148" s="37">
        <v>3.9140000000000001E-2</v>
      </c>
      <c r="R148" s="32">
        <v>44986</v>
      </c>
      <c r="S148" s="37">
        <v>3.9140000000000001E-2</v>
      </c>
      <c r="T148" s="32">
        <v>44632</v>
      </c>
      <c r="U148" s="37">
        <v>1.0999999999999999E-2</v>
      </c>
    </row>
    <row r="149" spans="7:21" ht="18" customHeight="1" x14ac:dyDescent="0.4">
      <c r="G149" s="32">
        <f t="shared" si="18"/>
        <v>44987</v>
      </c>
      <c r="H149" s="37">
        <f t="shared" si="19"/>
        <v>3.04E-2</v>
      </c>
      <c r="I149" s="32">
        <f t="shared" si="20"/>
        <v>44987</v>
      </c>
      <c r="J149" s="37">
        <f t="shared" si="21"/>
        <v>3.9140000000000001E-2</v>
      </c>
      <c r="K149" s="32">
        <f t="shared" si="22"/>
        <v>44633</v>
      </c>
      <c r="L149" s="37">
        <v>1.0999999999999999E-2</v>
      </c>
      <c r="P149" s="32">
        <v>44987</v>
      </c>
      <c r="Q149" s="37">
        <v>3.9140000000000001E-2</v>
      </c>
      <c r="R149" s="32">
        <v>44987</v>
      </c>
      <c r="S149" s="37">
        <v>3.9140000000000001E-2</v>
      </c>
      <c r="T149" s="32">
        <v>44633</v>
      </c>
      <c r="U149" s="37">
        <v>1.0999999999999999E-2</v>
      </c>
    </row>
    <row r="150" spans="7:21" ht="18" customHeight="1" x14ac:dyDescent="0.4">
      <c r="G150" s="32">
        <f t="shared" si="18"/>
        <v>44988</v>
      </c>
      <c r="H150" s="37">
        <f t="shared" si="19"/>
        <v>3.04E-2</v>
      </c>
      <c r="I150" s="32">
        <f t="shared" si="20"/>
        <v>44988</v>
      </c>
      <c r="J150" s="37">
        <f t="shared" si="21"/>
        <v>3.9140000000000001E-2</v>
      </c>
      <c r="K150" s="32">
        <f t="shared" si="22"/>
        <v>44634</v>
      </c>
      <c r="L150" s="37">
        <v>1.0999999999999999E-2</v>
      </c>
      <c r="P150" s="32">
        <v>44988</v>
      </c>
      <c r="Q150" s="37">
        <v>3.9140000000000001E-2</v>
      </c>
      <c r="R150" s="32">
        <v>44988</v>
      </c>
      <c r="S150" s="37">
        <v>3.9140000000000001E-2</v>
      </c>
      <c r="T150" s="32">
        <v>44634</v>
      </c>
      <c r="U150" s="37">
        <v>1.0999999999999999E-2</v>
      </c>
    </row>
    <row r="151" spans="7:21" ht="18" customHeight="1" x14ac:dyDescent="0.4">
      <c r="G151" s="32">
        <f t="shared" si="18"/>
        <v>44989</v>
      </c>
      <c r="H151" s="37">
        <f t="shared" si="19"/>
        <v>3.04E-2</v>
      </c>
      <c r="I151" s="32">
        <f t="shared" si="20"/>
        <v>44989</v>
      </c>
      <c r="J151" s="37">
        <f t="shared" si="21"/>
        <v>3.9140000000000001E-2</v>
      </c>
      <c r="K151" s="32">
        <f t="shared" si="22"/>
        <v>44635</v>
      </c>
      <c r="L151" s="37">
        <v>1.0999999999999999E-2</v>
      </c>
      <c r="P151" s="32">
        <v>44989</v>
      </c>
      <c r="Q151" s="37">
        <v>3.9140000000000001E-2</v>
      </c>
      <c r="R151" s="32">
        <v>44989</v>
      </c>
      <c r="S151" s="37">
        <v>3.9140000000000001E-2</v>
      </c>
      <c r="T151" s="32">
        <v>44635</v>
      </c>
      <c r="U151" s="37">
        <v>1.0999999999999999E-2</v>
      </c>
    </row>
    <row r="152" spans="7:21" ht="18" customHeight="1" x14ac:dyDescent="0.4">
      <c r="G152" s="32">
        <f t="shared" si="18"/>
        <v>44990</v>
      </c>
      <c r="H152" s="37">
        <f t="shared" si="19"/>
        <v>3.04E-2</v>
      </c>
      <c r="I152" s="32">
        <f t="shared" si="20"/>
        <v>44990</v>
      </c>
      <c r="J152" s="37">
        <f t="shared" si="21"/>
        <v>3.9140000000000001E-2</v>
      </c>
      <c r="K152" s="32">
        <f t="shared" si="22"/>
        <v>44636</v>
      </c>
      <c r="L152" s="37">
        <v>1.0999999999999999E-2</v>
      </c>
      <c r="P152" s="32">
        <v>44990</v>
      </c>
      <c r="Q152" s="37">
        <v>3.9140000000000001E-2</v>
      </c>
      <c r="R152" s="32">
        <v>44990</v>
      </c>
      <c r="S152" s="37">
        <v>3.9140000000000001E-2</v>
      </c>
      <c r="T152" s="32">
        <v>44636</v>
      </c>
      <c r="U152" s="37">
        <v>1.0999999999999999E-2</v>
      </c>
    </row>
    <row r="153" spans="7:21" ht="18" customHeight="1" x14ac:dyDescent="0.4">
      <c r="G153" s="32">
        <f t="shared" si="18"/>
        <v>44991</v>
      </c>
      <c r="H153" s="37">
        <f t="shared" si="19"/>
        <v>3.04E-2</v>
      </c>
      <c r="I153" s="32">
        <f t="shared" si="20"/>
        <v>44991</v>
      </c>
      <c r="J153" s="37">
        <f t="shared" si="21"/>
        <v>3.9140000000000001E-2</v>
      </c>
      <c r="K153" s="32">
        <f t="shared" si="22"/>
        <v>44637</v>
      </c>
      <c r="L153" s="37">
        <v>1.0999999999999999E-2</v>
      </c>
      <c r="P153" s="32">
        <v>44991</v>
      </c>
      <c r="Q153" s="37">
        <v>3.9140000000000001E-2</v>
      </c>
      <c r="R153" s="32">
        <v>44991</v>
      </c>
      <c r="S153" s="37">
        <v>3.9140000000000001E-2</v>
      </c>
      <c r="T153" s="32">
        <v>44637</v>
      </c>
      <c r="U153" s="37">
        <v>1.0999999999999999E-2</v>
      </c>
    </row>
    <row r="154" spans="7:21" ht="18" customHeight="1" x14ac:dyDescent="0.4">
      <c r="G154" s="32">
        <f t="shared" si="18"/>
        <v>44992</v>
      </c>
      <c r="H154" s="37">
        <f t="shared" si="19"/>
        <v>3.04E-2</v>
      </c>
      <c r="I154" s="32">
        <f t="shared" si="20"/>
        <v>44992</v>
      </c>
      <c r="J154" s="37">
        <f t="shared" si="21"/>
        <v>3.9140000000000001E-2</v>
      </c>
      <c r="K154" s="32">
        <f t="shared" si="22"/>
        <v>44638</v>
      </c>
      <c r="L154" s="37">
        <v>1.0999999999999999E-2</v>
      </c>
      <c r="P154" s="32">
        <v>44992</v>
      </c>
      <c r="Q154" s="37">
        <v>3.9140000000000001E-2</v>
      </c>
      <c r="R154" s="32">
        <v>44992</v>
      </c>
      <c r="S154" s="37">
        <v>3.9140000000000001E-2</v>
      </c>
      <c r="T154" s="32">
        <v>44638</v>
      </c>
      <c r="U154" s="37">
        <v>1.0999999999999999E-2</v>
      </c>
    </row>
    <row r="155" spans="7:21" ht="18" customHeight="1" x14ac:dyDescent="0.4">
      <c r="G155" s="32">
        <f t="shared" si="18"/>
        <v>44993</v>
      </c>
      <c r="H155" s="37">
        <f t="shared" si="19"/>
        <v>3.04E-2</v>
      </c>
      <c r="I155" s="32">
        <f t="shared" si="20"/>
        <v>44993</v>
      </c>
      <c r="J155" s="37">
        <f t="shared" si="21"/>
        <v>3.9140000000000001E-2</v>
      </c>
      <c r="K155" s="32">
        <f t="shared" si="22"/>
        <v>44639</v>
      </c>
      <c r="L155" s="37">
        <v>1.0999999999999999E-2</v>
      </c>
      <c r="P155" s="32">
        <v>44993</v>
      </c>
      <c r="Q155" s="37">
        <v>3.9140000000000001E-2</v>
      </c>
      <c r="R155" s="32">
        <v>44993</v>
      </c>
      <c r="S155" s="37">
        <v>3.9140000000000001E-2</v>
      </c>
      <c r="T155" s="32">
        <v>44639</v>
      </c>
      <c r="U155" s="37">
        <v>1.0999999999999999E-2</v>
      </c>
    </row>
    <row r="156" spans="7:21" ht="18" customHeight="1" x14ac:dyDescent="0.4">
      <c r="G156" s="32">
        <f t="shared" si="18"/>
        <v>44994</v>
      </c>
      <c r="H156" s="37">
        <f t="shared" si="19"/>
        <v>3.04E-2</v>
      </c>
      <c r="I156" s="32">
        <f t="shared" si="20"/>
        <v>44994</v>
      </c>
      <c r="J156" s="37">
        <f t="shared" si="21"/>
        <v>3.9140000000000001E-2</v>
      </c>
      <c r="K156" s="32">
        <f t="shared" si="22"/>
        <v>44640</v>
      </c>
      <c r="L156" s="37">
        <v>1.0999999999999999E-2</v>
      </c>
      <c r="P156" s="32">
        <v>44994</v>
      </c>
      <c r="Q156" s="37">
        <v>3.9140000000000001E-2</v>
      </c>
      <c r="R156" s="32">
        <v>44994</v>
      </c>
      <c r="S156" s="37">
        <v>3.9140000000000001E-2</v>
      </c>
      <c r="T156" s="32">
        <v>44640</v>
      </c>
      <c r="U156" s="37">
        <v>1.0999999999999999E-2</v>
      </c>
    </row>
    <row r="157" spans="7:21" ht="18" customHeight="1" x14ac:dyDescent="0.4">
      <c r="G157" s="32">
        <f t="shared" si="18"/>
        <v>44995</v>
      </c>
      <c r="H157" s="37">
        <f t="shared" si="19"/>
        <v>3.04E-2</v>
      </c>
      <c r="I157" s="32">
        <f t="shared" si="20"/>
        <v>44995</v>
      </c>
      <c r="J157" s="37">
        <f t="shared" si="21"/>
        <v>3.9140000000000001E-2</v>
      </c>
      <c r="K157" s="32">
        <f t="shared" si="22"/>
        <v>44641</v>
      </c>
      <c r="L157" s="37">
        <v>1.0999999999999999E-2</v>
      </c>
      <c r="P157" s="32">
        <v>44995</v>
      </c>
      <c r="Q157" s="37">
        <v>3.9140000000000001E-2</v>
      </c>
      <c r="R157" s="32">
        <v>44995</v>
      </c>
      <c r="S157" s="37">
        <v>3.9140000000000001E-2</v>
      </c>
      <c r="T157" s="32">
        <v>44641</v>
      </c>
      <c r="U157" s="37">
        <v>1.0999999999999999E-2</v>
      </c>
    </row>
    <row r="158" spans="7:21" ht="18" customHeight="1" x14ac:dyDescent="0.4">
      <c r="G158" s="32">
        <f t="shared" si="18"/>
        <v>44996</v>
      </c>
      <c r="H158" s="37">
        <f t="shared" si="19"/>
        <v>3.04E-2</v>
      </c>
      <c r="I158" s="32">
        <f t="shared" si="20"/>
        <v>44996</v>
      </c>
      <c r="J158" s="37">
        <f t="shared" si="21"/>
        <v>3.9140000000000001E-2</v>
      </c>
      <c r="K158" s="32">
        <f t="shared" si="22"/>
        <v>44642</v>
      </c>
      <c r="L158" s="37">
        <v>1.0999999999999999E-2</v>
      </c>
      <c r="P158" s="32">
        <v>44996</v>
      </c>
      <c r="Q158" s="37">
        <v>3.9140000000000001E-2</v>
      </c>
      <c r="R158" s="32">
        <v>44996</v>
      </c>
      <c r="S158" s="37">
        <v>3.9140000000000001E-2</v>
      </c>
      <c r="T158" s="32">
        <v>44642</v>
      </c>
      <c r="U158" s="37">
        <v>1.0999999999999999E-2</v>
      </c>
    </row>
    <row r="159" spans="7:21" ht="18" customHeight="1" x14ac:dyDescent="0.4">
      <c r="G159" s="32">
        <f t="shared" si="18"/>
        <v>44997</v>
      </c>
      <c r="H159" s="37">
        <f t="shared" si="19"/>
        <v>3.04E-2</v>
      </c>
      <c r="I159" s="32">
        <f t="shared" si="20"/>
        <v>44997</v>
      </c>
      <c r="J159" s="37">
        <f t="shared" si="21"/>
        <v>3.9140000000000001E-2</v>
      </c>
      <c r="K159" s="32">
        <f t="shared" si="22"/>
        <v>44643</v>
      </c>
      <c r="L159" s="37">
        <v>1.0999999999999999E-2</v>
      </c>
      <c r="P159" s="32">
        <v>44997</v>
      </c>
      <c r="Q159" s="37">
        <v>3.9140000000000001E-2</v>
      </c>
      <c r="R159" s="32">
        <v>44997</v>
      </c>
      <c r="S159" s="37">
        <v>3.9140000000000001E-2</v>
      </c>
      <c r="T159" s="32">
        <v>44643</v>
      </c>
      <c r="U159" s="37">
        <v>1.0999999999999999E-2</v>
      </c>
    </row>
    <row r="160" spans="7:21" ht="18" customHeight="1" x14ac:dyDescent="0.4">
      <c r="G160" s="32">
        <f t="shared" si="18"/>
        <v>44998</v>
      </c>
      <c r="H160" s="37">
        <f t="shared" si="19"/>
        <v>3.04E-2</v>
      </c>
      <c r="I160" s="32">
        <f t="shared" si="20"/>
        <v>44998</v>
      </c>
      <c r="J160" s="37">
        <f t="shared" si="21"/>
        <v>3.9140000000000001E-2</v>
      </c>
      <c r="K160" s="32">
        <f t="shared" si="22"/>
        <v>44644</v>
      </c>
      <c r="L160" s="37">
        <v>1.0999999999999999E-2</v>
      </c>
      <c r="P160" s="32">
        <v>44998</v>
      </c>
      <c r="Q160" s="37">
        <v>3.9140000000000001E-2</v>
      </c>
      <c r="R160" s="32">
        <v>44998</v>
      </c>
      <c r="S160" s="37">
        <v>3.9140000000000001E-2</v>
      </c>
      <c r="T160" s="32">
        <v>44644</v>
      </c>
      <c r="U160" s="37">
        <v>1.0999999999999999E-2</v>
      </c>
    </row>
    <row r="161" spans="7:21" ht="18" customHeight="1" x14ac:dyDescent="0.4">
      <c r="G161" s="32">
        <f t="shared" si="18"/>
        <v>44999</v>
      </c>
      <c r="H161" s="37">
        <f t="shared" si="19"/>
        <v>3.04E-2</v>
      </c>
      <c r="I161" s="32">
        <f t="shared" si="20"/>
        <v>44999</v>
      </c>
      <c r="J161" s="37">
        <f t="shared" si="21"/>
        <v>3.9140000000000001E-2</v>
      </c>
      <c r="K161" s="32">
        <f t="shared" si="22"/>
        <v>44645</v>
      </c>
      <c r="L161" s="37">
        <v>1.0999999999999999E-2</v>
      </c>
      <c r="P161" s="32">
        <v>44999</v>
      </c>
      <c r="Q161" s="37">
        <v>3.9140000000000001E-2</v>
      </c>
      <c r="R161" s="32">
        <v>44999</v>
      </c>
      <c r="S161" s="37">
        <v>3.9140000000000001E-2</v>
      </c>
      <c r="T161" s="32">
        <v>44645</v>
      </c>
      <c r="U161" s="37">
        <v>1.0999999999999999E-2</v>
      </c>
    </row>
    <row r="162" spans="7:21" ht="18" customHeight="1" x14ac:dyDescent="0.4">
      <c r="G162" s="32">
        <f t="shared" si="18"/>
        <v>45000</v>
      </c>
      <c r="H162" s="37">
        <f t="shared" si="19"/>
        <v>3.04E-2</v>
      </c>
      <c r="I162" s="32">
        <f t="shared" si="20"/>
        <v>45000</v>
      </c>
      <c r="J162" s="37">
        <f t="shared" si="21"/>
        <v>3.9140000000000001E-2</v>
      </c>
      <c r="K162" s="32">
        <f t="shared" si="22"/>
        <v>44646</v>
      </c>
      <c r="L162" s="37">
        <v>1.0999999999999999E-2</v>
      </c>
      <c r="P162" s="32">
        <v>45000</v>
      </c>
      <c r="Q162" s="37">
        <v>3.9140000000000001E-2</v>
      </c>
      <c r="R162" s="32">
        <v>45000</v>
      </c>
      <c r="S162" s="37">
        <v>3.9140000000000001E-2</v>
      </c>
      <c r="T162" s="32">
        <v>44646</v>
      </c>
      <c r="U162" s="37">
        <v>1.0999999999999999E-2</v>
      </c>
    </row>
    <row r="163" spans="7:21" ht="18" customHeight="1" x14ac:dyDescent="0.4">
      <c r="G163" s="32">
        <f t="shared" si="18"/>
        <v>45001</v>
      </c>
      <c r="H163" s="37">
        <f t="shared" si="19"/>
        <v>3.04E-2</v>
      </c>
      <c r="I163" s="32">
        <f t="shared" si="20"/>
        <v>45001</v>
      </c>
      <c r="J163" s="37">
        <f t="shared" si="21"/>
        <v>3.9140000000000001E-2</v>
      </c>
      <c r="K163" s="32">
        <f t="shared" si="22"/>
        <v>44647</v>
      </c>
      <c r="L163" s="37">
        <v>1.0999999999999999E-2</v>
      </c>
      <c r="P163" s="32">
        <v>45001</v>
      </c>
      <c r="Q163" s="37">
        <v>3.9140000000000001E-2</v>
      </c>
      <c r="R163" s="32">
        <v>45001</v>
      </c>
      <c r="S163" s="37">
        <v>3.9140000000000001E-2</v>
      </c>
      <c r="T163" s="32">
        <v>44647</v>
      </c>
      <c r="U163" s="37">
        <v>1.0999999999999999E-2</v>
      </c>
    </row>
    <row r="164" spans="7:21" ht="18" customHeight="1" x14ac:dyDescent="0.4">
      <c r="G164" s="32">
        <f t="shared" si="18"/>
        <v>45002</v>
      </c>
      <c r="H164" s="37">
        <f t="shared" si="19"/>
        <v>3.04E-2</v>
      </c>
      <c r="I164" s="32">
        <f t="shared" si="20"/>
        <v>45002</v>
      </c>
      <c r="J164" s="37">
        <f t="shared" si="21"/>
        <v>3.9140000000000001E-2</v>
      </c>
      <c r="K164" s="32">
        <f t="shared" si="22"/>
        <v>44648</v>
      </c>
      <c r="L164" s="37">
        <v>1.0999999999999999E-2</v>
      </c>
      <c r="P164" s="32">
        <v>45002</v>
      </c>
      <c r="Q164" s="37">
        <v>3.9140000000000001E-2</v>
      </c>
      <c r="R164" s="32">
        <v>45002</v>
      </c>
      <c r="S164" s="37">
        <v>3.9140000000000001E-2</v>
      </c>
      <c r="T164" s="32">
        <v>44648</v>
      </c>
      <c r="U164" s="37">
        <v>1.0999999999999999E-2</v>
      </c>
    </row>
    <row r="165" spans="7:21" ht="18" customHeight="1" x14ac:dyDescent="0.4">
      <c r="G165" s="32">
        <f t="shared" si="18"/>
        <v>45003</v>
      </c>
      <c r="H165" s="37">
        <f t="shared" si="19"/>
        <v>3.04E-2</v>
      </c>
      <c r="I165" s="32">
        <f t="shared" si="20"/>
        <v>45003</v>
      </c>
      <c r="J165" s="37">
        <f t="shared" si="21"/>
        <v>3.9140000000000001E-2</v>
      </c>
      <c r="K165" s="32">
        <f t="shared" si="22"/>
        <v>44649</v>
      </c>
      <c r="L165" s="37">
        <v>1.0999999999999999E-2</v>
      </c>
      <c r="P165" s="32">
        <v>45003</v>
      </c>
      <c r="Q165" s="37">
        <v>3.9140000000000001E-2</v>
      </c>
      <c r="R165" s="32">
        <v>45003</v>
      </c>
      <c r="S165" s="37">
        <v>3.9140000000000001E-2</v>
      </c>
      <c r="T165" s="32">
        <v>44649</v>
      </c>
      <c r="U165" s="37">
        <v>1.0999999999999999E-2</v>
      </c>
    </row>
    <row r="166" spans="7:21" ht="18" customHeight="1" x14ac:dyDescent="0.4">
      <c r="G166" s="32">
        <f t="shared" si="18"/>
        <v>45004</v>
      </c>
      <c r="H166" s="37">
        <f t="shared" si="19"/>
        <v>3.04E-2</v>
      </c>
      <c r="I166" s="32">
        <f t="shared" si="20"/>
        <v>45004</v>
      </c>
      <c r="J166" s="37">
        <f t="shared" si="21"/>
        <v>3.9140000000000001E-2</v>
      </c>
      <c r="K166" s="32">
        <f t="shared" si="22"/>
        <v>44650</v>
      </c>
      <c r="L166" s="37">
        <v>1.0999999999999999E-2</v>
      </c>
      <c r="P166" s="32">
        <v>45004</v>
      </c>
      <c r="Q166" s="37">
        <v>3.9140000000000001E-2</v>
      </c>
      <c r="R166" s="32">
        <v>45004</v>
      </c>
      <c r="S166" s="37">
        <v>3.9140000000000001E-2</v>
      </c>
      <c r="T166" s="32">
        <v>44650</v>
      </c>
      <c r="U166" s="37">
        <v>1.0999999999999999E-2</v>
      </c>
    </row>
    <row r="167" spans="7:21" ht="18" customHeight="1" x14ac:dyDescent="0.4">
      <c r="G167" s="32">
        <f t="shared" si="18"/>
        <v>45005</v>
      </c>
      <c r="H167" s="37">
        <f t="shared" si="19"/>
        <v>3.04E-2</v>
      </c>
      <c r="I167" s="32">
        <f t="shared" si="20"/>
        <v>45005</v>
      </c>
      <c r="J167" s="37">
        <f t="shared" si="21"/>
        <v>3.9140000000000001E-2</v>
      </c>
      <c r="K167" s="32">
        <f t="shared" si="22"/>
        <v>44651</v>
      </c>
      <c r="L167" s="37">
        <v>1.0999999999999999E-2</v>
      </c>
      <c r="P167" s="32">
        <v>45005</v>
      </c>
      <c r="Q167" s="37">
        <v>3.9140000000000001E-2</v>
      </c>
      <c r="R167" s="32">
        <v>45005</v>
      </c>
      <c r="S167" s="37">
        <v>3.9140000000000001E-2</v>
      </c>
      <c r="T167" s="32">
        <v>44651</v>
      </c>
      <c r="U167" s="37">
        <v>1.0999999999999999E-2</v>
      </c>
    </row>
    <row r="168" spans="7:21" ht="18" customHeight="1" x14ac:dyDescent="0.4">
      <c r="G168" s="32">
        <f t="shared" si="18"/>
        <v>45006</v>
      </c>
      <c r="H168" s="37">
        <f t="shared" si="19"/>
        <v>3.04E-2</v>
      </c>
      <c r="I168" s="32">
        <f t="shared" si="20"/>
        <v>45006</v>
      </c>
      <c r="J168" s="37">
        <f t="shared" si="21"/>
        <v>3.9140000000000001E-2</v>
      </c>
      <c r="K168" s="32">
        <f t="shared" si="22"/>
        <v>44652</v>
      </c>
      <c r="L168" s="37">
        <v>1.0999999999999999E-2</v>
      </c>
      <c r="P168" s="32">
        <v>45006</v>
      </c>
      <c r="Q168" s="37">
        <v>3.9140000000000001E-2</v>
      </c>
      <c r="R168" s="32">
        <v>45006</v>
      </c>
      <c r="S168" s="37">
        <v>3.9140000000000001E-2</v>
      </c>
      <c r="T168" s="32">
        <v>44652</v>
      </c>
      <c r="U168" s="37">
        <v>1.0999999999999999E-2</v>
      </c>
    </row>
    <row r="169" spans="7:21" ht="18" customHeight="1" x14ac:dyDescent="0.4">
      <c r="G169" s="32">
        <f t="shared" si="18"/>
        <v>45007</v>
      </c>
      <c r="H169" s="37">
        <f t="shared" si="19"/>
        <v>3.04E-2</v>
      </c>
      <c r="I169" s="32">
        <f t="shared" si="20"/>
        <v>45007</v>
      </c>
      <c r="J169" s="37">
        <f t="shared" si="21"/>
        <v>3.9140000000000001E-2</v>
      </c>
      <c r="K169" s="32">
        <f t="shared" si="22"/>
        <v>44653</v>
      </c>
      <c r="L169" s="37">
        <v>1.0999999999999999E-2</v>
      </c>
      <c r="P169" s="32">
        <v>45007</v>
      </c>
      <c r="Q169" s="37">
        <v>3.9140000000000001E-2</v>
      </c>
      <c r="R169" s="32">
        <v>45007</v>
      </c>
      <c r="S169" s="37">
        <v>3.9140000000000001E-2</v>
      </c>
      <c r="T169" s="32">
        <v>44653</v>
      </c>
      <c r="U169" s="37">
        <v>1.0999999999999999E-2</v>
      </c>
    </row>
    <row r="170" spans="7:21" ht="18" customHeight="1" x14ac:dyDescent="0.4">
      <c r="G170" s="32">
        <f t="shared" si="18"/>
        <v>45008</v>
      </c>
      <c r="H170" s="37">
        <f t="shared" si="19"/>
        <v>3.04E-2</v>
      </c>
      <c r="I170" s="32">
        <f t="shared" si="20"/>
        <v>45008</v>
      </c>
      <c r="J170" s="37">
        <f t="shared" si="21"/>
        <v>3.9140000000000001E-2</v>
      </c>
      <c r="K170" s="32">
        <f t="shared" si="22"/>
        <v>44654</v>
      </c>
      <c r="L170" s="37">
        <v>1.0999999999999999E-2</v>
      </c>
      <c r="P170" s="32">
        <v>45008</v>
      </c>
      <c r="Q170" s="37">
        <v>3.9140000000000001E-2</v>
      </c>
      <c r="R170" s="32">
        <v>45008</v>
      </c>
      <c r="S170" s="37">
        <v>3.9140000000000001E-2</v>
      </c>
      <c r="T170" s="32">
        <v>44654</v>
      </c>
      <c r="U170" s="37">
        <v>1.0999999999999999E-2</v>
      </c>
    </row>
    <row r="171" spans="7:21" ht="18" customHeight="1" x14ac:dyDescent="0.4">
      <c r="G171" s="32">
        <f t="shared" si="18"/>
        <v>45009</v>
      </c>
      <c r="H171" s="37">
        <f t="shared" si="19"/>
        <v>3.04E-2</v>
      </c>
      <c r="I171" s="32">
        <f t="shared" si="20"/>
        <v>45009</v>
      </c>
      <c r="J171" s="37">
        <f t="shared" si="21"/>
        <v>3.9140000000000001E-2</v>
      </c>
      <c r="K171" s="32">
        <f t="shared" si="22"/>
        <v>44655</v>
      </c>
      <c r="L171" s="37">
        <v>1.0999999999999999E-2</v>
      </c>
      <c r="P171" s="32">
        <v>45009</v>
      </c>
      <c r="Q171" s="37">
        <v>3.9140000000000001E-2</v>
      </c>
      <c r="R171" s="32">
        <v>45009</v>
      </c>
      <c r="S171" s="37">
        <v>3.9140000000000001E-2</v>
      </c>
      <c r="T171" s="32">
        <v>44655</v>
      </c>
      <c r="U171" s="37">
        <v>1.0999999999999999E-2</v>
      </c>
    </row>
    <row r="172" spans="7:21" ht="18" customHeight="1" x14ac:dyDescent="0.4">
      <c r="G172" s="32">
        <f t="shared" si="18"/>
        <v>45010</v>
      </c>
      <c r="H172" s="37">
        <f t="shared" si="19"/>
        <v>3.04E-2</v>
      </c>
      <c r="I172" s="32">
        <f t="shared" si="20"/>
        <v>45010</v>
      </c>
      <c r="J172" s="37">
        <f t="shared" si="21"/>
        <v>3.9140000000000001E-2</v>
      </c>
      <c r="K172" s="32">
        <f t="shared" si="22"/>
        <v>44656</v>
      </c>
      <c r="L172" s="37">
        <v>1.0999999999999999E-2</v>
      </c>
      <c r="P172" s="32">
        <v>45010</v>
      </c>
      <c r="Q172" s="37">
        <v>3.9140000000000001E-2</v>
      </c>
      <c r="R172" s="32">
        <v>45010</v>
      </c>
      <c r="S172" s="37">
        <v>3.9140000000000001E-2</v>
      </c>
      <c r="T172" s="32">
        <v>44656</v>
      </c>
      <c r="U172" s="37">
        <v>1.0999999999999999E-2</v>
      </c>
    </row>
    <row r="173" spans="7:21" ht="18" customHeight="1" x14ac:dyDescent="0.4">
      <c r="G173" s="32">
        <f t="shared" si="18"/>
        <v>45011</v>
      </c>
      <c r="H173" s="37">
        <f t="shared" si="19"/>
        <v>3.04E-2</v>
      </c>
      <c r="I173" s="32">
        <f t="shared" si="20"/>
        <v>45011</v>
      </c>
      <c r="J173" s="37">
        <f t="shared" si="21"/>
        <v>3.9140000000000001E-2</v>
      </c>
      <c r="K173" s="32">
        <f t="shared" si="22"/>
        <v>44657</v>
      </c>
      <c r="L173" s="37">
        <v>1.0999999999999999E-2</v>
      </c>
      <c r="P173" s="32">
        <v>45011</v>
      </c>
      <c r="Q173" s="37">
        <v>3.9140000000000001E-2</v>
      </c>
      <c r="R173" s="32">
        <v>45011</v>
      </c>
      <c r="S173" s="37">
        <v>3.9140000000000001E-2</v>
      </c>
      <c r="T173" s="32">
        <v>44657</v>
      </c>
      <c r="U173" s="37">
        <v>1.0999999999999999E-2</v>
      </c>
    </row>
    <row r="174" spans="7:21" ht="18" customHeight="1" x14ac:dyDescent="0.4">
      <c r="G174" s="32">
        <f t="shared" si="18"/>
        <v>45012</v>
      </c>
      <c r="H174" s="37">
        <f t="shared" si="19"/>
        <v>3.04E-2</v>
      </c>
      <c r="I174" s="32">
        <f t="shared" si="20"/>
        <v>45012</v>
      </c>
      <c r="J174" s="37">
        <f t="shared" si="21"/>
        <v>3.9140000000000001E-2</v>
      </c>
      <c r="K174" s="32">
        <f t="shared" si="22"/>
        <v>44658</v>
      </c>
      <c r="L174" s="37">
        <v>1.0999999999999999E-2</v>
      </c>
      <c r="P174" s="32">
        <v>45012</v>
      </c>
      <c r="Q174" s="37">
        <v>3.9140000000000001E-2</v>
      </c>
      <c r="R174" s="32">
        <v>45012</v>
      </c>
      <c r="S174" s="37">
        <v>3.9140000000000001E-2</v>
      </c>
      <c r="T174" s="32">
        <v>44658</v>
      </c>
      <c r="U174" s="37">
        <v>1.0999999999999999E-2</v>
      </c>
    </row>
    <row r="175" spans="7:21" ht="18" customHeight="1" x14ac:dyDescent="0.4">
      <c r="G175" s="32">
        <f t="shared" si="18"/>
        <v>45013</v>
      </c>
      <c r="H175" s="37">
        <f t="shared" si="19"/>
        <v>3.04E-2</v>
      </c>
      <c r="I175" s="32">
        <f t="shared" si="20"/>
        <v>45013</v>
      </c>
      <c r="J175" s="37">
        <f t="shared" si="21"/>
        <v>3.9140000000000001E-2</v>
      </c>
      <c r="K175" s="32">
        <f t="shared" si="22"/>
        <v>44659</v>
      </c>
      <c r="L175" s="37">
        <v>1.0999999999999999E-2</v>
      </c>
      <c r="P175" s="32">
        <v>45013</v>
      </c>
      <c r="Q175" s="37">
        <v>3.9140000000000001E-2</v>
      </c>
      <c r="R175" s="32">
        <v>45013</v>
      </c>
      <c r="S175" s="37">
        <v>3.9140000000000001E-2</v>
      </c>
      <c r="T175" s="32">
        <v>44659</v>
      </c>
      <c r="U175" s="37">
        <v>1.0999999999999999E-2</v>
      </c>
    </row>
    <row r="176" spans="7:21" ht="18" customHeight="1" x14ac:dyDescent="0.4">
      <c r="G176" s="32">
        <f t="shared" si="18"/>
        <v>45014</v>
      </c>
      <c r="H176" s="37">
        <f t="shared" si="19"/>
        <v>3.04E-2</v>
      </c>
      <c r="I176" s="32">
        <f t="shared" si="20"/>
        <v>45014</v>
      </c>
      <c r="J176" s="37">
        <f t="shared" si="21"/>
        <v>3.9140000000000001E-2</v>
      </c>
      <c r="K176" s="32">
        <f t="shared" si="22"/>
        <v>44660</v>
      </c>
      <c r="L176" s="37">
        <v>1.0999999999999999E-2</v>
      </c>
      <c r="P176" s="32">
        <v>45014</v>
      </c>
      <c r="Q176" s="37">
        <v>3.9140000000000001E-2</v>
      </c>
      <c r="R176" s="32">
        <v>45014</v>
      </c>
      <c r="S176" s="37">
        <v>3.9140000000000001E-2</v>
      </c>
      <c r="T176" s="32">
        <v>44660</v>
      </c>
      <c r="U176" s="37">
        <v>1.0999999999999999E-2</v>
      </c>
    </row>
    <row r="177" spans="7:21" ht="18" customHeight="1" x14ac:dyDescent="0.4">
      <c r="G177" s="32">
        <f t="shared" si="18"/>
        <v>45015</v>
      </c>
      <c r="H177" s="37">
        <f t="shared" si="19"/>
        <v>3.04E-2</v>
      </c>
      <c r="I177" s="32">
        <f t="shared" si="20"/>
        <v>45015</v>
      </c>
      <c r="J177" s="37">
        <f t="shared" si="21"/>
        <v>3.9140000000000001E-2</v>
      </c>
      <c r="K177" s="32">
        <f t="shared" si="22"/>
        <v>44661</v>
      </c>
      <c r="L177" s="37">
        <v>1.0999999999999999E-2</v>
      </c>
      <c r="P177" s="32">
        <v>45015</v>
      </c>
      <c r="Q177" s="37">
        <v>3.9140000000000001E-2</v>
      </c>
      <c r="R177" s="32">
        <v>45015</v>
      </c>
      <c r="S177" s="37">
        <v>3.9140000000000001E-2</v>
      </c>
      <c r="T177" s="32">
        <v>44661</v>
      </c>
      <c r="U177" s="37">
        <v>1.0999999999999999E-2</v>
      </c>
    </row>
    <row r="178" spans="7:21" ht="18" customHeight="1" x14ac:dyDescent="0.4">
      <c r="G178" s="32">
        <f t="shared" si="18"/>
        <v>45016</v>
      </c>
      <c r="H178" s="37">
        <f t="shared" si="19"/>
        <v>3.04E-2</v>
      </c>
      <c r="I178" s="32">
        <f t="shared" si="20"/>
        <v>45016</v>
      </c>
      <c r="J178" s="37">
        <f t="shared" si="21"/>
        <v>3.9140000000000001E-2</v>
      </c>
      <c r="K178" s="32">
        <f t="shared" si="22"/>
        <v>44662</v>
      </c>
      <c r="L178" s="37">
        <v>1.0999999999999999E-2</v>
      </c>
      <c r="P178" s="32">
        <v>45016</v>
      </c>
      <c r="Q178" s="37">
        <v>3.9140000000000001E-2</v>
      </c>
      <c r="R178" s="32">
        <v>45016</v>
      </c>
      <c r="S178" s="37">
        <v>3.9140000000000001E-2</v>
      </c>
      <c r="T178" s="32">
        <v>44662</v>
      </c>
      <c r="U178" s="37">
        <v>1.0999999999999999E-2</v>
      </c>
    </row>
    <row r="179" spans="7:21" ht="18" customHeight="1" x14ac:dyDescent="0.4">
      <c r="G179" s="32">
        <f t="shared" si="18"/>
        <v>45017</v>
      </c>
      <c r="H179" s="37">
        <f t="shared" si="19"/>
        <v>3.04E-2</v>
      </c>
      <c r="I179" s="32">
        <f t="shared" si="20"/>
        <v>45017</v>
      </c>
      <c r="J179" s="37">
        <f t="shared" si="21"/>
        <v>3.9140000000000001E-2</v>
      </c>
      <c r="K179" s="32">
        <f t="shared" si="22"/>
        <v>44663</v>
      </c>
      <c r="L179" s="37">
        <v>1.0999999999999999E-2</v>
      </c>
      <c r="P179" s="32">
        <v>45017</v>
      </c>
      <c r="Q179" s="37">
        <v>3.9140000000000001E-2</v>
      </c>
      <c r="R179" s="32">
        <v>45017</v>
      </c>
      <c r="S179" s="37">
        <v>3.9140000000000001E-2</v>
      </c>
      <c r="T179" s="32">
        <v>44663</v>
      </c>
      <c r="U179" s="37">
        <v>1.0999999999999999E-2</v>
      </c>
    </row>
    <row r="180" spans="7:21" ht="18" customHeight="1" x14ac:dyDescent="0.4">
      <c r="G180" s="32">
        <f t="shared" si="18"/>
        <v>45018</v>
      </c>
      <c r="H180" s="37">
        <f t="shared" si="19"/>
        <v>3.04E-2</v>
      </c>
      <c r="I180" s="32">
        <f t="shared" si="20"/>
        <v>45018</v>
      </c>
      <c r="J180" s="37">
        <f t="shared" si="21"/>
        <v>3.9140000000000001E-2</v>
      </c>
      <c r="K180" s="32">
        <f t="shared" si="22"/>
        <v>44664</v>
      </c>
      <c r="L180" s="37">
        <v>1.0999999999999999E-2</v>
      </c>
      <c r="P180" s="32">
        <v>45018</v>
      </c>
      <c r="Q180" s="37">
        <v>3.9140000000000001E-2</v>
      </c>
      <c r="R180" s="32">
        <v>45018</v>
      </c>
      <c r="S180" s="37">
        <v>3.9140000000000001E-2</v>
      </c>
      <c r="T180" s="32">
        <v>44664</v>
      </c>
      <c r="U180" s="37">
        <v>1.0999999999999999E-2</v>
      </c>
    </row>
    <row r="181" spans="7:21" ht="18" customHeight="1" x14ac:dyDescent="0.4">
      <c r="G181" s="32">
        <f t="shared" si="18"/>
        <v>45019</v>
      </c>
      <c r="H181" s="37">
        <f t="shared" si="19"/>
        <v>3.04E-2</v>
      </c>
      <c r="I181" s="32">
        <f t="shared" si="20"/>
        <v>45019</v>
      </c>
      <c r="J181" s="37">
        <f t="shared" si="21"/>
        <v>3.9140000000000001E-2</v>
      </c>
      <c r="K181" s="32">
        <f t="shared" si="22"/>
        <v>44665</v>
      </c>
      <c r="L181" s="37">
        <v>1.0999999999999999E-2</v>
      </c>
      <c r="P181" s="32">
        <v>45019</v>
      </c>
      <c r="Q181" s="37">
        <v>3.9140000000000001E-2</v>
      </c>
      <c r="R181" s="32">
        <v>45019</v>
      </c>
      <c r="S181" s="37">
        <v>3.9140000000000001E-2</v>
      </c>
      <c r="T181" s="32">
        <v>44665</v>
      </c>
      <c r="U181" s="37">
        <v>1.0999999999999999E-2</v>
      </c>
    </row>
    <row r="182" spans="7:21" ht="18" customHeight="1" x14ac:dyDescent="0.4">
      <c r="G182" s="32">
        <f t="shared" si="18"/>
        <v>45020</v>
      </c>
      <c r="H182" s="37">
        <f t="shared" si="19"/>
        <v>3.04E-2</v>
      </c>
      <c r="I182" s="32">
        <f t="shared" si="20"/>
        <v>45020</v>
      </c>
      <c r="J182" s="37">
        <f t="shared" si="21"/>
        <v>3.9140000000000001E-2</v>
      </c>
      <c r="K182" s="32">
        <f t="shared" si="22"/>
        <v>44666</v>
      </c>
      <c r="L182" s="37">
        <v>1.0999999999999999E-2</v>
      </c>
      <c r="P182" s="32">
        <v>45020</v>
      </c>
      <c r="Q182" s="37">
        <v>3.9140000000000001E-2</v>
      </c>
      <c r="R182" s="32">
        <v>45020</v>
      </c>
      <c r="S182" s="37">
        <v>3.9140000000000001E-2</v>
      </c>
      <c r="T182" s="32">
        <v>44666</v>
      </c>
      <c r="U182" s="37">
        <v>1.0999999999999999E-2</v>
      </c>
    </row>
    <row r="183" spans="7:21" ht="18" customHeight="1" x14ac:dyDescent="0.4">
      <c r="G183" s="32">
        <f t="shared" si="18"/>
        <v>45021</v>
      </c>
      <c r="H183" s="37">
        <f t="shared" si="19"/>
        <v>3.04E-2</v>
      </c>
      <c r="I183" s="32">
        <f t="shared" si="20"/>
        <v>45021</v>
      </c>
      <c r="J183" s="37">
        <f t="shared" si="21"/>
        <v>3.9140000000000001E-2</v>
      </c>
      <c r="K183" s="32">
        <f t="shared" si="22"/>
        <v>44667</v>
      </c>
      <c r="L183" s="37">
        <v>1.0999999999999999E-2</v>
      </c>
      <c r="P183" s="32">
        <v>45021</v>
      </c>
      <c r="Q183" s="37">
        <v>3.9140000000000001E-2</v>
      </c>
      <c r="R183" s="32">
        <v>45021</v>
      </c>
      <c r="S183" s="37">
        <v>3.9140000000000001E-2</v>
      </c>
      <c r="T183" s="32">
        <v>44667</v>
      </c>
      <c r="U183" s="37">
        <v>1.0999999999999999E-2</v>
      </c>
    </row>
    <row r="184" spans="7:21" ht="18" customHeight="1" x14ac:dyDescent="0.4">
      <c r="G184" s="32">
        <f t="shared" si="18"/>
        <v>45022</v>
      </c>
      <c r="H184" s="37">
        <f t="shared" si="19"/>
        <v>3.04E-2</v>
      </c>
      <c r="I184" s="32">
        <f t="shared" si="20"/>
        <v>45022</v>
      </c>
      <c r="J184" s="37">
        <f t="shared" si="21"/>
        <v>3.9140000000000001E-2</v>
      </c>
      <c r="K184" s="32">
        <f t="shared" si="22"/>
        <v>44668</v>
      </c>
      <c r="L184" s="37">
        <v>1.0999999999999999E-2</v>
      </c>
      <c r="P184" s="32">
        <v>45022</v>
      </c>
      <c r="Q184" s="37">
        <v>3.9140000000000001E-2</v>
      </c>
      <c r="R184" s="32">
        <v>45022</v>
      </c>
      <c r="S184" s="37">
        <v>3.9140000000000001E-2</v>
      </c>
      <c r="T184" s="32">
        <v>44668</v>
      </c>
      <c r="U184" s="37">
        <v>1.0999999999999999E-2</v>
      </c>
    </row>
    <row r="185" spans="7:21" ht="18" customHeight="1" x14ac:dyDescent="0.4">
      <c r="G185" s="32">
        <f t="shared" si="18"/>
        <v>45023</v>
      </c>
      <c r="H185" s="37">
        <f t="shared" si="19"/>
        <v>3.04E-2</v>
      </c>
      <c r="I185" s="32">
        <f t="shared" si="20"/>
        <v>45023</v>
      </c>
      <c r="J185" s="37">
        <f t="shared" si="21"/>
        <v>3.9140000000000001E-2</v>
      </c>
      <c r="K185" s="32">
        <f t="shared" si="22"/>
        <v>44669</v>
      </c>
      <c r="L185" s="37">
        <v>1.0999999999999999E-2</v>
      </c>
      <c r="P185" s="32">
        <v>45023</v>
      </c>
      <c r="Q185" s="37">
        <v>3.9140000000000001E-2</v>
      </c>
      <c r="R185" s="32">
        <v>45023</v>
      </c>
      <c r="S185" s="37">
        <v>3.9140000000000001E-2</v>
      </c>
      <c r="T185" s="32">
        <v>44669</v>
      </c>
      <c r="U185" s="37">
        <v>1.0999999999999999E-2</v>
      </c>
    </row>
    <row r="186" spans="7:21" ht="18" customHeight="1" x14ac:dyDescent="0.4">
      <c r="G186" s="32">
        <f t="shared" si="18"/>
        <v>45024</v>
      </c>
      <c r="H186" s="37">
        <f t="shared" si="19"/>
        <v>3.04E-2</v>
      </c>
      <c r="I186" s="32">
        <f t="shared" si="20"/>
        <v>45024</v>
      </c>
      <c r="J186" s="37">
        <f t="shared" si="21"/>
        <v>3.9140000000000001E-2</v>
      </c>
      <c r="K186" s="32">
        <f t="shared" si="22"/>
        <v>44670</v>
      </c>
      <c r="L186" s="37">
        <v>1.0999999999999999E-2</v>
      </c>
      <c r="P186" s="32">
        <v>45024</v>
      </c>
      <c r="Q186" s="37">
        <v>3.9140000000000001E-2</v>
      </c>
      <c r="R186" s="32">
        <v>45024</v>
      </c>
      <c r="S186" s="37">
        <v>3.9140000000000001E-2</v>
      </c>
      <c r="T186" s="32">
        <v>44670</v>
      </c>
      <c r="U186" s="37">
        <v>1.0999999999999999E-2</v>
      </c>
    </row>
    <row r="187" spans="7:21" ht="18" customHeight="1" x14ac:dyDescent="0.4">
      <c r="G187" s="32">
        <f t="shared" si="18"/>
        <v>45025</v>
      </c>
      <c r="H187" s="37">
        <f t="shared" si="19"/>
        <v>3.04E-2</v>
      </c>
      <c r="I187" s="32">
        <f t="shared" si="20"/>
        <v>45025</v>
      </c>
      <c r="J187" s="37">
        <f t="shared" si="21"/>
        <v>3.9140000000000001E-2</v>
      </c>
      <c r="K187" s="32">
        <f t="shared" si="22"/>
        <v>44671</v>
      </c>
      <c r="L187" s="37">
        <v>1.0999999999999999E-2</v>
      </c>
      <c r="P187" s="32">
        <v>45025</v>
      </c>
      <c r="Q187" s="37">
        <v>3.9140000000000001E-2</v>
      </c>
      <c r="R187" s="32">
        <v>45025</v>
      </c>
      <c r="S187" s="37">
        <v>3.9140000000000001E-2</v>
      </c>
      <c r="T187" s="32">
        <v>44671</v>
      </c>
      <c r="U187" s="37">
        <v>1.0999999999999999E-2</v>
      </c>
    </row>
    <row r="188" spans="7:21" ht="18" customHeight="1" x14ac:dyDescent="0.4">
      <c r="G188" s="32">
        <f t="shared" si="18"/>
        <v>45026</v>
      </c>
      <c r="H188" s="37">
        <f t="shared" si="19"/>
        <v>3.04E-2</v>
      </c>
      <c r="I188" s="32">
        <f t="shared" si="20"/>
        <v>45026</v>
      </c>
      <c r="J188" s="37">
        <f t="shared" si="21"/>
        <v>3.9140000000000001E-2</v>
      </c>
      <c r="K188" s="32">
        <f t="shared" si="22"/>
        <v>44672</v>
      </c>
      <c r="L188" s="37">
        <v>1.0999999999999999E-2</v>
      </c>
      <c r="P188" s="32">
        <v>45026</v>
      </c>
      <c r="Q188" s="37">
        <v>3.9140000000000001E-2</v>
      </c>
      <c r="R188" s="32">
        <v>45026</v>
      </c>
      <c r="S188" s="37">
        <v>3.9140000000000001E-2</v>
      </c>
      <c r="T188" s="32">
        <v>44672</v>
      </c>
      <c r="U188" s="37">
        <v>1.0999999999999999E-2</v>
      </c>
    </row>
    <row r="189" spans="7:21" ht="18" customHeight="1" x14ac:dyDescent="0.4">
      <c r="G189" s="32">
        <f t="shared" si="18"/>
        <v>45027</v>
      </c>
      <c r="H189" s="37">
        <f t="shared" si="19"/>
        <v>3.04E-2</v>
      </c>
      <c r="I189" s="32">
        <f t="shared" si="20"/>
        <v>45027</v>
      </c>
      <c r="J189" s="37">
        <f t="shared" si="21"/>
        <v>3.9140000000000001E-2</v>
      </c>
      <c r="K189" s="32">
        <f t="shared" si="22"/>
        <v>44673</v>
      </c>
      <c r="L189" s="37">
        <v>1.0999999999999999E-2</v>
      </c>
      <c r="P189" s="32">
        <v>45027</v>
      </c>
      <c r="Q189" s="37">
        <v>3.9140000000000001E-2</v>
      </c>
      <c r="R189" s="32">
        <v>45027</v>
      </c>
      <c r="S189" s="37">
        <v>3.9140000000000001E-2</v>
      </c>
      <c r="T189" s="32">
        <v>44673</v>
      </c>
      <c r="U189" s="37">
        <v>1.0999999999999999E-2</v>
      </c>
    </row>
    <row r="190" spans="7:21" ht="18" customHeight="1" x14ac:dyDescent="0.4">
      <c r="G190" s="32">
        <f t="shared" si="18"/>
        <v>45028</v>
      </c>
      <c r="H190" s="37">
        <f t="shared" si="19"/>
        <v>3.04E-2</v>
      </c>
      <c r="I190" s="32">
        <f t="shared" si="20"/>
        <v>45028</v>
      </c>
      <c r="J190" s="37">
        <f t="shared" si="21"/>
        <v>3.9140000000000001E-2</v>
      </c>
      <c r="K190" s="32">
        <f t="shared" si="22"/>
        <v>44674</v>
      </c>
      <c r="L190" s="37">
        <v>1.0999999999999999E-2</v>
      </c>
      <c r="P190" s="32">
        <v>45028</v>
      </c>
      <c r="Q190" s="37">
        <v>3.9140000000000001E-2</v>
      </c>
      <c r="R190" s="32">
        <v>45028</v>
      </c>
      <c r="S190" s="37">
        <v>3.9140000000000001E-2</v>
      </c>
      <c r="T190" s="32">
        <v>44674</v>
      </c>
      <c r="U190" s="37">
        <v>1.0999999999999999E-2</v>
      </c>
    </row>
    <row r="191" spans="7:21" ht="18" customHeight="1" x14ac:dyDescent="0.4">
      <c r="G191" s="32">
        <f t="shared" si="18"/>
        <v>45029</v>
      </c>
      <c r="H191" s="37">
        <f t="shared" si="19"/>
        <v>3.04E-2</v>
      </c>
      <c r="I191" s="32">
        <f t="shared" si="20"/>
        <v>45029</v>
      </c>
      <c r="J191" s="37">
        <f t="shared" si="21"/>
        <v>3.9140000000000001E-2</v>
      </c>
      <c r="K191" s="32">
        <f t="shared" si="22"/>
        <v>44675</v>
      </c>
      <c r="L191" s="37">
        <v>1.0999999999999999E-2</v>
      </c>
      <c r="P191" s="32">
        <v>45029</v>
      </c>
      <c r="Q191" s="37">
        <v>3.9140000000000001E-2</v>
      </c>
      <c r="R191" s="32">
        <v>45029</v>
      </c>
      <c r="S191" s="37">
        <v>3.9140000000000001E-2</v>
      </c>
      <c r="T191" s="32">
        <v>44675</v>
      </c>
      <c r="U191" s="37">
        <v>1.0999999999999999E-2</v>
      </c>
    </row>
    <row r="192" spans="7:21" ht="18" customHeight="1" x14ac:dyDescent="0.4">
      <c r="G192" s="32">
        <f t="shared" si="18"/>
        <v>45030</v>
      </c>
      <c r="H192" s="37">
        <f t="shared" si="19"/>
        <v>3.04E-2</v>
      </c>
      <c r="I192" s="32">
        <f t="shared" si="20"/>
        <v>45030</v>
      </c>
      <c r="J192" s="37">
        <f t="shared" si="21"/>
        <v>3.9140000000000001E-2</v>
      </c>
      <c r="K192" s="32">
        <f t="shared" si="22"/>
        <v>44676</v>
      </c>
      <c r="L192" s="37">
        <v>1.0999999999999999E-2</v>
      </c>
      <c r="P192" s="32">
        <v>45030</v>
      </c>
      <c r="Q192" s="37">
        <v>3.9140000000000001E-2</v>
      </c>
      <c r="R192" s="32">
        <v>45030</v>
      </c>
      <c r="S192" s="37">
        <v>3.9140000000000001E-2</v>
      </c>
      <c r="T192" s="32">
        <v>44676</v>
      </c>
      <c r="U192" s="37">
        <v>1.0999999999999999E-2</v>
      </c>
    </row>
    <row r="193" spans="7:21" ht="18" customHeight="1" x14ac:dyDescent="0.4">
      <c r="G193" s="32">
        <f t="shared" si="18"/>
        <v>45031</v>
      </c>
      <c r="H193" s="37">
        <f t="shared" si="19"/>
        <v>3.04E-2</v>
      </c>
      <c r="I193" s="32">
        <f t="shared" si="20"/>
        <v>45031</v>
      </c>
      <c r="J193" s="37">
        <f t="shared" si="21"/>
        <v>3.9140000000000001E-2</v>
      </c>
      <c r="K193" s="32">
        <f t="shared" si="22"/>
        <v>44677</v>
      </c>
      <c r="L193" s="37">
        <v>1.0999999999999999E-2</v>
      </c>
      <c r="P193" s="32">
        <v>45031</v>
      </c>
      <c r="Q193" s="37">
        <v>3.9140000000000001E-2</v>
      </c>
      <c r="R193" s="32">
        <v>45031</v>
      </c>
      <c r="S193" s="37">
        <v>3.9140000000000001E-2</v>
      </c>
      <c r="T193" s="32">
        <v>44677</v>
      </c>
      <c r="U193" s="37">
        <v>1.0999999999999999E-2</v>
      </c>
    </row>
    <row r="194" spans="7:21" ht="18" customHeight="1" x14ac:dyDescent="0.4">
      <c r="G194" s="32">
        <f t="shared" si="18"/>
        <v>45032</v>
      </c>
      <c r="H194" s="37">
        <f t="shared" si="19"/>
        <v>3.04E-2</v>
      </c>
      <c r="I194" s="32">
        <f t="shared" si="20"/>
        <v>45032</v>
      </c>
      <c r="J194" s="37">
        <f t="shared" si="21"/>
        <v>3.9140000000000001E-2</v>
      </c>
      <c r="K194" s="32">
        <f t="shared" si="22"/>
        <v>44678</v>
      </c>
      <c r="L194" s="37">
        <v>1.0999999999999999E-2</v>
      </c>
      <c r="P194" s="32">
        <v>45032</v>
      </c>
      <c r="Q194" s="37">
        <v>3.9140000000000001E-2</v>
      </c>
      <c r="R194" s="32">
        <v>45032</v>
      </c>
      <c r="S194" s="37">
        <v>3.9140000000000001E-2</v>
      </c>
      <c r="T194" s="32">
        <v>44678</v>
      </c>
      <c r="U194" s="37">
        <v>1.0999999999999999E-2</v>
      </c>
    </row>
    <row r="195" spans="7:21" ht="18" customHeight="1" x14ac:dyDescent="0.4">
      <c r="G195" s="32">
        <f t="shared" si="18"/>
        <v>45033</v>
      </c>
      <c r="H195" s="37">
        <f t="shared" si="19"/>
        <v>3.04E-2</v>
      </c>
      <c r="I195" s="32">
        <f t="shared" si="20"/>
        <v>45033</v>
      </c>
      <c r="J195" s="37">
        <f t="shared" si="21"/>
        <v>3.9140000000000001E-2</v>
      </c>
      <c r="K195" s="32">
        <f t="shared" si="22"/>
        <v>44679</v>
      </c>
      <c r="L195" s="37">
        <v>1.0999999999999999E-2</v>
      </c>
      <c r="P195" s="32">
        <v>45033</v>
      </c>
      <c r="Q195" s="37">
        <v>3.9140000000000001E-2</v>
      </c>
      <c r="R195" s="32">
        <v>45033</v>
      </c>
      <c r="S195" s="37">
        <v>3.9140000000000001E-2</v>
      </c>
      <c r="T195" s="32">
        <v>44679</v>
      </c>
      <c r="U195" s="37">
        <v>1.0999999999999999E-2</v>
      </c>
    </row>
    <row r="196" spans="7:21" ht="18" customHeight="1" x14ac:dyDescent="0.4">
      <c r="G196" s="32">
        <f t="shared" si="18"/>
        <v>45034</v>
      </c>
      <c r="H196" s="37">
        <f t="shared" si="19"/>
        <v>3.04E-2</v>
      </c>
      <c r="I196" s="32">
        <f t="shared" si="20"/>
        <v>45034</v>
      </c>
      <c r="J196" s="37">
        <f t="shared" si="21"/>
        <v>3.9140000000000001E-2</v>
      </c>
      <c r="K196" s="32">
        <f t="shared" si="22"/>
        <v>44680</v>
      </c>
      <c r="L196" s="37">
        <v>1.0999999999999999E-2</v>
      </c>
      <c r="P196" s="32">
        <v>45034</v>
      </c>
      <c r="Q196" s="37">
        <v>3.9140000000000001E-2</v>
      </c>
      <c r="R196" s="32">
        <v>45034</v>
      </c>
      <c r="S196" s="37">
        <v>3.9140000000000001E-2</v>
      </c>
      <c r="T196" s="32">
        <v>44680</v>
      </c>
      <c r="U196" s="37">
        <v>1.0999999999999999E-2</v>
      </c>
    </row>
    <row r="197" spans="7:21" ht="18" customHeight="1" x14ac:dyDescent="0.4">
      <c r="G197" s="32">
        <f t="shared" si="18"/>
        <v>45035</v>
      </c>
      <c r="H197" s="37">
        <f t="shared" si="19"/>
        <v>3.04E-2</v>
      </c>
      <c r="I197" s="32">
        <f t="shared" si="20"/>
        <v>45035</v>
      </c>
      <c r="J197" s="37">
        <f t="shared" si="21"/>
        <v>3.9140000000000001E-2</v>
      </c>
      <c r="K197" s="32">
        <f t="shared" si="22"/>
        <v>44681</v>
      </c>
      <c r="L197" s="37">
        <v>1.0999999999999999E-2</v>
      </c>
      <c r="P197" s="32">
        <v>45035</v>
      </c>
      <c r="Q197" s="37">
        <v>3.9140000000000001E-2</v>
      </c>
      <c r="R197" s="32">
        <v>45035</v>
      </c>
      <c r="S197" s="37">
        <v>3.9140000000000001E-2</v>
      </c>
      <c r="T197" s="32">
        <v>44681</v>
      </c>
      <c r="U197" s="37">
        <v>1.0999999999999999E-2</v>
      </c>
    </row>
    <row r="198" spans="7:21" ht="18" customHeight="1" x14ac:dyDescent="0.4">
      <c r="G198" s="32">
        <f t="shared" si="18"/>
        <v>45036</v>
      </c>
      <c r="H198" s="37">
        <f t="shared" si="19"/>
        <v>3.04E-2</v>
      </c>
      <c r="I198" s="32">
        <f t="shared" si="20"/>
        <v>45036</v>
      </c>
      <c r="J198" s="37">
        <f t="shared" si="21"/>
        <v>3.9140000000000001E-2</v>
      </c>
      <c r="K198" s="32">
        <f t="shared" si="22"/>
        <v>44682</v>
      </c>
      <c r="L198" s="37">
        <v>1.0999999999999999E-2</v>
      </c>
      <c r="P198" s="32">
        <v>45036</v>
      </c>
      <c r="Q198" s="37">
        <v>3.9140000000000001E-2</v>
      </c>
      <c r="R198" s="32">
        <v>45036</v>
      </c>
      <c r="S198" s="37">
        <v>3.9140000000000001E-2</v>
      </c>
      <c r="T198" s="32">
        <v>44682</v>
      </c>
      <c r="U198" s="37">
        <v>1.0999999999999999E-2</v>
      </c>
    </row>
    <row r="199" spans="7:21" ht="18" customHeight="1" x14ac:dyDescent="0.4">
      <c r="G199" s="32">
        <f t="shared" ref="G199:G217" si="23">G198+1</f>
        <v>45037</v>
      </c>
      <c r="H199" s="37">
        <f t="shared" ref="H199:H217" si="24">H198</f>
        <v>3.04E-2</v>
      </c>
      <c r="I199" s="32">
        <f t="shared" ref="I199:I217" si="25">I198+1</f>
        <v>45037</v>
      </c>
      <c r="J199" s="37">
        <f t="shared" ref="J199:J217" si="26">J198</f>
        <v>3.9140000000000001E-2</v>
      </c>
      <c r="K199" s="32">
        <f t="shared" si="22"/>
        <v>44683</v>
      </c>
      <c r="L199" s="37">
        <v>1.0999999999999999E-2</v>
      </c>
      <c r="P199" s="32">
        <v>45037</v>
      </c>
      <c r="Q199" s="37">
        <v>3.9140000000000001E-2</v>
      </c>
      <c r="R199" s="32">
        <v>45037</v>
      </c>
      <c r="S199" s="37">
        <v>3.9140000000000001E-2</v>
      </c>
      <c r="T199" s="32">
        <v>44683</v>
      </c>
      <c r="U199" s="37">
        <v>1.0999999999999999E-2</v>
      </c>
    </row>
    <row r="200" spans="7:21" ht="18" customHeight="1" x14ac:dyDescent="0.4">
      <c r="G200" s="32">
        <f t="shared" si="23"/>
        <v>45038</v>
      </c>
      <c r="H200" s="37">
        <f t="shared" si="24"/>
        <v>3.04E-2</v>
      </c>
      <c r="I200" s="32">
        <f t="shared" si="25"/>
        <v>45038</v>
      </c>
      <c r="J200" s="37">
        <f t="shared" si="26"/>
        <v>3.9140000000000001E-2</v>
      </c>
      <c r="K200" s="32">
        <f t="shared" si="22"/>
        <v>44684</v>
      </c>
      <c r="L200" s="37">
        <v>1.0999999999999999E-2</v>
      </c>
      <c r="P200" s="32">
        <v>45038</v>
      </c>
      <c r="Q200" s="37">
        <v>3.9140000000000001E-2</v>
      </c>
      <c r="R200" s="32">
        <v>45038</v>
      </c>
      <c r="S200" s="37">
        <v>3.9140000000000001E-2</v>
      </c>
      <c r="T200" s="32">
        <v>44684</v>
      </c>
      <c r="U200" s="37">
        <v>1.0999999999999999E-2</v>
      </c>
    </row>
    <row r="201" spans="7:21" ht="18" customHeight="1" x14ac:dyDescent="0.4">
      <c r="G201" s="32">
        <f t="shared" si="23"/>
        <v>45039</v>
      </c>
      <c r="H201" s="37">
        <f t="shared" si="24"/>
        <v>3.04E-2</v>
      </c>
      <c r="I201" s="32">
        <f t="shared" si="25"/>
        <v>45039</v>
      </c>
      <c r="J201" s="37">
        <f t="shared" si="26"/>
        <v>3.9140000000000001E-2</v>
      </c>
      <c r="K201" s="32">
        <f t="shared" ref="K201:K217" si="27">K200+1</f>
        <v>44685</v>
      </c>
      <c r="L201" s="37">
        <v>1.0999999999999999E-2</v>
      </c>
      <c r="P201" s="32">
        <v>45039</v>
      </c>
      <c r="Q201" s="37">
        <v>3.9140000000000001E-2</v>
      </c>
      <c r="R201" s="32">
        <v>45039</v>
      </c>
      <c r="S201" s="37">
        <v>3.9140000000000001E-2</v>
      </c>
      <c r="T201" s="32">
        <v>44685</v>
      </c>
      <c r="U201" s="37">
        <v>1.0999999999999999E-2</v>
      </c>
    </row>
    <row r="202" spans="7:21" ht="18" customHeight="1" x14ac:dyDescent="0.4">
      <c r="G202" s="32">
        <f t="shared" si="23"/>
        <v>45040</v>
      </c>
      <c r="H202" s="37">
        <f t="shared" si="24"/>
        <v>3.04E-2</v>
      </c>
      <c r="I202" s="32">
        <f t="shared" si="25"/>
        <v>45040</v>
      </c>
      <c r="J202" s="37">
        <f t="shared" si="26"/>
        <v>3.9140000000000001E-2</v>
      </c>
      <c r="K202" s="32">
        <f t="shared" si="27"/>
        <v>44686</v>
      </c>
      <c r="L202" s="37">
        <v>1.0999999999999999E-2</v>
      </c>
      <c r="P202" s="32">
        <v>45040</v>
      </c>
      <c r="Q202" s="37">
        <v>3.9140000000000001E-2</v>
      </c>
      <c r="R202" s="32">
        <v>45040</v>
      </c>
      <c r="S202" s="37">
        <v>3.9140000000000001E-2</v>
      </c>
      <c r="T202" s="32">
        <v>44686</v>
      </c>
      <c r="U202" s="37">
        <v>1.0999999999999999E-2</v>
      </c>
    </row>
    <row r="203" spans="7:21" ht="18" customHeight="1" x14ac:dyDescent="0.4">
      <c r="G203" s="32">
        <f t="shared" si="23"/>
        <v>45041</v>
      </c>
      <c r="H203" s="37">
        <f t="shared" si="24"/>
        <v>3.04E-2</v>
      </c>
      <c r="I203" s="32">
        <f t="shared" si="25"/>
        <v>45041</v>
      </c>
      <c r="J203" s="37">
        <f t="shared" si="26"/>
        <v>3.9140000000000001E-2</v>
      </c>
      <c r="K203" s="32">
        <f t="shared" si="27"/>
        <v>44687</v>
      </c>
      <c r="L203" s="37">
        <v>1.0999999999999999E-2</v>
      </c>
      <c r="P203" s="32">
        <v>45041</v>
      </c>
      <c r="Q203" s="37">
        <v>3.9140000000000001E-2</v>
      </c>
      <c r="R203" s="32">
        <v>45041</v>
      </c>
      <c r="S203" s="37">
        <v>3.9140000000000001E-2</v>
      </c>
      <c r="T203" s="32">
        <v>44687</v>
      </c>
      <c r="U203" s="37">
        <v>1.0999999999999999E-2</v>
      </c>
    </row>
    <row r="204" spans="7:21" ht="18" customHeight="1" x14ac:dyDescent="0.4">
      <c r="G204" s="32">
        <f t="shared" si="23"/>
        <v>45042</v>
      </c>
      <c r="H204" s="37">
        <f t="shared" si="24"/>
        <v>3.04E-2</v>
      </c>
      <c r="I204" s="32">
        <f t="shared" si="25"/>
        <v>45042</v>
      </c>
      <c r="J204" s="37">
        <f t="shared" si="26"/>
        <v>3.9140000000000001E-2</v>
      </c>
      <c r="K204" s="32">
        <f t="shared" si="27"/>
        <v>44688</v>
      </c>
      <c r="L204" s="37">
        <v>1.0999999999999999E-2</v>
      </c>
      <c r="P204" s="32">
        <v>45042</v>
      </c>
      <c r="Q204" s="37">
        <v>3.9140000000000001E-2</v>
      </c>
      <c r="R204" s="32">
        <v>45042</v>
      </c>
      <c r="S204" s="37">
        <v>3.9140000000000001E-2</v>
      </c>
      <c r="T204" s="32">
        <v>44688</v>
      </c>
      <c r="U204" s="37">
        <v>1.0999999999999999E-2</v>
      </c>
    </row>
    <row r="205" spans="7:21" ht="18" customHeight="1" x14ac:dyDescent="0.4">
      <c r="G205" s="32">
        <f t="shared" si="23"/>
        <v>45043</v>
      </c>
      <c r="H205" s="37">
        <f t="shared" si="24"/>
        <v>3.04E-2</v>
      </c>
      <c r="I205" s="32">
        <f t="shared" si="25"/>
        <v>45043</v>
      </c>
      <c r="J205" s="37">
        <f t="shared" si="26"/>
        <v>3.9140000000000001E-2</v>
      </c>
      <c r="K205" s="32">
        <f t="shared" si="27"/>
        <v>44689</v>
      </c>
      <c r="L205" s="37">
        <v>1.0999999999999999E-2</v>
      </c>
      <c r="P205" s="32">
        <v>45043</v>
      </c>
      <c r="Q205" s="37">
        <v>3.9140000000000001E-2</v>
      </c>
      <c r="R205" s="32">
        <v>45043</v>
      </c>
      <c r="S205" s="37">
        <v>3.9140000000000001E-2</v>
      </c>
      <c r="T205" s="32">
        <v>44689</v>
      </c>
      <c r="U205" s="37">
        <v>1.0999999999999999E-2</v>
      </c>
    </row>
    <row r="206" spans="7:21" ht="18" customHeight="1" x14ac:dyDescent="0.4">
      <c r="G206" s="32">
        <f t="shared" si="23"/>
        <v>45044</v>
      </c>
      <c r="H206" s="37">
        <f t="shared" si="24"/>
        <v>3.04E-2</v>
      </c>
      <c r="I206" s="32">
        <f t="shared" si="25"/>
        <v>45044</v>
      </c>
      <c r="J206" s="37">
        <f t="shared" si="26"/>
        <v>3.9140000000000001E-2</v>
      </c>
      <c r="K206" s="32">
        <f t="shared" si="27"/>
        <v>44690</v>
      </c>
      <c r="L206" s="37">
        <v>1.0999999999999999E-2</v>
      </c>
      <c r="P206" s="32">
        <v>45044</v>
      </c>
      <c r="Q206" s="37">
        <v>3.9140000000000001E-2</v>
      </c>
      <c r="R206" s="32">
        <v>45044</v>
      </c>
      <c r="S206" s="37">
        <v>3.9140000000000001E-2</v>
      </c>
      <c r="T206" s="32">
        <v>44690</v>
      </c>
      <c r="U206" s="37">
        <v>1.0999999999999999E-2</v>
      </c>
    </row>
    <row r="207" spans="7:21" ht="18" customHeight="1" x14ac:dyDescent="0.4">
      <c r="G207" s="32">
        <f t="shared" si="23"/>
        <v>45045</v>
      </c>
      <c r="H207" s="37">
        <f t="shared" si="24"/>
        <v>3.04E-2</v>
      </c>
      <c r="I207" s="32">
        <f t="shared" si="25"/>
        <v>45045</v>
      </c>
      <c r="J207" s="37">
        <f t="shared" si="26"/>
        <v>3.9140000000000001E-2</v>
      </c>
      <c r="K207" s="32">
        <f t="shared" si="27"/>
        <v>44691</v>
      </c>
      <c r="L207" s="37">
        <v>1.0999999999999999E-2</v>
      </c>
      <c r="P207" s="32">
        <v>45045</v>
      </c>
      <c r="Q207" s="37">
        <v>3.9140000000000001E-2</v>
      </c>
      <c r="R207" s="32">
        <v>45045</v>
      </c>
      <c r="S207" s="37">
        <v>3.9140000000000001E-2</v>
      </c>
      <c r="T207" s="32">
        <v>44691</v>
      </c>
      <c r="U207" s="37">
        <v>1.0999999999999999E-2</v>
      </c>
    </row>
    <row r="208" spans="7:21" ht="18" customHeight="1" x14ac:dyDescent="0.4">
      <c r="G208" s="32">
        <f t="shared" si="23"/>
        <v>45046</v>
      </c>
      <c r="H208" s="37">
        <f t="shared" si="24"/>
        <v>3.04E-2</v>
      </c>
      <c r="I208" s="32">
        <f t="shared" si="25"/>
        <v>45046</v>
      </c>
      <c r="J208" s="37">
        <f t="shared" si="26"/>
        <v>3.9140000000000001E-2</v>
      </c>
      <c r="K208" s="32">
        <f t="shared" si="27"/>
        <v>44692</v>
      </c>
      <c r="L208" s="37">
        <v>1.0999999999999999E-2</v>
      </c>
      <c r="P208" s="32">
        <v>45046</v>
      </c>
      <c r="Q208" s="37">
        <v>3.9140000000000001E-2</v>
      </c>
      <c r="R208" s="32">
        <v>45046</v>
      </c>
      <c r="S208" s="37">
        <v>3.9140000000000001E-2</v>
      </c>
      <c r="T208" s="32">
        <v>44692</v>
      </c>
      <c r="U208" s="37">
        <v>1.0999999999999999E-2</v>
      </c>
    </row>
    <row r="209" spans="7:21" ht="18" customHeight="1" x14ac:dyDescent="0.4">
      <c r="G209" s="32">
        <f t="shared" si="23"/>
        <v>45047</v>
      </c>
      <c r="H209" s="37">
        <f t="shared" si="24"/>
        <v>3.04E-2</v>
      </c>
      <c r="I209" s="32">
        <f t="shared" si="25"/>
        <v>45047</v>
      </c>
      <c r="J209" s="37">
        <f t="shared" si="26"/>
        <v>3.9140000000000001E-2</v>
      </c>
      <c r="K209" s="32">
        <f t="shared" si="27"/>
        <v>44693</v>
      </c>
      <c r="L209" s="37">
        <v>1.0999999999999999E-2</v>
      </c>
      <c r="P209" s="32">
        <v>45047</v>
      </c>
      <c r="Q209" s="37">
        <v>3.9140000000000001E-2</v>
      </c>
      <c r="R209" s="32">
        <v>45047</v>
      </c>
      <c r="S209" s="37">
        <v>3.9140000000000001E-2</v>
      </c>
      <c r="T209" s="32">
        <v>44693</v>
      </c>
      <c r="U209" s="37">
        <v>1.0999999999999999E-2</v>
      </c>
    </row>
    <row r="210" spans="7:21" ht="18" customHeight="1" x14ac:dyDescent="0.4">
      <c r="G210" s="32">
        <f t="shared" si="23"/>
        <v>45048</v>
      </c>
      <c r="H210" s="37">
        <f t="shared" si="24"/>
        <v>3.04E-2</v>
      </c>
      <c r="I210" s="32">
        <f t="shared" si="25"/>
        <v>45048</v>
      </c>
      <c r="J210" s="37">
        <f t="shared" si="26"/>
        <v>3.9140000000000001E-2</v>
      </c>
      <c r="K210" s="32">
        <f t="shared" si="27"/>
        <v>44694</v>
      </c>
      <c r="L210" s="37">
        <v>1.0999999999999999E-2</v>
      </c>
      <c r="P210" s="32">
        <v>45048</v>
      </c>
      <c r="Q210" s="37">
        <v>3.9140000000000001E-2</v>
      </c>
      <c r="R210" s="32">
        <v>45048</v>
      </c>
      <c r="S210" s="37">
        <v>3.9140000000000001E-2</v>
      </c>
      <c r="T210" s="32">
        <v>44694</v>
      </c>
      <c r="U210" s="37">
        <v>1.0999999999999999E-2</v>
      </c>
    </row>
    <row r="211" spans="7:21" ht="18" customHeight="1" x14ac:dyDescent="0.4">
      <c r="G211" s="32">
        <f t="shared" si="23"/>
        <v>45049</v>
      </c>
      <c r="H211" s="37">
        <f t="shared" si="24"/>
        <v>3.04E-2</v>
      </c>
      <c r="I211" s="32">
        <f t="shared" si="25"/>
        <v>45049</v>
      </c>
      <c r="J211" s="37">
        <f t="shared" si="26"/>
        <v>3.9140000000000001E-2</v>
      </c>
      <c r="K211" s="32">
        <f t="shared" si="27"/>
        <v>44695</v>
      </c>
      <c r="L211" s="37">
        <v>1.0999999999999999E-2</v>
      </c>
      <c r="P211" s="32">
        <v>45049</v>
      </c>
      <c r="Q211" s="37">
        <v>3.9140000000000001E-2</v>
      </c>
      <c r="R211" s="32">
        <v>45049</v>
      </c>
      <c r="S211" s="37">
        <v>3.9140000000000001E-2</v>
      </c>
      <c r="T211" s="32">
        <v>44695</v>
      </c>
      <c r="U211" s="37">
        <v>1.0999999999999999E-2</v>
      </c>
    </row>
    <row r="212" spans="7:21" ht="18" customHeight="1" x14ac:dyDescent="0.4">
      <c r="G212" s="32">
        <f t="shared" si="23"/>
        <v>45050</v>
      </c>
      <c r="H212" s="37">
        <f t="shared" si="24"/>
        <v>3.04E-2</v>
      </c>
      <c r="I212" s="32">
        <f t="shared" si="25"/>
        <v>45050</v>
      </c>
      <c r="J212" s="37">
        <f t="shared" si="26"/>
        <v>3.9140000000000001E-2</v>
      </c>
      <c r="K212" s="32">
        <f t="shared" si="27"/>
        <v>44696</v>
      </c>
      <c r="L212" s="37">
        <v>1.0999999999999999E-2</v>
      </c>
      <c r="P212" s="32">
        <v>45050</v>
      </c>
      <c r="Q212" s="37">
        <v>3.9140000000000001E-2</v>
      </c>
      <c r="R212" s="32">
        <v>45050</v>
      </c>
      <c r="S212" s="37">
        <v>3.9140000000000001E-2</v>
      </c>
      <c r="T212" s="32">
        <v>44696</v>
      </c>
      <c r="U212" s="37">
        <v>1.0999999999999999E-2</v>
      </c>
    </row>
    <row r="213" spans="7:21" ht="18" customHeight="1" x14ac:dyDescent="0.4">
      <c r="G213" s="32">
        <f t="shared" si="23"/>
        <v>45051</v>
      </c>
      <c r="H213" s="37">
        <f t="shared" si="24"/>
        <v>3.04E-2</v>
      </c>
      <c r="I213" s="32">
        <f t="shared" si="25"/>
        <v>45051</v>
      </c>
      <c r="J213" s="37">
        <f t="shared" si="26"/>
        <v>3.9140000000000001E-2</v>
      </c>
      <c r="K213" s="32">
        <f t="shared" si="27"/>
        <v>44697</v>
      </c>
      <c r="L213" s="37">
        <v>1.0999999999999999E-2</v>
      </c>
      <c r="P213" s="32">
        <v>45051</v>
      </c>
      <c r="Q213" s="37">
        <v>3.9140000000000001E-2</v>
      </c>
      <c r="R213" s="32">
        <v>45051</v>
      </c>
      <c r="S213" s="37">
        <v>3.9140000000000001E-2</v>
      </c>
      <c r="T213" s="32">
        <v>44697</v>
      </c>
      <c r="U213" s="37">
        <v>1.0999999999999999E-2</v>
      </c>
    </row>
    <row r="214" spans="7:21" ht="18" customHeight="1" x14ac:dyDescent="0.4">
      <c r="G214" s="32">
        <f t="shared" si="23"/>
        <v>45052</v>
      </c>
      <c r="H214" s="37">
        <f t="shared" si="24"/>
        <v>3.04E-2</v>
      </c>
      <c r="I214" s="32">
        <f t="shared" si="25"/>
        <v>45052</v>
      </c>
      <c r="J214" s="37">
        <f t="shared" si="26"/>
        <v>3.9140000000000001E-2</v>
      </c>
      <c r="K214" s="32">
        <f t="shared" si="27"/>
        <v>44698</v>
      </c>
      <c r="L214" s="37">
        <v>1.0999999999999999E-2</v>
      </c>
      <c r="P214" s="32">
        <v>45052</v>
      </c>
      <c r="Q214" s="37">
        <v>3.9140000000000001E-2</v>
      </c>
      <c r="R214" s="32">
        <v>45052</v>
      </c>
      <c r="S214" s="37">
        <v>3.9140000000000001E-2</v>
      </c>
      <c r="T214" s="32">
        <v>44698</v>
      </c>
      <c r="U214" s="37">
        <v>1.0999999999999999E-2</v>
      </c>
    </row>
    <row r="215" spans="7:21" ht="18" customHeight="1" x14ac:dyDescent="0.4">
      <c r="G215" s="32">
        <f t="shared" si="23"/>
        <v>45053</v>
      </c>
      <c r="H215" s="37">
        <f t="shared" si="24"/>
        <v>3.04E-2</v>
      </c>
      <c r="I215" s="32">
        <f t="shared" si="25"/>
        <v>45053</v>
      </c>
      <c r="J215" s="37">
        <f t="shared" si="26"/>
        <v>3.9140000000000001E-2</v>
      </c>
      <c r="K215" s="32">
        <f t="shared" si="27"/>
        <v>44699</v>
      </c>
      <c r="L215" s="37">
        <v>1.0999999999999999E-2</v>
      </c>
      <c r="P215" s="32">
        <v>45053</v>
      </c>
      <c r="Q215" s="37">
        <v>3.9140000000000001E-2</v>
      </c>
      <c r="R215" s="32">
        <v>45053</v>
      </c>
      <c r="S215" s="37">
        <v>3.9140000000000001E-2</v>
      </c>
      <c r="T215" s="32">
        <v>44699</v>
      </c>
      <c r="U215" s="37">
        <v>1.0999999999999999E-2</v>
      </c>
    </row>
    <row r="216" spans="7:21" ht="18" customHeight="1" x14ac:dyDescent="0.4">
      <c r="G216" s="32">
        <f t="shared" si="23"/>
        <v>45054</v>
      </c>
      <c r="H216" s="37">
        <f t="shared" si="24"/>
        <v>3.04E-2</v>
      </c>
      <c r="I216" s="32">
        <f t="shared" si="25"/>
        <v>45054</v>
      </c>
      <c r="J216" s="37">
        <f t="shared" si="26"/>
        <v>3.9140000000000001E-2</v>
      </c>
      <c r="K216" s="32">
        <f t="shared" si="27"/>
        <v>44700</v>
      </c>
      <c r="L216" s="37">
        <v>1.0999999999999999E-2</v>
      </c>
      <c r="P216" s="32">
        <v>45054</v>
      </c>
      <c r="Q216" s="37">
        <v>3.9140000000000001E-2</v>
      </c>
      <c r="R216" s="32">
        <v>45054</v>
      </c>
      <c r="S216" s="37">
        <v>3.9140000000000001E-2</v>
      </c>
      <c r="T216" s="32">
        <v>44700</v>
      </c>
      <c r="U216" s="37">
        <v>1.0999999999999999E-2</v>
      </c>
    </row>
    <row r="217" spans="7:21" ht="18" customHeight="1" x14ac:dyDescent="0.4">
      <c r="G217" s="32">
        <f t="shared" si="23"/>
        <v>45055</v>
      </c>
      <c r="H217" s="37">
        <f t="shared" si="24"/>
        <v>3.04E-2</v>
      </c>
      <c r="I217" s="32">
        <f t="shared" si="25"/>
        <v>45055</v>
      </c>
      <c r="J217" s="37">
        <f t="shared" si="26"/>
        <v>3.9140000000000001E-2</v>
      </c>
      <c r="K217" s="32">
        <f t="shared" si="27"/>
        <v>44701</v>
      </c>
      <c r="L217" s="37">
        <v>1.0999999999999999E-2</v>
      </c>
      <c r="P217" s="32">
        <v>45055</v>
      </c>
      <c r="Q217" s="37">
        <v>3.9140000000000001E-2</v>
      </c>
      <c r="R217" s="32">
        <v>45055</v>
      </c>
      <c r="S217" s="37">
        <v>3.9140000000000001E-2</v>
      </c>
      <c r="T217" s="32">
        <v>44701</v>
      </c>
      <c r="U217" s="37">
        <v>1.0999999999999999E-2</v>
      </c>
    </row>
    <row r="218" spans="7:21" ht="18" customHeight="1" x14ac:dyDescent="0.4">
      <c r="G218" s="32"/>
      <c r="H218" s="37"/>
      <c r="I218" s="32"/>
      <c r="J218" s="37"/>
      <c r="K218" s="32"/>
      <c r="L218" s="37"/>
    </row>
    <row r="219" spans="7:21" ht="18" customHeight="1" x14ac:dyDescent="0.4">
      <c r="G219" s="32"/>
      <c r="H219" s="37"/>
      <c r="I219" s="32"/>
      <c r="J219" s="37"/>
      <c r="K219" s="32"/>
      <c r="L219" s="37"/>
    </row>
    <row r="220" spans="7:21" ht="18" customHeight="1" x14ac:dyDescent="0.4">
      <c r="G220" s="32"/>
      <c r="H220" s="37"/>
      <c r="I220" s="32"/>
      <c r="J220" s="37"/>
      <c r="K220" s="32"/>
      <c r="L220" s="37"/>
    </row>
    <row r="221" spans="7:21" ht="18" customHeight="1" x14ac:dyDescent="0.4">
      <c r="G221" s="32"/>
      <c r="H221" s="37"/>
      <c r="I221" s="32"/>
      <c r="J221" s="37"/>
      <c r="K221" s="32"/>
      <c r="L221" s="37"/>
    </row>
    <row r="222" spans="7:21" ht="18" customHeight="1" x14ac:dyDescent="0.4">
      <c r="G222" s="32"/>
      <c r="H222" s="37"/>
      <c r="I222" s="32"/>
      <c r="J222" s="37"/>
      <c r="K222" s="32"/>
      <c r="L222" s="37"/>
    </row>
    <row r="223" spans="7:21" ht="18" customHeight="1" x14ac:dyDescent="0.4">
      <c r="G223" s="32"/>
      <c r="H223" s="37"/>
      <c r="I223" s="32"/>
      <c r="J223" s="37"/>
      <c r="K223" s="32"/>
      <c r="L223" s="37"/>
    </row>
    <row r="224" spans="7:21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zoomScale="85" zoomScaleNormal="85" workbookViewId="0">
      <selection activeCell="D19" sqref="D19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73"/>
    <col min="3" max="5" width="13.8984375" style="61"/>
    <col min="6" max="8" width="13.8984375" style="74"/>
    <col min="9" max="9" width="13.8984375" style="75"/>
    <col min="10" max="12" width="13.8984375" style="61"/>
    <col min="13" max="15" width="13.8984375" style="74"/>
    <col min="16" max="16" width="13.8984375" style="76"/>
    <col min="17" max="17" width="13.8984375" style="82"/>
    <col min="18" max="18" width="13.8984375" style="74"/>
    <col min="19" max="19" width="0" style="74" hidden="1" customWidth="1"/>
    <col min="20" max="20" width="13.8984375" style="76"/>
    <col min="21" max="21" width="13.8984375" style="82"/>
    <col min="22" max="22" width="13.8984375" style="74"/>
    <col min="23" max="23" width="0" style="74" hidden="1" customWidth="1"/>
    <col min="24" max="24" width="13.8984375" style="21"/>
    <col min="25" max="25" width="13.8984375" style="82"/>
    <col min="26" max="26" width="13.8984375" style="74"/>
    <col min="27" max="27" width="0" style="74" hidden="1" customWidth="1"/>
    <col min="28" max="28" width="13.8984375" style="76"/>
    <col min="29" max="29" width="13.8984375" style="82"/>
    <col min="30" max="30" width="13.8984375" style="74"/>
    <col min="31" max="31" width="0" style="74" hidden="1" customWidth="1"/>
    <col min="32" max="32" width="13.8984375" style="76"/>
    <col min="33" max="33" width="13.8984375" style="82"/>
    <col min="34" max="34" width="13.8984375" style="74"/>
    <col min="35" max="35" width="0" style="74" hidden="1" customWidth="1"/>
    <col min="36" max="36" width="13.8984375" style="76"/>
    <col min="37" max="37" width="13.8984375" style="82"/>
    <col min="38" max="38" width="13.8984375" style="74"/>
    <col min="39" max="39" width="0" style="74" hidden="1" customWidth="1"/>
    <col min="40" max="40" width="13.8984375" style="76"/>
    <col min="41" max="41" width="13.8984375" style="82"/>
    <col min="42" max="42" width="13.8984375" style="74"/>
    <col min="43" max="43" width="0" style="74" hidden="1" customWidth="1"/>
    <col min="44" max="44" width="13.8984375" style="76"/>
    <col min="45" max="45" width="13.8984375" style="82"/>
    <col min="46" max="46" width="13.8984375" style="74"/>
    <col min="47" max="47" width="0" style="74" hidden="1" customWidth="1"/>
    <col min="48" max="16384" width="13.8984375" style="21"/>
  </cols>
  <sheetData>
    <row r="1" spans="1:47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ref="M1" si="1">L1+1</f>
        <v>13</v>
      </c>
      <c r="N1" s="21">
        <f t="shared" ref="N1" si="2">M1+1</f>
        <v>14</v>
      </c>
      <c r="O1" s="21">
        <f t="shared" ref="O1" si="3">N1+1</f>
        <v>15</v>
      </c>
      <c r="P1" s="21">
        <f t="shared" ref="P1" si="4">O1+1</f>
        <v>16</v>
      </c>
      <c r="Q1" s="21">
        <f t="shared" ref="Q1" si="5">P1+1</f>
        <v>17</v>
      </c>
      <c r="R1" s="21">
        <f t="shared" ref="R1" si="6">Q1+1</f>
        <v>18</v>
      </c>
      <c r="S1" s="21">
        <f t="shared" ref="S1" si="7">R1+1</f>
        <v>19</v>
      </c>
      <c r="T1" s="21">
        <f t="shared" ref="T1" si="8">S1+1</f>
        <v>20</v>
      </c>
      <c r="U1" s="21">
        <f t="shared" ref="U1" si="9">T1+1</f>
        <v>21</v>
      </c>
      <c r="V1" s="21">
        <f t="shared" ref="V1" si="10">U1+1</f>
        <v>22</v>
      </c>
      <c r="W1" s="21">
        <f t="shared" ref="W1" si="11">V1+1</f>
        <v>23</v>
      </c>
      <c r="X1" s="21">
        <f t="shared" ref="X1" si="12">W1+1</f>
        <v>24</v>
      </c>
      <c r="Y1" s="21">
        <f t="shared" ref="Y1" si="13">X1+1</f>
        <v>25</v>
      </c>
      <c r="Z1" s="21">
        <f t="shared" ref="Z1" si="14">Y1+1</f>
        <v>26</v>
      </c>
      <c r="AA1" s="21">
        <f t="shared" ref="AA1" si="15">Z1+1</f>
        <v>27</v>
      </c>
      <c r="AB1" s="21">
        <f t="shared" ref="AB1" si="16">AA1+1</f>
        <v>28</v>
      </c>
      <c r="AC1" s="21">
        <f t="shared" ref="AC1" si="17">AB1+1</f>
        <v>29</v>
      </c>
      <c r="AD1" s="21">
        <f t="shared" ref="AD1" si="18">AC1+1</f>
        <v>30</v>
      </c>
      <c r="AE1" s="21">
        <f t="shared" ref="AE1" si="19">AD1+1</f>
        <v>31</v>
      </c>
      <c r="AF1" s="21">
        <f t="shared" ref="AF1" si="20">AE1+1</f>
        <v>32</v>
      </c>
      <c r="AG1" s="21">
        <f t="shared" ref="AG1" si="21">AF1+1</f>
        <v>33</v>
      </c>
      <c r="AH1" s="21">
        <f t="shared" ref="AH1" si="22">AG1+1</f>
        <v>34</v>
      </c>
      <c r="AI1" s="21">
        <f t="shared" ref="AI1" si="23">AH1+1</f>
        <v>35</v>
      </c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</row>
    <row r="2" spans="1:47" x14ac:dyDescent="0.4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</row>
    <row r="3" spans="1:47" x14ac:dyDescent="0.4">
      <c r="B3" s="21"/>
      <c r="C3" s="21"/>
      <c r="D3" s="21"/>
      <c r="E3" s="21"/>
      <c r="F3" s="21"/>
      <c r="G3" s="21"/>
      <c r="H3" s="21"/>
      <c r="I3" s="21"/>
      <c r="J3" s="21"/>
      <c r="K3" s="21"/>
      <c r="L3" s="78" t="s">
        <v>93</v>
      </c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</row>
    <row r="4" spans="1:47" x14ac:dyDescent="0.4">
      <c r="B4" s="193" t="s">
        <v>55</v>
      </c>
      <c r="C4" s="193"/>
      <c r="D4" s="194">
        <v>10000</v>
      </c>
      <c r="E4" s="194"/>
      <c r="F4" s="21"/>
      <c r="G4" s="195" t="s">
        <v>73</v>
      </c>
      <c r="H4" s="196"/>
      <c r="I4" s="197">
        <v>2026013045.6967492</v>
      </c>
      <c r="J4" s="198"/>
      <c r="K4" s="21"/>
      <c r="L4" s="77">
        <v>44887.700543981482</v>
      </c>
      <c r="M4" s="1" t="s">
        <v>5</v>
      </c>
      <c r="N4" s="97" t="s">
        <v>6</v>
      </c>
      <c r="O4" s="97"/>
      <c r="P4" s="21"/>
      <c r="Q4" s="21"/>
      <c r="R4" s="21"/>
      <c r="S4" s="21"/>
      <c r="T4" s="21"/>
      <c r="U4" s="21"/>
      <c r="V4" s="21"/>
      <c r="W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</row>
    <row r="5" spans="1:47" x14ac:dyDescent="0.4">
      <c r="B5" s="193" t="s">
        <v>30</v>
      </c>
      <c r="C5" s="193"/>
      <c r="D5" s="194">
        <v>0</v>
      </c>
      <c r="E5" s="194"/>
      <c r="F5" s="21"/>
      <c r="G5" s="195" t="s">
        <v>74</v>
      </c>
      <c r="H5" s="196"/>
      <c r="I5" s="197">
        <v>2397476810.9091411</v>
      </c>
      <c r="J5" s="198"/>
      <c r="K5" s="21"/>
      <c r="L5" s="77">
        <v>44887.700543981482</v>
      </c>
      <c r="M5" s="21"/>
      <c r="N5" s="97"/>
      <c r="O5" s="97"/>
      <c r="P5" s="21"/>
      <c r="Q5" s="21"/>
      <c r="R5" s="21"/>
      <c r="S5" s="21"/>
      <c r="T5" s="21"/>
      <c r="U5" s="21"/>
      <c r="V5" s="21"/>
      <c r="W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</row>
    <row r="6" spans="1:47" x14ac:dyDescent="0.4">
      <c r="B6" s="21"/>
      <c r="C6" s="21"/>
      <c r="D6" s="21"/>
      <c r="E6" s="21"/>
      <c r="F6" s="21"/>
      <c r="G6" s="195" t="s">
        <v>106</v>
      </c>
      <c r="H6" s="196"/>
      <c r="I6" s="197">
        <v>249214742.8257221</v>
      </c>
      <c r="J6" s="198"/>
      <c r="K6" s="72"/>
      <c r="L6" s="31"/>
      <c r="M6" s="21"/>
      <c r="N6" s="97"/>
      <c r="O6" s="97"/>
      <c r="P6" s="21"/>
      <c r="Q6" s="21"/>
      <c r="R6" s="21"/>
      <c r="S6" s="21"/>
      <c r="T6" s="21"/>
      <c r="U6" s="21"/>
      <c r="V6" s="21"/>
      <c r="W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</row>
    <row r="7" spans="1:47" x14ac:dyDescent="0.4">
      <c r="B7" s="21"/>
      <c r="C7" s="21"/>
      <c r="D7" s="21">
        <v>1</v>
      </c>
      <c r="E7" s="21"/>
      <c r="F7" s="21"/>
      <c r="G7" s="195" t="s">
        <v>88</v>
      </c>
      <c r="H7" s="196"/>
      <c r="I7" s="197">
        <v>620678508.03811395</v>
      </c>
      <c r="J7" s="198"/>
      <c r="K7" s="72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</row>
    <row r="8" spans="1:47" x14ac:dyDescent="0.4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</row>
    <row r="9" spans="1:47" x14ac:dyDescent="0.4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</row>
    <row r="10" spans="1:47" x14ac:dyDescent="0.4">
      <c r="A10" s="65"/>
      <c r="B10" s="192" t="s">
        <v>61</v>
      </c>
      <c r="C10" s="192"/>
      <c r="D10" s="192"/>
      <c r="E10" s="192"/>
      <c r="F10" s="192"/>
      <c r="G10" s="192"/>
      <c r="H10" s="192"/>
      <c r="I10" s="192" t="s">
        <v>64</v>
      </c>
      <c r="J10" s="192"/>
      <c r="K10" s="192"/>
      <c r="L10" s="192"/>
      <c r="M10" s="192"/>
      <c r="N10" s="192"/>
      <c r="O10" s="192"/>
      <c r="P10" s="21"/>
      <c r="Q10" s="192" t="s">
        <v>98</v>
      </c>
      <c r="R10" s="192"/>
      <c r="S10" s="21"/>
      <c r="T10" s="21"/>
      <c r="U10" s="192" t="s">
        <v>99</v>
      </c>
      <c r="V10" s="192"/>
      <c r="W10" s="21"/>
      <c r="Y10" s="192" t="s">
        <v>100</v>
      </c>
      <c r="Z10" s="192"/>
      <c r="AA10" s="21"/>
      <c r="AB10" s="21"/>
      <c r="AC10" s="192" t="s">
        <v>101</v>
      </c>
      <c r="AD10" s="192"/>
      <c r="AE10" s="21"/>
      <c r="AF10" s="21"/>
      <c r="AG10" s="192" t="s">
        <v>102</v>
      </c>
      <c r="AH10" s="192"/>
      <c r="AI10" s="21"/>
      <c r="AJ10" s="21"/>
      <c r="AK10" s="192" t="s">
        <v>103</v>
      </c>
      <c r="AL10" s="192"/>
      <c r="AM10" s="21"/>
      <c r="AN10" s="21"/>
      <c r="AO10" s="192" t="s">
        <v>104</v>
      </c>
      <c r="AP10" s="192"/>
      <c r="AQ10" s="21"/>
      <c r="AR10" s="21"/>
      <c r="AS10" s="192" t="s">
        <v>105</v>
      </c>
      <c r="AT10" s="192"/>
      <c r="AU10" s="21"/>
    </row>
    <row r="11" spans="1:47" x14ac:dyDescent="0.4">
      <c r="B11" s="56" t="s">
        <v>62</v>
      </c>
      <c r="C11" s="57" t="str">
        <f>IF(발행정보!E14=0, "금리1", "Spread1")</f>
        <v>금리1</v>
      </c>
      <c r="D11" s="58" t="str">
        <f>IF(발행정보!E23=0, "금리2", "Spread2")</f>
        <v>금리2</v>
      </c>
      <c r="E11" s="59" t="str">
        <f>IF(발행정보!E32=0, "금리3", "Spread3")</f>
        <v>금리3</v>
      </c>
      <c r="F11" s="59" t="s">
        <v>75</v>
      </c>
      <c r="G11" s="58" t="s">
        <v>66</v>
      </c>
      <c r="H11" s="59" t="s">
        <v>65</v>
      </c>
      <c r="I11" s="56" t="s">
        <v>62</v>
      </c>
      <c r="J11" s="57" t="str">
        <f>IF(발행정보!AG14=0, "금리1", "Spread1")</f>
        <v>금리1</v>
      </c>
      <c r="K11" s="58" t="str">
        <f>IF(발행정보!AG23=0, "금리2", "Spread2")</f>
        <v>금리2</v>
      </c>
      <c r="L11" s="59" t="str">
        <f>IF(발행정보!AG32=0, "금리3", "Spread3")</f>
        <v>금리3</v>
      </c>
      <c r="M11" s="59" t="s">
        <v>63</v>
      </c>
      <c r="N11" s="58" t="s">
        <v>66</v>
      </c>
      <c r="O11" s="59" t="s">
        <v>65</v>
      </c>
      <c r="P11" s="21"/>
      <c r="Q11" s="57" t="s">
        <v>96</v>
      </c>
      <c r="R11" s="74">
        <v>0</v>
      </c>
      <c r="S11" s="21"/>
      <c r="T11" s="21"/>
      <c r="U11" s="57" t="s">
        <v>96</v>
      </c>
      <c r="V11" s="74">
        <v>0</v>
      </c>
      <c r="W11" s="21"/>
      <c r="Y11" s="57" t="s">
        <v>96</v>
      </c>
      <c r="Z11" s="74">
        <v>0</v>
      </c>
      <c r="AA11" s="21"/>
      <c r="AB11" s="21"/>
      <c r="AC11" s="57" t="s">
        <v>96</v>
      </c>
      <c r="AD11" s="74">
        <v>0</v>
      </c>
      <c r="AE11" s="21"/>
      <c r="AF11" s="21"/>
      <c r="AG11" s="57" t="s">
        <v>96</v>
      </c>
      <c r="AH11" s="74">
        <v>0</v>
      </c>
      <c r="AI11" s="21"/>
      <c r="AJ11" s="21"/>
      <c r="AK11" s="57" t="s">
        <v>96</v>
      </c>
      <c r="AL11" s="74">
        <v>0</v>
      </c>
      <c r="AM11" s="21"/>
      <c r="AN11" s="21"/>
      <c r="AO11" s="57" t="s">
        <v>96</v>
      </c>
      <c r="AP11" s="74">
        <v>0</v>
      </c>
      <c r="AQ11" s="21"/>
      <c r="AR11" s="21"/>
      <c r="AS11" s="57" t="s">
        <v>96</v>
      </c>
      <c r="AT11" s="74">
        <v>0</v>
      </c>
      <c r="AU11" s="21"/>
    </row>
    <row r="12" spans="1:47" x14ac:dyDescent="0.4">
      <c r="B12" s="60">
        <v>44938</v>
      </c>
      <c r="C12" s="61">
        <v>3.0399999999995049E-2</v>
      </c>
      <c r="F12" s="62"/>
      <c r="G12" s="63">
        <v>76624657.534227997</v>
      </c>
      <c r="H12" s="62">
        <v>0.99181235223143582</v>
      </c>
      <c r="I12" s="60">
        <v>44938</v>
      </c>
      <c r="J12" s="61">
        <v>3.9140000000005316E-2</v>
      </c>
      <c r="M12" s="62"/>
      <c r="N12" s="63">
        <v>118818630.13699453</v>
      </c>
      <c r="O12" s="62">
        <v>0.99181235223143582</v>
      </c>
      <c r="P12" s="21"/>
      <c r="Q12" s="21"/>
      <c r="R12" s="21"/>
      <c r="S12" s="21"/>
      <c r="T12" s="21"/>
      <c r="U12" s="21"/>
      <c r="V12" s="21"/>
      <c r="W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</row>
    <row r="13" spans="1:47" x14ac:dyDescent="0.4">
      <c r="B13" s="60">
        <v>45028</v>
      </c>
      <c r="C13" s="61">
        <v>3.4413370842029209E-2</v>
      </c>
      <c r="F13" s="62"/>
      <c r="G13" s="63">
        <v>84854887.007743821</v>
      </c>
      <c r="H13" s="62">
        <v>0.98345742493951349</v>
      </c>
      <c r="I13" s="60">
        <v>45028</v>
      </c>
      <c r="J13" s="61">
        <v>4.9436968314583891E-2</v>
      </c>
      <c r="M13" s="62"/>
      <c r="N13" s="63">
        <v>141625401.32363117</v>
      </c>
      <c r="O13" s="62">
        <v>0.98345742493951349</v>
      </c>
      <c r="P13" s="21"/>
      <c r="Q13" s="192" t="s">
        <v>97</v>
      </c>
      <c r="R13" s="192"/>
      <c r="S13" s="80"/>
      <c r="T13" s="21"/>
      <c r="U13" s="192" t="s">
        <v>97</v>
      </c>
      <c r="V13" s="192"/>
      <c r="W13" s="80"/>
      <c r="Y13" s="192" t="s">
        <v>97</v>
      </c>
      <c r="Z13" s="192"/>
      <c r="AA13" s="80"/>
      <c r="AB13" s="21"/>
      <c r="AC13" s="192" t="s">
        <v>97</v>
      </c>
      <c r="AD13" s="192"/>
      <c r="AE13" s="80"/>
      <c r="AF13" s="21"/>
      <c r="AG13" s="192" t="s">
        <v>97</v>
      </c>
      <c r="AH13" s="192"/>
      <c r="AI13" s="80"/>
      <c r="AJ13" s="21"/>
      <c r="AK13" s="192" t="s">
        <v>97</v>
      </c>
      <c r="AL13" s="192"/>
      <c r="AM13" s="80"/>
      <c r="AN13" s="21"/>
      <c r="AO13" s="192" t="s">
        <v>97</v>
      </c>
      <c r="AP13" s="192"/>
      <c r="AQ13" s="80"/>
      <c r="AR13" s="21"/>
      <c r="AS13" s="192" t="s">
        <v>97</v>
      </c>
      <c r="AT13" s="192"/>
      <c r="AU13" s="80"/>
    </row>
    <row r="14" spans="1:47" x14ac:dyDescent="0.4">
      <c r="B14" s="60">
        <v>45119</v>
      </c>
      <c r="C14" s="61">
        <v>3.5116860375620951E-2</v>
      </c>
      <c r="F14" s="62"/>
      <c r="G14" s="63">
        <v>87551624.498123333</v>
      </c>
      <c r="H14" s="62">
        <v>0.97490518279827487</v>
      </c>
      <c r="I14" s="60">
        <v>45119</v>
      </c>
      <c r="J14" s="61">
        <v>4.6403872001502471E-2</v>
      </c>
      <c r="M14" s="62"/>
      <c r="N14" s="63">
        <v>135637050.74347198</v>
      </c>
      <c r="O14" s="62">
        <v>0.97490518279827487</v>
      </c>
      <c r="P14" s="21"/>
      <c r="Q14" s="56" t="s">
        <v>95</v>
      </c>
      <c r="R14" s="57" t="s">
        <v>96</v>
      </c>
      <c r="S14" s="81"/>
      <c r="T14" s="21"/>
      <c r="U14" s="56" t="s">
        <v>95</v>
      </c>
      <c r="V14" s="57" t="s">
        <v>96</v>
      </c>
      <c r="W14" s="81"/>
      <c r="Y14" s="56" t="s">
        <v>95</v>
      </c>
      <c r="Z14" s="57" t="s">
        <v>96</v>
      </c>
      <c r="AA14" s="81"/>
      <c r="AB14" s="21"/>
      <c r="AC14" s="56" t="s">
        <v>95</v>
      </c>
      <c r="AD14" s="57" t="s">
        <v>96</v>
      </c>
      <c r="AE14" s="81"/>
      <c r="AF14" s="21"/>
      <c r="AG14" s="56" t="s">
        <v>95</v>
      </c>
      <c r="AH14" s="57" t="s">
        <v>96</v>
      </c>
      <c r="AI14" s="81"/>
      <c r="AJ14" s="21"/>
      <c r="AK14" s="56" t="s">
        <v>95</v>
      </c>
      <c r="AL14" s="57" t="s">
        <v>96</v>
      </c>
      <c r="AM14" s="81"/>
      <c r="AN14" s="21"/>
      <c r="AO14" s="56" t="s">
        <v>95</v>
      </c>
      <c r="AP14" s="57" t="s">
        <v>96</v>
      </c>
      <c r="AQ14" s="81"/>
      <c r="AR14" s="21"/>
      <c r="AS14" s="56" t="s">
        <v>95</v>
      </c>
      <c r="AT14" s="57" t="s">
        <v>96</v>
      </c>
      <c r="AU14" s="81"/>
    </row>
    <row r="15" spans="1:47" x14ac:dyDescent="0.4">
      <c r="B15" s="60">
        <v>45211</v>
      </c>
      <c r="C15" s="61">
        <v>3.6151483497887792E-2</v>
      </c>
      <c r="F15" s="62"/>
      <c r="G15" s="63">
        <v>91121547.446730912</v>
      </c>
      <c r="H15" s="62">
        <v>0.96608674191567756</v>
      </c>
      <c r="I15" s="60">
        <v>45211</v>
      </c>
      <c r="J15" s="61">
        <v>4.7004478424845023E-2</v>
      </c>
      <c r="M15" s="62"/>
      <c r="N15" s="63">
        <v>138641425.07084244</v>
      </c>
      <c r="O15" s="62">
        <v>0.96608674191567756</v>
      </c>
      <c r="P15" s="21"/>
      <c r="Q15" s="82">
        <v>2.7397260273972603E-3</v>
      </c>
      <c r="R15" s="74">
        <v>0</v>
      </c>
      <c r="U15" s="82">
        <v>0.25</v>
      </c>
      <c r="V15" s="74">
        <v>0</v>
      </c>
      <c r="Y15" s="82">
        <v>2.7397260273972603E-3</v>
      </c>
      <c r="Z15" s="74">
        <v>0</v>
      </c>
      <c r="AC15" s="82">
        <v>2.7397260273972603E-3</v>
      </c>
      <c r="AD15" s="74">
        <v>0</v>
      </c>
      <c r="AG15" s="82">
        <v>2.7397260273972603E-3</v>
      </c>
      <c r="AH15" s="74">
        <v>0</v>
      </c>
      <c r="AK15" s="82">
        <v>0.25</v>
      </c>
      <c r="AL15" s="74">
        <v>0</v>
      </c>
      <c r="AO15" s="82">
        <v>2.7397260273972603E-3</v>
      </c>
      <c r="AP15" s="74">
        <v>0</v>
      </c>
      <c r="AS15" s="82">
        <v>2.7397260273972603E-3</v>
      </c>
      <c r="AT15" s="74">
        <v>0</v>
      </c>
    </row>
    <row r="16" spans="1:47" x14ac:dyDescent="0.4">
      <c r="B16" s="60">
        <v>45303</v>
      </c>
      <c r="C16" s="61">
        <v>4.8114912696361416E-2</v>
      </c>
      <c r="F16" s="62"/>
      <c r="G16" s="63">
        <v>121275944.3305544</v>
      </c>
      <c r="H16" s="62">
        <v>0.95440015614647655</v>
      </c>
      <c r="I16" s="60">
        <v>45303</v>
      </c>
      <c r="J16" s="61">
        <v>4.4786663618115369E-2</v>
      </c>
      <c r="M16" s="62"/>
      <c r="N16" s="63">
        <v>133051316.51689336</v>
      </c>
      <c r="O16" s="62">
        <v>0.95440015614647655</v>
      </c>
      <c r="P16" s="21"/>
      <c r="Q16" s="82">
        <v>0.25</v>
      </c>
      <c r="R16" s="74">
        <v>0</v>
      </c>
      <c r="U16" s="82">
        <v>0.5</v>
      </c>
      <c r="V16" s="74">
        <v>0</v>
      </c>
      <c r="Y16" s="82">
        <v>0.25</v>
      </c>
      <c r="Z16" s="74">
        <v>0</v>
      </c>
      <c r="AC16" s="82">
        <v>0.25</v>
      </c>
      <c r="AD16" s="74">
        <v>0</v>
      </c>
      <c r="AG16" s="82">
        <v>0.25</v>
      </c>
      <c r="AH16" s="74">
        <v>0</v>
      </c>
      <c r="AK16" s="82">
        <v>0.5</v>
      </c>
      <c r="AL16" s="74">
        <v>0</v>
      </c>
      <c r="AO16" s="82">
        <v>0.25</v>
      </c>
      <c r="AP16" s="74">
        <v>0</v>
      </c>
      <c r="AS16" s="82">
        <v>0.25</v>
      </c>
      <c r="AT16" s="74">
        <v>0</v>
      </c>
    </row>
    <row r="17" spans="2:46" x14ac:dyDescent="0.4">
      <c r="B17" s="60">
        <v>45394</v>
      </c>
      <c r="C17" s="61">
        <v>5.4052788150362144E-2</v>
      </c>
      <c r="F17" s="62"/>
      <c r="G17" s="63">
        <v>134761745.79953253</v>
      </c>
      <c r="H17" s="62">
        <v>0.94169067130477691</v>
      </c>
      <c r="I17" s="60">
        <v>45394</v>
      </c>
      <c r="J17" s="61">
        <v>4.4364602949403163E-2</v>
      </c>
      <c r="M17" s="62"/>
      <c r="N17" s="63">
        <v>130552845.70947072</v>
      </c>
      <c r="O17" s="62">
        <v>0.94169067130477691</v>
      </c>
      <c r="P17" s="21"/>
      <c r="Q17" s="82">
        <v>0.5</v>
      </c>
      <c r="R17" s="74">
        <v>0</v>
      </c>
      <c r="U17" s="82">
        <v>1</v>
      </c>
      <c r="V17" s="74">
        <v>0</v>
      </c>
      <c r="Y17" s="82">
        <v>0.5</v>
      </c>
      <c r="Z17" s="74">
        <v>0</v>
      </c>
      <c r="AC17" s="82">
        <v>0.5</v>
      </c>
      <c r="AD17" s="74">
        <v>0</v>
      </c>
      <c r="AG17" s="82">
        <v>0.5</v>
      </c>
      <c r="AH17" s="74">
        <v>0</v>
      </c>
      <c r="AK17" s="82">
        <v>1</v>
      </c>
      <c r="AL17" s="74">
        <v>0</v>
      </c>
      <c r="AO17" s="82">
        <v>0.5</v>
      </c>
      <c r="AP17" s="74">
        <v>0</v>
      </c>
      <c r="AS17" s="82">
        <v>0.5</v>
      </c>
      <c r="AT17" s="74">
        <v>0</v>
      </c>
    </row>
    <row r="18" spans="2:46" x14ac:dyDescent="0.4">
      <c r="B18" s="60">
        <v>45485</v>
      </c>
      <c r="C18" s="61">
        <v>4.8470636634928441E-2</v>
      </c>
      <c r="F18" s="62"/>
      <c r="G18" s="63">
        <v>120844600.92543764</v>
      </c>
      <c r="H18" s="62">
        <v>0.93051914532059699</v>
      </c>
      <c r="I18" s="60">
        <v>45485</v>
      </c>
      <c r="J18" s="61">
        <v>4.4013818412834617E-2</v>
      </c>
      <c r="M18" s="62"/>
      <c r="N18" s="63">
        <v>129678287.00186148</v>
      </c>
      <c r="O18" s="62">
        <v>0.93051914532059699</v>
      </c>
      <c r="P18" s="21"/>
      <c r="Q18" s="82">
        <v>1</v>
      </c>
      <c r="R18" s="74">
        <v>0</v>
      </c>
      <c r="U18" s="82">
        <v>2</v>
      </c>
      <c r="V18" s="74">
        <v>0</v>
      </c>
      <c r="Y18" s="82">
        <v>1</v>
      </c>
      <c r="Z18" s="74">
        <v>0</v>
      </c>
      <c r="AC18" s="82">
        <v>1</v>
      </c>
      <c r="AD18" s="74">
        <v>0</v>
      </c>
      <c r="AG18" s="82">
        <v>1</v>
      </c>
      <c r="AH18" s="74">
        <v>0</v>
      </c>
      <c r="AK18" s="82">
        <v>2</v>
      </c>
      <c r="AL18" s="74">
        <v>0</v>
      </c>
      <c r="AO18" s="82">
        <v>1</v>
      </c>
      <c r="AP18" s="74">
        <v>0</v>
      </c>
      <c r="AS18" s="82">
        <v>1</v>
      </c>
      <c r="AT18" s="74">
        <v>0</v>
      </c>
    </row>
    <row r="19" spans="2:46" x14ac:dyDescent="0.4">
      <c r="B19" s="60">
        <v>45577</v>
      </c>
      <c r="C19" s="61">
        <v>5.0561116283765951E-2</v>
      </c>
      <c r="F19" s="62"/>
      <c r="G19" s="63">
        <v>127441717.75634174</v>
      </c>
      <c r="H19" s="62">
        <v>0.91885517942115502</v>
      </c>
      <c r="I19" s="60">
        <v>45577</v>
      </c>
      <c r="J19" s="61">
        <v>4.3698993930962639E-2</v>
      </c>
      <c r="M19" s="62"/>
      <c r="N19" s="63">
        <v>130309792.92187831</v>
      </c>
      <c r="O19" s="62">
        <v>0.91885517942115502</v>
      </c>
      <c r="P19" s="21"/>
      <c r="Q19" s="82">
        <v>1.5</v>
      </c>
      <c r="R19" s="74">
        <v>0</v>
      </c>
      <c r="U19" s="82">
        <v>3</v>
      </c>
      <c r="V19" s="74">
        <v>0</v>
      </c>
      <c r="Y19" s="82">
        <v>1.5</v>
      </c>
      <c r="Z19" s="74">
        <v>0</v>
      </c>
      <c r="AC19" s="82">
        <v>1.5</v>
      </c>
      <c r="AD19" s="74">
        <v>0</v>
      </c>
      <c r="AG19" s="82">
        <v>1.5</v>
      </c>
      <c r="AH19" s="74">
        <v>0</v>
      </c>
      <c r="AK19" s="82">
        <v>3</v>
      </c>
      <c r="AL19" s="74">
        <v>0</v>
      </c>
      <c r="AO19" s="82">
        <v>1.5</v>
      </c>
      <c r="AP19" s="74">
        <v>0</v>
      </c>
      <c r="AS19" s="82">
        <v>1.5</v>
      </c>
      <c r="AT19" s="74">
        <v>0</v>
      </c>
    </row>
    <row r="20" spans="2:46" x14ac:dyDescent="0.4">
      <c r="B20" s="60">
        <v>45669</v>
      </c>
      <c r="C20" s="61">
        <v>4.34859965228604E-2</v>
      </c>
      <c r="F20" s="62"/>
      <c r="G20" s="64">
        <v>109608539.18090808</v>
      </c>
      <c r="H20" s="62">
        <v>0.90899688723360539</v>
      </c>
      <c r="I20" s="60">
        <v>45669</v>
      </c>
      <c r="J20" s="61">
        <v>4.4905992341056362E-2</v>
      </c>
      <c r="M20" s="62"/>
      <c r="N20" s="64">
        <v>133352090.28430681</v>
      </c>
      <c r="O20" s="62">
        <v>0.90899688723360539</v>
      </c>
      <c r="P20" s="21"/>
      <c r="Q20" s="82">
        <v>2</v>
      </c>
      <c r="R20" s="74">
        <v>0</v>
      </c>
      <c r="U20" s="82">
        <v>5</v>
      </c>
      <c r="V20" s="74">
        <v>0</v>
      </c>
      <c r="Y20" s="82">
        <v>2</v>
      </c>
      <c r="Z20" s="74">
        <v>0</v>
      </c>
      <c r="AC20" s="82">
        <v>2</v>
      </c>
      <c r="AD20" s="74">
        <v>0</v>
      </c>
      <c r="AG20" s="82">
        <v>2</v>
      </c>
      <c r="AH20" s="74">
        <v>0</v>
      </c>
      <c r="AK20" s="82">
        <v>5</v>
      </c>
      <c r="AL20" s="74">
        <v>0</v>
      </c>
      <c r="AO20" s="82">
        <v>2</v>
      </c>
      <c r="AP20" s="74">
        <v>0</v>
      </c>
      <c r="AS20" s="82">
        <v>2</v>
      </c>
      <c r="AT20" s="74">
        <v>0</v>
      </c>
    </row>
    <row r="21" spans="2:46" x14ac:dyDescent="0.4">
      <c r="B21" s="60">
        <v>45759</v>
      </c>
      <c r="C21" s="61">
        <v>4.3477834075851006E-2</v>
      </c>
      <c r="F21" s="62"/>
      <c r="G21" s="64">
        <v>107205618.26922169</v>
      </c>
      <c r="H21" s="62">
        <v>0.8994081619288582</v>
      </c>
      <c r="I21" s="60">
        <v>45759</v>
      </c>
      <c r="J21" s="61">
        <v>4.4907425800655529E-2</v>
      </c>
      <c r="M21" s="62"/>
      <c r="N21" s="64">
        <v>130456666.35778049</v>
      </c>
      <c r="O21" s="62">
        <v>0.8994081619288582</v>
      </c>
      <c r="P21" s="21"/>
      <c r="Q21" s="82">
        <v>2</v>
      </c>
      <c r="R21" s="74">
        <v>0</v>
      </c>
      <c r="U21" s="82">
        <v>7</v>
      </c>
      <c r="V21" s="74">
        <v>0</v>
      </c>
      <c r="Y21" s="82">
        <v>3</v>
      </c>
      <c r="Z21" s="74">
        <v>0</v>
      </c>
      <c r="AC21" s="82">
        <v>3</v>
      </c>
      <c r="AD21" s="74">
        <v>0</v>
      </c>
      <c r="AG21" s="82">
        <v>2</v>
      </c>
      <c r="AH21" s="74">
        <v>0</v>
      </c>
      <c r="AK21" s="82">
        <v>7</v>
      </c>
      <c r="AL21" s="74">
        <v>0</v>
      </c>
      <c r="AO21" s="82">
        <v>3</v>
      </c>
      <c r="AP21" s="74">
        <v>0</v>
      </c>
      <c r="AS21" s="82">
        <v>3</v>
      </c>
      <c r="AT21" s="74">
        <v>0</v>
      </c>
    </row>
    <row r="22" spans="2:46" x14ac:dyDescent="0.4">
      <c r="B22" s="60">
        <v>45850</v>
      </c>
      <c r="C22" s="61">
        <v>4.3689544135169803E-2</v>
      </c>
      <c r="F22" s="62"/>
      <c r="G22" s="64">
        <v>108924616.88494352</v>
      </c>
      <c r="H22" s="62">
        <v>0.88977910719145414</v>
      </c>
      <c r="I22" s="60">
        <v>45850</v>
      </c>
      <c r="J22" s="61">
        <v>4.4984522336349995E-2</v>
      </c>
      <c r="M22" s="62"/>
      <c r="N22" s="64">
        <v>132098398.15363975</v>
      </c>
      <c r="O22" s="62">
        <v>0.88977910719145414</v>
      </c>
      <c r="P22" s="21"/>
      <c r="Q22" s="82">
        <v>3</v>
      </c>
      <c r="R22" s="74">
        <v>0</v>
      </c>
      <c r="U22" s="82">
        <v>10</v>
      </c>
      <c r="V22" s="74">
        <v>0</v>
      </c>
      <c r="Y22" s="82">
        <v>4</v>
      </c>
      <c r="Z22" s="74">
        <v>0</v>
      </c>
      <c r="AC22" s="82">
        <v>4</v>
      </c>
      <c r="AD22" s="74">
        <v>0</v>
      </c>
      <c r="AG22" s="82">
        <v>3</v>
      </c>
      <c r="AH22" s="74">
        <v>0</v>
      </c>
      <c r="AK22" s="82">
        <v>10</v>
      </c>
      <c r="AL22" s="74">
        <v>0</v>
      </c>
      <c r="AO22" s="82">
        <v>4</v>
      </c>
      <c r="AP22" s="74">
        <v>0</v>
      </c>
      <c r="AS22" s="82">
        <v>4</v>
      </c>
      <c r="AT22" s="74">
        <v>0</v>
      </c>
    </row>
    <row r="23" spans="2:46" x14ac:dyDescent="0.4">
      <c r="B23" s="60">
        <v>45942</v>
      </c>
      <c r="C23" s="61">
        <v>4.3854410677064033E-2</v>
      </c>
      <c r="F23" s="62"/>
      <c r="G23" s="64">
        <v>110537144.72027025</v>
      </c>
      <c r="H23" s="62">
        <v>0.88012461491202887</v>
      </c>
      <c r="I23" s="60">
        <v>45942</v>
      </c>
      <c r="J23" s="61">
        <v>4.5071242172051239E-2</v>
      </c>
      <c r="M23" s="62"/>
      <c r="N23" s="64">
        <v>133768610.40626633</v>
      </c>
      <c r="O23" s="62">
        <v>0.88012461491202887</v>
      </c>
      <c r="P23" s="21"/>
      <c r="Q23" s="82">
        <v>4</v>
      </c>
      <c r="R23" s="74">
        <v>0</v>
      </c>
      <c r="U23" s="82">
        <v>20</v>
      </c>
      <c r="V23" s="74">
        <v>0</v>
      </c>
      <c r="Y23" s="82">
        <v>5</v>
      </c>
      <c r="Z23" s="74">
        <v>0</v>
      </c>
      <c r="AC23" s="82">
        <v>5</v>
      </c>
      <c r="AD23" s="74">
        <v>0</v>
      </c>
      <c r="AG23" s="82">
        <v>4</v>
      </c>
      <c r="AH23" s="74">
        <v>0</v>
      </c>
      <c r="AK23" s="82">
        <v>20</v>
      </c>
      <c r="AL23" s="74">
        <v>0</v>
      </c>
      <c r="AO23" s="82">
        <v>5</v>
      </c>
      <c r="AP23" s="74">
        <v>0</v>
      </c>
      <c r="AS23" s="82">
        <v>5</v>
      </c>
      <c r="AT23" s="74">
        <v>0</v>
      </c>
    </row>
    <row r="24" spans="2:46" x14ac:dyDescent="0.4">
      <c r="B24" s="60">
        <v>46034</v>
      </c>
      <c r="C24" s="61">
        <v>4.6263056275659208E-2</v>
      </c>
      <c r="F24" s="62"/>
      <c r="G24" s="64">
        <v>116608251.43453845</v>
      </c>
      <c r="H24" s="62">
        <v>0.87005078021321913</v>
      </c>
      <c r="I24" s="60">
        <v>46034</v>
      </c>
      <c r="J24" s="61">
        <v>4.1973283815309181E-2</v>
      </c>
      <c r="M24" s="62"/>
      <c r="N24" s="64">
        <v>125960057.83584751</v>
      </c>
      <c r="O24" s="62">
        <v>0.87005078021321913</v>
      </c>
      <c r="P24" s="21"/>
      <c r="Q24" s="82">
        <v>5</v>
      </c>
      <c r="R24" s="74">
        <v>0</v>
      </c>
      <c r="U24" s="82">
        <v>30</v>
      </c>
      <c r="V24" s="74">
        <v>0</v>
      </c>
      <c r="Y24" s="82">
        <v>6</v>
      </c>
      <c r="Z24" s="74">
        <v>0</v>
      </c>
      <c r="AC24" s="82">
        <v>6</v>
      </c>
      <c r="AD24" s="74">
        <v>0</v>
      </c>
      <c r="AG24" s="82">
        <v>5</v>
      </c>
      <c r="AH24" s="74">
        <v>0</v>
      </c>
      <c r="AK24" s="82">
        <v>30</v>
      </c>
      <c r="AL24" s="74">
        <v>0</v>
      </c>
      <c r="AO24" s="82">
        <v>6</v>
      </c>
      <c r="AP24" s="74">
        <v>0</v>
      </c>
      <c r="AS24" s="82">
        <v>6</v>
      </c>
      <c r="AT24" s="74">
        <v>0</v>
      </c>
    </row>
    <row r="25" spans="2:46" x14ac:dyDescent="0.4">
      <c r="B25" s="60">
        <v>46124</v>
      </c>
      <c r="C25" s="61">
        <v>4.688531006228619E-2</v>
      </c>
      <c r="F25" s="62"/>
      <c r="G25" s="64">
        <v>115607613.85221279</v>
      </c>
      <c r="H25" s="62">
        <v>0.86020415485029611</v>
      </c>
      <c r="I25" s="60">
        <v>46124</v>
      </c>
      <c r="J25" s="61">
        <v>4.1480369915493809E-2</v>
      </c>
      <c r="M25" s="62"/>
      <c r="N25" s="64">
        <v>122006391.57245061</v>
      </c>
      <c r="O25" s="62">
        <v>0.86020415485029611</v>
      </c>
      <c r="P25" s="21"/>
      <c r="Q25" s="82">
        <v>10</v>
      </c>
      <c r="R25" s="74">
        <v>0</v>
      </c>
      <c r="Y25" s="82">
        <v>7</v>
      </c>
      <c r="Z25" s="74">
        <v>0</v>
      </c>
      <c r="AC25" s="82">
        <v>7</v>
      </c>
      <c r="AD25" s="74">
        <v>0</v>
      </c>
      <c r="AG25" s="82">
        <v>10</v>
      </c>
      <c r="AH25" s="74">
        <v>0</v>
      </c>
      <c r="AO25" s="82">
        <v>7</v>
      </c>
      <c r="AP25" s="74">
        <v>0</v>
      </c>
      <c r="AS25" s="82">
        <v>7</v>
      </c>
      <c r="AT25" s="74">
        <v>0</v>
      </c>
    </row>
    <row r="26" spans="2:46" x14ac:dyDescent="0.4">
      <c r="B26" s="60">
        <v>46215</v>
      </c>
      <c r="C26" s="61">
        <v>4.7443446845845318E-2</v>
      </c>
      <c r="F26" s="62"/>
      <c r="G26" s="64">
        <v>118283661.99923053</v>
      </c>
      <c r="H26" s="62">
        <v>0.85026507282112718</v>
      </c>
      <c r="I26" s="60">
        <v>46215</v>
      </c>
      <c r="J26" s="61">
        <v>4.1085756237163776E-2</v>
      </c>
      <c r="M26" s="62"/>
      <c r="N26" s="64">
        <v>122378186.78306571</v>
      </c>
      <c r="O26" s="62">
        <v>0.85026507282112718</v>
      </c>
      <c r="P26" s="21"/>
      <c r="Q26" s="82">
        <v>20</v>
      </c>
      <c r="R26" s="74">
        <v>0</v>
      </c>
      <c r="Y26" s="82">
        <v>8</v>
      </c>
      <c r="Z26" s="74">
        <v>0</v>
      </c>
      <c r="AC26" s="82">
        <v>8</v>
      </c>
      <c r="AD26" s="74">
        <v>0</v>
      </c>
      <c r="AG26" s="82">
        <v>20</v>
      </c>
      <c r="AH26" s="74">
        <v>0</v>
      </c>
      <c r="AO26" s="82">
        <v>8</v>
      </c>
      <c r="AP26" s="74">
        <v>0</v>
      </c>
      <c r="AS26" s="82">
        <v>8</v>
      </c>
      <c r="AT26" s="74">
        <v>0</v>
      </c>
    </row>
    <row r="27" spans="2:46" x14ac:dyDescent="0.4">
      <c r="B27" s="60">
        <v>46307</v>
      </c>
      <c r="C27" s="61">
        <v>4.8036504596230399E-2</v>
      </c>
      <c r="F27" s="62"/>
      <c r="G27" s="64">
        <v>121078312.95488177</v>
      </c>
      <c r="H27" s="62">
        <v>0.84024033088210892</v>
      </c>
      <c r="I27" s="60">
        <v>46307</v>
      </c>
      <c r="J27" s="61">
        <v>4.0636577232574002E-2</v>
      </c>
      <c r="M27" s="62"/>
      <c r="N27" s="64">
        <v>122590824.80539219</v>
      </c>
      <c r="O27" s="62">
        <v>0.84024033088210892</v>
      </c>
      <c r="P27" s="21"/>
      <c r="Q27" s="82">
        <v>30</v>
      </c>
      <c r="R27" s="74">
        <v>0</v>
      </c>
      <c r="Y27" s="82">
        <v>9</v>
      </c>
      <c r="Z27" s="74">
        <v>0</v>
      </c>
      <c r="AC27" s="82">
        <v>9</v>
      </c>
      <c r="AD27" s="74">
        <v>0</v>
      </c>
      <c r="AG27" s="82">
        <v>30</v>
      </c>
      <c r="AH27" s="74">
        <v>0</v>
      </c>
      <c r="AO27" s="82">
        <v>9</v>
      </c>
      <c r="AP27" s="74">
        <v>0</v>
      </c>
      <c r="AS27" s="82">
        <v>9</v>
      </c>
      <c r="AT27" s="74">
        <v>0</v>
      </c>
    </row>
    <row r="28" spans="2:46" x14ac:dyDescent="0.4">
      <c r="B28" s="60">
        <v>46399</v>
      </c>
      <c r="C28" s="61">
        <v>4.2197475128997901E-2</v>
      </c>
      <c r="F28" s="62"/>
      <c r="G28" s="64">
        <v>106360759.22925539</v>
      </c>
      <c r="H28" s="62">
        <v>0.83158550800873599</v>
      </c>
      <c r="I28" s="60">
        <v>46399</v>
      </c>
      <c r="J28" s="61">
        <v>4.0135241086231559E-2</v>
      </c>
      <c r="M28" s="62"/>
      <c r="N28" s="64">
        <v>121327183.01187176</v>
      </c>
      <c r="O28" s="62">
        <v>0.83158550800873599</v>
      </c>
      <c r="P28" s="21"/>
      <c r="Y28" s="82">
        <v>10</v>
      </c>
      <c r="Z28" s="74">
        <v>0</v>
      </c>
      <c r="AC28" s="82">
        <v>10</v>
      </c>
      <c r="AD28" s="74">
        <v>0</v>
      </c>
      <c r="AO28" s="82">
        <v>10</v>
      </c>
      <c r="AP28" s="74">
        <v>0</v>
      </c>
      <c r="AS28" s="82">
        <v>10</v>
      </c>
      <c r="AT28" s="74">
        <v>0</v>
      </c>
    </row>
    <row r="29" spans="2:46" x14ac:dyDescent="0.4">
      <c r="B29" s="60">
        <v>46489</v>
      </c>
      <c r="C29" s="61">
        <v>4.1971966768621152E-2</v>
      </c>
      <c r="F29" s="62"/>
      <c r="G29" s="64">
        <v>103492520.79933871</v>
      </c>
      <c r="H29" s="62">
        <v>0.82322775228881362</v>
      </c>
      <c r="I29" s="60">
        <v>46489</v>
      </c>
      <c r="J29" s="61">
        <v>3.9788822812066228E-2</v>
      </c>
      <c r="M29" s="62"/>
      <c r="N29" s="64">
        <v>117835453.5092044</v>
      </c>
      <c r="O29" s="62">
        <v>0.82322775228881362</v>
      </c>
      <c r="P29" s="21"/>
      <c r="Y29" s="82">
        <v>12</v>
      </c>
      <c r="Z29" s="74">
        <v>0</v>
      </c>
      <c r="AC29" s="82">
        <v>12</v>
      </c>
      <c r="AD29" s="74">
        <v>0</v>
      </c>
      <c r="AO29" s="82">
        <v>12</v>
      </c>
      <c r="AP29" s="74">
        <v>0</v>
      </c>
      <c r="AS29" s="82">
        <v>12</v>
      </c>
      <c r="AT29" s="74">
        <v>0</v>
      </c>
    </row>
    <row r="30" spans="2:46" x14ac:dyDescent="0.4">
      <c r="B30" s="60">
        <v>46580</v>
      </c>
      <c r="C30" s="61">
        <v>4.1798657018801144E-2</v>
      </c>
      <c r="F30" s="62"/>
      <c r="G30" s="64">
        <v>104210350.37564053</v>
      </c>
      <c r="H30" s="62">
        <v>0.8149343220285401</v>
      </c>
      <c r="I30" s="60">
        <v>46580</v>
      </c>
      <c r="J30" s="61">
        <v>3.928747401095227E-2</v>
      </c>
      <c r="M30" s="62"/>
      <c r="N30" s="64">
        <v>117894798.21908604</v>
      </c>
      <c r="O30" s="62">
        <v>0.8149343220285401</v>
      </c>
      <c r="P30" s="21"/>
      <c r="Y30" s="82">
        <v>15</v>
      </c>
      <c r="Z30" s="74">
        <v>0</v>
      </c>
      <c r="AC30" s="82">
        <v>15</v>
      </c>
      <c r="AD30" s="74">
        <v>0</v>
      </c>
      <c r="AO30" s="82">
        <v>15</v>
      </c>
      <c r="AP30" s="74">
        <v>0</v>
      </c>
      <c r="AS30" s="82">
        <v>15</v>
      </c>
      <c r="AT30" s="74">
        <v>0</v>
      </c>
    </row>
    <row r="31" spans="2:46" x14ac:dyDescent="0.4">
      <c r="B31" s="60">
        <v>46672</v>
      </c>
      <c r="C31" s="61">
        <v>4.1670228728698508E-2</v>
      </c>
      <c r="F31" s="62"/>
      <c r="G31" s="64">
        <v>105031809.39836319</v>
      </c>
      <c r="H31" s="62">
        <v>0.80667544878716724</v>
      </c>
      <c r="I31" s="60">
        <v>46672</v>
      </c>
      <c r="J31" s="61">
        <v>3.8836356487568578E-2</v>
      </c>
      <c r="M31" s="62"/>
      <c r="N31" s="64">
        <v>118053282.10565215</v>
      </c>
      <c r="O31" s="62">
        <v>0.80667544878716724</v>
      </c>
      <c r="P31" s="21"/>
      <c r="Y31" s="82">
        <v>20</v>
      </c>
      <c r="Z31" s="74">
        <v>0</v>
      </c>
      <c r="AC31" s="82">
        <v>20</v>
      </c>
      <c r="AD31" s="74">
        <v>0</v>
      </c>
      <c r="AO31" s="82">
        <v>20</v>
      </c>
      <c r="AP31" s="74">
        <v>0</v>
      </c>
      <c r="AS31" s="82">
        <v>20</v>
      </c>
      <c r="AT31" s="74">
        <v>0</v>
      </c>
    </row>
    <row r="32" spans="2:46" x14ac:dyDescent="0.4">
      <c r="B32" s="60">
        <v>46764</v>
      </c>
      <c r="C32" s="61">
        <v>4.4264779290777365E-2</v>
      </c>
      <c r="F32" s="62"/>
      <c r="G32" s="64">
        <v>111571498.48634245</v>
      </c>
      <c r="H32" s="62">
        <v>0.7980083533214356</v>
      </c>
      <c r="I32" s="60">
        <v>46764</v>
      </c>
      <c r="J32" s="61">
        <v>4.1452048171934375E-2</v>
      </c>
      <c r="M32" s="62"/>
      <c r="N32" s="64">
        <v>124646258.40597157</v>
      </c>
      <c r="O32" s="62">
        <v>0.7980083533214356</v>
      </c>
      <c r="P32" s="21"/>
    </row>
    <row r="33" spans="2:16" x14ac:dyDescent="0.4">
      <c r="B33" s="60"/>
      <c r="F33" s="62"/>
      <c r="G33" s="64"/>
      <c r="H33" s="62"/>
      <c r="I33" s="60"/>
      <c r="M33" s="62"/>
      <c r="N33" s="64"/>
      <c r="O33" s="62"/>
      <c r="P33" s="21"/>
    </row>
  </sheetData>
  <mergeCells count="31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2023-01-01T13:51:29Z</dcterms:modified>
</cp:coreProperties>
</file>