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평가엔진모음\IR\IRStructuredSwapFDM\"/>
    </mc:Choice>
  </mc:AlternateContent>
  <bookViews>
    <workbookView xWindow="0" yWindow="0" windowWidth="11496" windowHeight="9084" activeTab="1"/>
  </bookViews>
  <sheets>
    <sheet name="커브정보" sheetId="1" r:id="rId1"/>
    <sheet name="Pricing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70" i="1" l="1"/>
  <c r="H54" i="2" l="1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S12" i="2" l="1"/>
  <c r="N9" i="2" l="1"/>
  <c r="H15" i="2" l="1"/>
  <c r="G15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Q62" i="1" l="1"/>
  <c r="Q63" i="1" s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L62" i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Q12" i="1"/>
  <c r="Q13" i="1" s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Q40" i="1" s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L12" i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2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1: Libor/Libor Swap
</t>
        </r>
      </text>
    </comment>
    <comment ref="M6" authorId="0" shapeId="0">
      <text>
        <r>
          <rPr>
            <b/>
            <sz val="9"/>
            <color indexed="81"/>
            <rFont val="Tahoma"/>
            <family val="2"/>
          </rPr>
          <t xml:space="preserve">1: Libor/Libor Swap
</t>
        </r>
      </text>
    </comment>
    <comment ref="V10" authorId="0" shapeId="0">
      <text>
        <r>
          <rPr>
            <b/>
            <sz val="9"/>
            <color indexed="81"/>
            <rFont val="Tahoma"/>
            <family val="2"/>
          </rPr>
          <t>Domestic Leg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취소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Foreign Leg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취소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  <comment ref="E13" authorId="0" shapeId="0">
      <text>
        <r>
          <rPr>
            <b/>
            <sz val="9"/>
            <color indexed="81"/>
            <rFont val="돋움"/>
            <family val="3"/>
            <charset val="129"/>
          </rPr>
          <t>리셋일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지나고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평가하는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경우에는</t>
        </r>
        <r>
          <rPr>
            <b/>
            <sz val="9"/>
            <color indexed="81"/>
            <rFont val="Tahoma"/>
            <family val="2"/>
          </rPr>
          <t xml:space="preserve"> 
1. </t>
        </r>
        <r>
          <rPr>
            <b/>
            <sz val="9"/>
            <color indexed="81"/>
            <rFont val="돋움"/>
            <family val="3"/>
            <charset val="129"/>
          </rPr>
          <t>첫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리셋일에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기산일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
2. </t>
        </r>
        <r>
          <rPr>
            <b/>
            <sz val="9"/>
            <color indexed="81"/>
            <rFont val="돋움"/>
            <family val="3"/>
            <charset val="129"/>
          </rPr>
          <t>이미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이자율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
예를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</t>
        </r>
        <r>
          <rPr>
            <b/>
            <sz val="9"/>
            <color indexed="81"/>
            <rFont val="Tahoma"/>
            <family val="2"/>
          </rPr>
          <t xml:space="preserve"> 2023-03-26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기산일이고</t>
        </r>
        <r>
          <rPr>
            <b/>
            <sz val="9"/>
            <color indexed="81"/>
            <rFont val="Tahoma"/>
            <family val="2"/>
          </rPr>
          <t xml:space="preserve"> 2023-04-02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가격계산하는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
-&gt;</t>
        </r>
        <r>
          <rPr>
            <b/>
            <sz val="9"/>
            <color indexed="81"/>
            <rFont val="돋움"/>
            <family val="3"/>
            <charset val="129"/>
          </rPr>
          <t>첫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</t>
        </r>
        <r>
          <rPr>
            <b/>
            <sz val="9"/>
            <color indexed="81"/>
            <rFont val="Tahoma"/>
            <family val="2"/>
          </rPr>
          <t>Reset</t>
        </r>
        <r>
          <rPr>
            <b/>
            <sz val="9"/>
            <color indexed="81"/>
            <rFont val="돋움"/>
            <family val="3"/>
            <charset val="129"/>
          </rPr>
          <t>일에는</t>
        </r>
        <r>
          <rPr>
            <b/>
            <sz val="9"/>
            <color indexed="81"/>
            <rFont val="Tahoma"/>
            <family val="2"/>
          </rPr>
          <t xml:space="preserve"> 2023-03-26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<sst xmlns="http://schemas.openxmlformats.org/spreadsheetml/2006/main" count="119" uniqueCount="83">
  <si>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</si>
  <si>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</si>
  <si>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</si>
  <si>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Swaption/Cap Flag</t>
    <phoneticPr fontId="2" type="noConversion"/>
  </si>
  <si>
    <t>Result HW</t>
    <phoneticPr fontId="2" type="noConversion"/>
  </si>
  <si>
    <t>Zero Rate</t>
    <phoneticPr fontId="2" type="noConversion"/>
  </si>
  <si>
    <t>Cap Info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</si>
  <si>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</si>
  <si>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</si>
  <si>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</si>
  <si>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</si>
  <si>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Swap Frequency</t>
    <phoneticPr fontId="2" type="noConversion"/>
  </si>
  <si>
    <t>kappa</t>
    <phoneticPr fontId="2" type="noConversion"/>
  </si>
  <si>
    <t>Cap Frequency</t>
    <phoneticPr fontId="2" type="noConversion"/>
  </si>
  <si>
    <t>옵션만기</t>
    <phoneticPr fontId="2" type="noConversion"/>
  </si>
  <si>
    <t>스왑만기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</si>
  <si>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</si>
  <si>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</si>
  <si>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</si>
  <si>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Term입력</t>
    <phoneticPr fontId="2" type="noConversion"/>
  </si>
  <si>
    <t>Rate</t>
    <phoneticPr fontId="2" type="noConversion"/>
  </si>
  <si>
    <t>Vol입력</t>
    <phoneticPr fontId="2" type="noConversion"/>
  </si>
  <si>
    <t>Error</t>
    <phoneticPr fontId="2" type="noConversion"/>
  </si>
  <si>
    <t/>
  </si>
  <si>
    <t>RMPSE</t>
    <phoneticPr fontId="2" type="noConversion"/>
  </si>
  <si>
    <t xml:space="preserve">커브2
</t>
    <phoneticPr fontId="2" type="noConversion"/>
  </si>
  <si>
    <t>Result HW</t>
    <phoneticPr fontId="2" type="noConversion"/>
  </si>
  <si>
    <t>Zero Rate</t>
    <phoneticPr fontId="2" type="noConversion"/>
  </si>
  <si>
    <t>ATM Swaption Info</t>
    <phoneticPr fontId="2" type="noConversion"/>
  </si>
  <si>
    <t>Kappa고정Flag</t>
    <phoneticPr fontId="2" type="noConversion"/>
  </si>
  <si>
    <t>Cap Frequency</t>
    <phoneticPr fontId="2" type="noConversion"/>
  </si>
  <si>
    <t>옵션만기</t>
    <phoneticPr fontId="2" type="noConversion"/>
  </si>
  <si>
    <t>스왑만기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</si>
  <si>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</si>
  <si>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</si>
  <si>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</si>
  <si>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Term입력</t>
    <phoneticPr fontId="2" type="noConversion"/>
  </si>
  <si>
    <t>Rate</t>
    <phoneticPr fontId="2" type="noConversion"/>
  </si>
  <si>
    <t>Vol입력</t>
    <phoneticPr fontId="2" type="noConversion"/>
  </si>
  <si>
    <t>Error</t>
    <phoneticPr fontId="2" type="noConversion"/>
  </si>
  <si>
    <t>가격평가일</t>
    <phoneticPr fontId="2" type="noConversion"/>
  </si>
  <si>
    <t>GreekFlag</t>
    <phoneticPr fontId="2" type="noConversion"/>
  </si>
  <si>
    <t>NAFlag</t>
    <phoneticPr fontId="2" type="noConversion"/>
  </si>
  <si>
    <t>Reference Rate Type</t>
    <phoneticPr fontId="2" type="noConversion"/>
  </si>
  <si>
    <t>연 지급횟수</t>
    <phoneticPr fontId="2" type="noConversion"/>
  </si>
  <si>
    <t>만기</t>
    <phoneticPr fontId="2" type="noConversion"/>
  </si>
  <si>
    <t>Domestic 커브 Information</t>
    <phoneticPr fontId="2" type="noConversion"/>
  </si>
  <si>
    <t>Foreign 커브 Information</t>
    <phoneticPr fontId="2" type="noConversion"/>
  </si>
  <si>
    <t>FXVol</t>
    <phoneticPr fontId="2" type="noConversion"/>
  </si>
  <si>
    <t>쿠폰확정일</t>
    <phoneticPr fontId="2" type="noConversion"/>
  </si>
  <si>
    <t>쿠폰지급일</t>
    <phoneticPr fontId="2" type="noConversion"/>
  </si>
  <si>
    <t>Foreign leg</t>
    <phoneticPr fontId="2" type="noConversion"/>
  </si>
  <si>
    <t>Domestic leg</t>
    <phoneticPr fontId="2" type="noConversion"/>
  </si>
  <si>
    <t>기초금리 참여율</t>
    <phoneticPr fontId="2" type="noConversion"/>
  </si>
  <si>
    <t>Cashflow Schedule</t>
    <phoneticPr fontId="2" type="noConversion"/>
  </si>
  <si>
    <t>금리Reset일</t>
    <phoneticPr fontId="2" type="noConversion"/>
  </si>
  <si>
    <t>Range충족시 지급쿠폰이율</t>
    <phoneticPr fontId="2" type="noConversion"/>
  </si>
  <si>
    <t>무조건 지급쿠폰이율</t>
    <phoneticPr fontId="2" type="noConversion"/>
  </si>
  <si>
    <t>조건부쿠폰 기초금리하방조건</t>
    <phoneticPr fontId="2" type="noConversion"/>
  </si>
  <si>
    <t>조건부쿠폰 기초금리상방조건</t>
    <phoneticPr fontId="2" type="noConversion"/>
  </si>
  <si>
    <t>이미 확정된 차기기초금리</t>
    <phoneticPr fontId="2" type="noConversion"/>
  </si>
  <si>
    <t>Option사용여부</t>
    <phoneticPr fontId="2" type="noConversion"/>
  </si>
  <si>
    <t>OptionType</t>
    <phoneticPr fontId="2" type="noConversion"/>
  </si>
  <si>
    <t>옵션행사일</t>
    <phoneticPr fontId="2" type="noConversion"/>
  </si>
  <si>
    <t>옵션스케줄</t>
    <phoneticPr fontId="2" type="noConversion"/>
  </si>
  <si>
    <t>Domestic Leg Info</t>
    <phoneticPr fontId="2" type="noConversion"/>
  </si>
  <si>
    <t>Foreign Leg Info</t>
    <phoneticPr fontId="2" type="noConversion"/>
  </si>
  <si>
    <t>Ref 금리정보</t>
    <phoneticPr fontId="2" type="noConversion"/>
  </si>
  <si>
    <t>Greed개수</t>
    <phoneticPr fontId="2" type="noConversion"/>
  </si>
  <si>
    <t>DailyFDM</t>
    <phoneticPr fontId="2" type="noConversion"/>
  </si>
  <si>
    <t>DualRangeFlag</t>
    <phoneticPr fontId="2" type="noConversion"/>
  </si>
  <si>
    <t>Output</t>
    <phoneticPr fontId="2" type="noConversion"/>
  </si>
  <si>
    <t>ResultCode</t>
    <phoneticPr fontId="2" type="noConversion"/>
  </si>
  <si>
    <t>Receive Value</t>
    <phoneticPr fontId="2" type="noConversion"/>
  </si>
  <si>
    <t>Payment Value</t>
    <phoneticPr fontId="2" type="noConversion"/>
  </si>
  <si>
    <t>OptionValue</t>
    <phoneticPr fontId="2" type="noConversion"/>
  </si>
  <si>
    <t>Value</t>
    <phoneticPr fontId="2" type="noConversion"/>
  </si>
  <si>
    <t>Domestic Curve +1bp</t>
    <phoneticPr fontId="2" type="noConversion"/>
  </si>
  <si>
    <t>PV01</t>
    <phoneticPr fontId="2" type="noConversion"/>
  </si>
  <si>
    <t>Term</t>
    <phoneticPr fontId="2" type="noConversion"/>
  </si>
  <si>
    <t>KeyRate PV01</t>
    <phoneticPr fontId="2" type="noConversion"/>
  </si>
  <si>
    <t>rho23(커브2, FX 상관계수)</t>
    <phoneticPr fontId="2" type="noConversion"/>
  </si>
  <si>
    <t>rho12(커브1, 커브2 상관계수)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</si>
</sst>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%"/>
    <numFmt numFmtId="181" formatCode="[$-F400]h:mm:ss\ AM/PM"/>
    <numFmt numFmtId="182" formatCode="0.00000000_);[Red]\(0.00000000\)"/>
    <numFmt numFmtId="183" formatCode="0.000000%"/>
    <numFmt numFmtId="184" formatCode="0.000_);[Red]\(0.000\)"/>
    <numFmt numFmtId="185" formatCode="0_ ;[Red]\-0\ "/>
    <numFmt numFmtId="186" formatCode="0.00000_);[Red]\(0.00000\)"/>
    <numFmt numFmtId="187" formatCode="_-* #,##0.000000_-;\-* #,##0.000000_-;_-* &quot;-&quot;_-;_-@_-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1"/>
        <bgColor auto="1"/>
      </patternFill>
    </fill>
  </fills>
  <borders count="19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/>
      <right/>
      <top style="medium">
        <color rgb="FFC864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</cellStyleXfs>
  <cellXfs count="87">
    <xf numFmtId="0" fontId="0" fillId="0" borderId="0" xfId="0">
      <alignment vertical="center"/>
    </xf>
    <xf numFmtId="0" fontId="3" fillId="2" borderId="0" xfId="0" applyFont="1" applyFill="1">
      <alignment vertical="center"/>
    </xf>
    <xf numFmtId="177" fontId="7" fillId="7" borderId="3" xfId="0" applyNumberFormat="1" applyFont="1" applyFill="1" applyBorder="1" applyAlignment="1">
      <alignment horizontal="center" vertical="center"/>
    </xf>
    <xf numFmtId="176" fontId="8" fillId="5" borderId="3" xfId="0" applyNumberFormat="1" applyFont="1" applyFill="1" applyBorder="1">
      <alignment vertical="center"/>
    </xf>
    <xf numFmtId="178" fontId="9" fillId="8" borderId="3" xfId="0" applyNumberFormat="1" applyFont="1" applyFill="1" applyBorder="1">
      <alignment vertical="center"/>
    </xf>
    <xf numFmtId="0" fontId="7" fillId="10" borderId="7" xfId="0" applyFont="1" applyFill="1" applyBorder="1" applyAlignment="1" applyProtection="1">
      <alignment vertical="center"/>
    </xf>
    <xf numFmtId="0" fontId="7" fillId="10" borderId="8" xfId="0" applyFont="1" applyFill="1" applyBorder="1" applyAlignment="1" applyProtection="1">
      <alignment vertical="center"/>
    </xf>
    <xf numFmtId="177" fontId="7" fillId="7" borderId="9" xfId="0" applyNumberFormat="1" applyFont="1" applyFill="1" applyBorder="1" applyAlignment="1">
      <alignment horizontal="center" vertical="center"/>
    </xf>
    <xf numFmtId="177" fontId="7" fillId="7" borderId="9" xfId="0" applyNumberFormat="1" applyFont="1" applyFill="1" applyBorder="1" applyAlignment="1">
      <alignment vertical="center"/>
    </xf>
    <xf numFmtId="177" fontId="10" fillId="11" borderId="12" xfId="0" applyNumberFormat="1" applyFont="1" applyFill="1" applyBorder="1" applyAlignment="1" applyProtection="1">
      <alignment vertical="center"/>
    </xf>
    <xf numFmtId="177" fontId="9" fillId="12" borderId="12" xfId="0" applyNumberFormat="1" applyFont="1" applyFill="1" applyBorder="1" applyAlignment="1">
      <alignment vertical="center"/>
    </xf>
    <xf numFmtId="179" fontId="10" fillId="8" borderId="12" xfId="0" applyNumberFormat="1" applyFont="1" applyFill="1" applyBorder="1">
      <alignment vertical="center"/>
    </xf>
    <xf numFmtId="176" fontId="7" fillId="13" borderId="12" xfId="0" applyNumberFormat="1" applyFont="1" applyFill="1" applyBorder="1" applyAlignment="1">
      <alignment vertical="center"/>
    </xf>
    <xf numFmtId="177" fontId="7" fillId="13" borderId="12" xfId="0" applyNumberFormat="1" applyFont="1" applyFill="1" applyBorder="1" applyAlignment="1">
      <alignment vertical="center"/>
    </xf>
    <xf numFmtId="178" fontId="8" fillId="14" borderId="12" xfId="0" applyNumberFormat="1" applyFont="1" applyFill="1" applyBorder="1">
      <alignment vertical="center"/>
    </xf>
    <xf numFmtId="178" fontId="3" fillId="2" borderId="0" xfId="0" applyNumberFormat="1" applyFont="1" applyFill="1">
      <alignment vertical="center"/>
    </xf>
    <xf numFmtId="10" fontId="8" fillId="15" borderId="12" xfId="0" applyNumberFormat="1" applyFont="1" applyFill="1" applyBorder="1" applyAlignment="1" applyProtection="1"/>
    <xf numFmtId="177" fontId="9" fillId="12" borderId="3" xfId="0" applyNumberFormat="1" applyFont="1" applyFill="1" applyBorder="1" applyAlignment="1">
      <alignment vertical="center"/>
    </xf>
    <xf numFmtId="180" fontId="10" fillId="8" borderId="12" xfId="1" applyNumberFormat="1" applyFont="1" applyFill="1" applyBorder="1">
      <alignment vertical="center"/>
    </xf>
    <xf numFmtId="10" fontId="6" fillId="2" borderId="0" xfId="0" applyNumberFormat="1" applyFont="1" applyFill="1">
      <alignment vertical="center"/>
    </xf>
    <xf numFmtId="182" fontId="6" fillId="2" borderId="0" xfId="0" applyNumberFormat="1" applyFont="1" applyFill="1">
      <alignment vertical="center"/>
    </xf>
    <xf numFmtId="183" fontId="6" fillId="2" borderId="0" xfId="0" applyNumberFormat="1" applyFont="1" applyFill="1">
      <alignment vertical="center"/>
    </xf>
    <xf numFmtId="0" fontId="5" fillId="13" borderId="12" xfId="0" applyFont="1" applyFill="1" applyBorder="1">
      <alignment vertical="center"/>
    </xf>
    <xf numFmtId="0" fontId="6" fillId="14" borderId="12" xfId="0" applyFont="1" applyFill="1" applyBorder="1">
      <alignment vertical="center"/>
    </xf>
    <xf numFmtId="0" fontId="6" fillId="13" borderId="12" xfId="0" applyFont="1" applyFill="1" applyBorder="1">
      <alignment vertical="center"/>
    </xf>
    <xf numFmtId="0" fontId="7" fillId="6" borderId="0" xfId="0" applyFont="1" applyFill="1" applyAlignment="1">
      <alignment horizontal="center" vertical="center"/>
    </xf>
    <xf numFmtId="177" fontId="10" fillId="11" borderId="0" xfId="0" applyNumberFormat="1" applyFont="1" applyFill="1" applyBorder="1" applyAlignment="1" applyProtection="1">
      <alignment vertical="center"/>
    </xf>
    <xf numFmtId="10" fontId="8" fillId="15" borderId="0" xfId="0" applyNumberFormat="1" applyFont="1" applyFill="1" applyBorder="1" applyAlignment="1" applyProtection="1"/>
    <xf numFmtId="177" fontId="7" fillId="7" borderId="10" xfId="0" applyNumberFormat="1" applyFont="1" applyFill="1" applyBorder="1" applyAlignment="1">
      <alignment horizontal="center" vertical="center"/>
    </xf>
    <xf numFmtId="0" fontId="0" fillId="2" borderId="0" xfId="0" applyFill="1">
      <alignment vertical="center"/>
    </xf>
    <xf numFmtId="177" fontId="9" fillId="5" borderId="12" xfId="0" applyNumberFormat="1" applyFont="1" applyFill="1" applyBorder="1" applyAlignment="1">
      <alignment vertical="center"/>
    </xf>
    <xf numFmtId="179" fontId="10" fillId="5" borderId="12" xfId="0" applyNumberFormat="1" applyFont="1" applyFill="1" applyBorder="1">
      <alignment vertical="center"/>
    </xf>
    <xf numFmtId="0" fontId="5" fillId="18" borderId="0" xfId="0" applyFont="1" applyFill="1" applyAlignment="1">
      <alignment vertical="center"/>
    </xf>
    <xf numFmtId="0" fontId="7" fillId="18" borderId="0" xfId="0" applyFont="1" applyFill="1" applyAlignment="1">
      <alignment horizontal="center" vertical="center"/>
    </xf>
    <xf numFmtId="0" fontId="0" fillId="5" borderId="0" xfId="0" applyFill="1">
      <alignment vertical="center"/>
    </xf>
    <xf numFmtId="14" fontId="0" fillId="5" borderId="0" xfId="0" applyNumberFormat="1" applyFill="1">
      <alignment vertical="center"/>
    </xf>
    <xf numFmtId="184" fontId="0" fillId="5" borderId="0" xfId="0" applyNumberFormat="1" applyFill="1">
      <alignment vertical="center"/>
    </xf>
    <xf numFmtId="10" fontId="0" fillId="5" borderId="0" xfId="1" applyNumberFormat="1" applyFont="1" applyFill="1">
      <alignment vertical="center"/>
    </xf>
    <xf numFmtId="10" fontId="0" fillId="5" borderId="0" xfId="0" applyNumberFormat="1" applyFill="1">
      <alignment vertical="center"/>
    </xf>
    <xf numFmtId="14" fontId="0" fillId="2" borderId="0" xfId="0" applyNumberFormat="1" applyFill="1">
      <alignment vertical="center"/>
    </xf>
    <xf numFmtId="0" fontId="7" fillId="19" borderId="16" xfId="0" applyFont="1" applyFill="1" applyBorder="1" applyAlignment="1">
      <alignment vertical="center"/>
    </xf>
    <xf numFmtId="187" fontId="3" fillId="9" borderId="16" xfId="2" applyNumberFormat="1" applyFont="1" applyFill="1" applyBorder="1">
      <alignment vertical="center"/>
    </xf>
    <xf numFmtId="0" fontId="3" fillId="19" borderId="16" xfId="0" applyFont="1" applyFill="1" applyBorder="1">
      <alignment vertical="center"/>
    </xf>
    <xf numFmtId="187" fontId="3" fillId="9" borderId="16" xfId="0" applyNumberFormat="1" applyFont="1" applyFill="1" applyBorder="1">
      <alignment vertical="center"/>
    </xf>
    <xf numFmtId="0" fontId="7" fillId="19" borderId="14" xfId="0" applyFont="1" applyFill="1" applyBorder="1" applyAlignment="1">
      <alignment vertical="center"/>
    </xf>
    <xf numFmtId="0" fontId="3" fillId="19" borderId="14" xfId="0" applyFont="1" applyFill="1" applyBorder="1">
      <alignment vertical="center"/>
    </xf>
    <xf numFmtId="0" fontId="0" fillId="9" borderId="16" xfId="0" applyFill="1" applyBorder="1">
      <alignment vertical="center"/>
    </xf>
    <xf numFmtId="0" fontId="0" fillId="19" borderId="16" xfId="0" applyFill="1" applyBorder="1">
      <alignment vertical="center"/>
    </xf>
    <xf numFmtId="176" fontId="0" fillId="2" borderId="0" xfId="0" applyNumberFormat="1" applyFill="1">
      <alignment vertical="center"/>
    </xf>
    <xf numFmtId="186" fontId="3" fillId="9" borderId="16" xfId="2" applyNumberFormat="1" applyFont="1" applyFill="1" applyBorder="1">
      <alignment vertical="center"/>
    </xf>
    <xf numFmtId="49" fontId="10" fillId="8" borderId="0" xfId="0" applyNumberFormat="1" applyFont="1" applyFill="1" applyBorder="1" applyAlignment="1">
      <alignment horizontal="center" vertical="center" wrapText="1"/>
    </xf>
    <xf numFmtId="181" fontId="3" fillId="2" borderId="0" xfId="0" applyNumberFormat="1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176" fontId="7" fillId="7" borderId="3" xfId="0" applyNumberFormat="1" applyFont="1" applyFill="1" applyBorder="1" applyAlignment="1">
      <alignment horizontal="center" vertical="center"/>
    </xf>
    <xf numFmtId="0" fontId="7" fillId="10" borderId="6" xfId="0" applyFont="1" applyFill="1" applyBorder="1" applyAlignment="1" applyProtection="1">
      <alignment horizontal="center" vertical="center" wrapText="1"/>
    </xf>
    <xf numFmtId="0" fontId="7" fillId="10" borderId="11" xfId="0" applyFont="1" applyFill="1" applyBorder="1" applyAlignment="1" applyProtection="1">
      <alignment horizontal="center" vertical="center" wrapText="1"/>
    </xf>
    <xf numFmtId="0" fontId="7" fillId="6" borderId="0" xfId="0" applyFont="1" applyFill="1" applyAlignment="1">
      <alignment horizontal="center" vertical="center" wrapText="1"/>
    </xf>
    <xf numFmtId="0" fontId="7" fillId="6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left" vertical="center"/>
    </xf>
    <xf numFmtId="176" fontId="7" fillId="7" borderId="1" xfId="0" applyNumberFormat="1" applyFont="1" applyFill="1" applyBorder="1" applyAlignment="1">
      <alignment horizontal="center" vertical="center"/>
    </xf>
    <xf numFmtId="176" fontId="7" fillId="7" borderId="2" xfId="0" applyNumberFormat="1" applyFont="1" applyFill="1" applyBorder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176" fontId="7" fillId="7" borderId="5" xfId="0" applyNumberFormat="1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7" fillId="16" borderId="13" xfId="0" applyFont="1" applyFill="1" applyBorder="1" applyAlignment="1">
      <alignment horizontal="center" vertical="center"/>
    </xf>
    <xf numFmtId="0" fontId="15" fillId="20" borderId="0" xfId="0" applyFont="1" applyFill="1" applyBorder="1" applyAlignment="1"/>
    <xf numFmtId="0" fontId="15" fillId="20" borderId="17" xfId="0" applyFont="1" applyFill="1" applyBorder="1" applyAlignment="1"/>
    <xf numFmtId="0" fontId="13" fillId="16" borderId="18" xfId="0" applyFont="1" applyFill="1" applyBorder="1" applyAlignment="1">
      <alignment horizontal="center" vertical="center"/>
    </xf>
    <xf numFmtId="186" fontId="3" fillId="9" borderId="16" xfId="1" applyNumberFormat="1" applyFont="1" applyFill="1" applyBorder="1" applyAlignment="1">
      <alignment horizontal="center" vertical="center"/>
    </xf>
    <xf numFmtId="0" fontId="7" fillId="19" borderId="16" xfId="0" applyFont="1" applyFill="1" applyBorder="1" applyAlignment="1">
      <alignment horizontal="center" vertical="center"/>
    </xf>
    <xf numFmtId="0" fontId="7" fillId="19" borderId="14" xfId="0" applyFont="1" applyFill="1" applyBorder="1" applyAlignment="1">
      <alignment horizontal="center" vertical="center"/>
    </xf>
    <xf numFmtId="0" fontId="7" fillId="19" borderId="15" xfId="0" applyFont="1" applyFill="1" applyBorder="1" applyAlignment="1">
      <alignment horizontal="center" vertical="center"/>
    </xf>
    <xf numFmtId="185" fontId="6" fillId="9" borderId="16" xfId="0" applyNumberFormat="1" applyFont="1" applyFill="1" applyBorder="1" applyAlignment="1">
      <alignment horizontal="center" vertical="center"/>
    </xf>
    <xf numFmtId="0" fontId="5" fillId="18" borderId="0" xfId="0" applyFont="1" applyFill="1" applyAlignment="1">
      <alignment horizontal="center" vertical="center"/>
    </xf>
    <xf numFmtId="0" fontId="6" fillId="17" borderId="0" xfId="0" applyFont="1" applyFill="1" applyAlignment="1">
      <alignment horizontal="center" vertical="center"/>
    </xf>
    <xf numFmtId="0" fontId="16" fillId="2" borderId="16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76" fontId="6" fillId="17" borderId="0" xfId="0" applyNumberFormat="1" applyFont="1" applyFill="1" applyAlignment="1">
      <alignment horizontal="center" vertical="center"/>
    </xf>
    <xf numFmtId="177" fontId="6" fillId="17" borderId="0" xfId="0" applyNumberFormat="1" applyFont="1" applyFill="1" applyAlignment="1">
      <alignment horizontal="center" vertical="center"/>
    </xf>
    <xf numFmtId="0" fontId="7" fillId="18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6" fillId="17" borderId="0" xfId="0" applyNumberFormat="1" applyFont="1" applyFill="1" applyAlignment="1" applyProtection="1">
      <alignment horizontal="center" vertical="center"/>
      <protection locked="0"/>
    </xf>
    <xf numFmtId="0" fontId="6" fillId="17" borderId="0" xfId="0" applyFont="1" applyFill="1" applyAlignment="1" applyProtection="1">
      <alignment horizontal="center" vertical="center"/>
      <protection locked="0"/>
    </xf>
    <xf numFmtId="0" fontId="6" fillId="17" borderId="0" xfId="0" applyNumberFormat="1" applyFont="1" applyFill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426720</xdr:colOff>
          <xdr:row>8</xdr:row>
          <xdr:rowOff>137160</xdr:rowOff>
        </xdr:from>
        <xdr:to>
          <xdr:col>2</xdr:col>
          <xdr:colOff>640080</xdr:colOff>
          <xdr:row>11</xdr:row>
          <xdr:rowOff>76200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213360</xdr:colOff>
          <xdr:row>8</xdr:row>
          <xdr:rowOff>137160</xdr:rowOff>
        </xdr:from>
        <xdr:to>
          <xdr:col>4</xdr:col>
          <xdr:colOff>601980</xdr:colOff>
          <xdr:row>11</xdr:row>
          <xdr:rowOff>76200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르벤버그마쿼트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312420</xdr:colOff>
          <xdr:row>2</xdr:row>
          <xdr:rowOff>152400</xdr:rowOff>
        </xdr:from>
        <xdr:to>
          <xdr:col>24</xdr:col>
          <xdr:colOff>640080</xdr:colOff>
          <xdr:row>6</xdr:row>
          <xdr:rowOff>15240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FDM실행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103"/>
  <sheetViews>
    <sheetView topLeftCell="A52" workbookViewId="0">
      <selection activeCell="M61" sqref="M61:N95"/>
    </sheetView>
  </sheetViews>
  <sheetFormatPr defaultColWidth="10.09765625" defaultRowHeight="15.6" x14ac:dyDescent="0.4"/>
  <cols>
    <col min="1" max="8" width="10.09765625" style="1"/>
    <col min="9" max="9" width="10.3984375" style="1" bestFit="1" customWidth="1"/>
    <col min="10" max="16384" width="10.09765625" style="1"/>
  </cols>
  <sheetData>
    <row r="1" spans="1:45" x14ac:dyDescent="0.4">
      <c r="A1" s="1">
        <f>1</f>
        <v>1</v>
      </c>
      <c r="B1" s="1">
        <f>A1+1</f>
        <v>2</v>
      </c>
      <c r="C1" s="1">
        <f t="shared" ref="C1:AS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  <c r="AP1" s="1">
        <f t="shared" si="0"/>
        <v>42</v>
      </c>
      <c r="AQ1" s="1">
        <f t="shared" si="0"/>
        <v>43</v>
      </c>
      <c r="AR1" s="1">
        <f t="shared" si="0"/>
        <v>44</v>
      </c>
      <c r="AS1" s="1">
        <f t="shared" si="0"/>
        <v>45</v>
      </c>
    </row>
    <row r="2" spans="1:45" x14ac:dyDescent="0.4">
      <c r="A2" s="64" t="s">
        <v>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</row>
    <row r="3" spans="1:45" x14ac:dyDescent="0.4">
      <c r="A3" s="64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</row>
    <row r="4" spans="1:45" x14ac:dyDescent="0.4">
      <c r="A4" s="1">
        <f>4</f>
        <v>4</v>
      </c>
      <c r="B4" s="52" t="s">
        <v>1</v>
      </c>
      <c r="C4" s="52"/>
      <c r="D4" s="53">
        <v>2</v>
      </c>
      <c r="E4" s="53"/>
    </row>
    <row r="5" spans="1:45" x14ac:dyDescent="0.4">
      <c r="A5" s="1">
        <f>A4+1</f>
        <v>5</v>
      </c>
      <c r="G5" s="57" t="s">
        <v>2</v>
      </c>
      <c r="H5" s="59" t="s">
        <v>46</v>
      </c>
      <c r="I5" s="59"/>
      <c r="J5" s="59"/>
      <c r="K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  <c r="X5" s="59"/>
    </row>
    <row r="6" spans="1:45" x14ac:dyDescent="0.4">
      <c r="A6" s="1">
        <f t="shared" ref="A6:A69" si="1">A5+1</f>
        <v>6</v>
      </c>
      <c r="B6" s="52" t="s">
        <v>3</v>
      </c>
      <c r="C6" s="52"/>
      <c r="D6" s="53">
        <v>1</v>
      </c>
      <c r="E6" s="53"/>
      <c r="G6" s="58"/>
      <c r="H6" s="60" t="s">
        <v>4</v>
      </c>
      <c r="I6" s="61"/>
      <c r="L6" s="54" t="s">
        <v>5</v>
      </c>
      <c r="M6" s="54"/>
      <c r="N6" s="54"/>
      <c r="Q6" s="54" t="s">
        <v>6</v>
      </c>
      <c r="R6" s="54"/>
      <c r="S6" s="54"/>
      <c r="V6" s="54" t="s">
        <v>7</v>
      </c>
      <c r="W6" s="54"/>
      <c r="X6" s="54"/>
    </row>
    <row r="7" spans="1:45" x14ac:dyDescent="0.4">
      <c r="A7" s="1">
        <f t="shared" si="1"/>
        <v>7</v>
      </c>
      <c r="B7" s="52" t="s">
        <v>8</v>
      </c>
      <c r="C7" s="52"/>
      <c r="D7" s="53">
        <v>1</v>
      </c>
      <c r="E7" s="53"/>
      <c r="G7" s="58"/>
      <c r="H7" s="62"/>
      <c r="I7" s="63"/>
      <c r="L7" s="54"/>
      <c r="M7" s="54"/>
      <c r="N7" s="54"/>
      <c r="Q7" s="54"/>
      <c r="R7" s="54"/>
      <c r="S7" s="54"/>
      <c r="V7" s="54"/>
      <c r="W7" s="54"/>
      <c r="X7" s="54"/>
    </row>
    <row r="8" spans="1:45" x14ac:dyDescent="0.4">
      <c r="A8" s="1">
        <f t="shared" si="1"/>
        <v>8</v>
      </c>
      <c r="B8" s="52" t="s">
        <v>9</v>
      </c>
      <c r="C8" s="52"/>
      <c r="D8" s="53">
        <v>0.01</v>
      </c>
      <c r="E8" s="53"/>
      <c r="G8" s="58"/>
      <c r="I8" s="2" t="s">
        <v>10</v>
      </c>
      <c r="V8" s="54" t="s">
        <v>11</v>
      </c>
      <c r="W8" s="54"/>
      <c r="X8" s="3">
        <v>3</v>
      </c>
    </row>
    <row r="9" spans="1:45" x14ac:dyDescent="0.4">
      <c r="A9" s="1">
        <f t="shared" si="1"/>
        <v>9</v>
      </c>
      <c r="G9" s="58"/>
      <c r="H9" s="2" t="s">
        <v>12</v>
      </c>
      <c r="I9" s="4">
        <v>0.01</v>
      </c>
      <c r="Q9" s="54" t="s">
        <v>13</v>
      </c>
      <c r="R9" s="54"/>
      <c r="S9" s="3">
        <v>3</v>
      </c>
      <c r="V9" s="55" t="s">
        <v>14</v>
      </c>
      <c r="W9" s="5" t="s">
        <v>15</v>
      </c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</row>
    <row r="10" spans="1:45" x14ac:dyDescent="0.4">
      <c r="A10" s="1">
        <f t="shared" si="1"/>
        <v>10</v>
      </c>
      <c r="G10" s="58"/>
      <c r="H10" s="7" t="s">
        <v>16</v>
      </c>
      <c r="I10" s="28" t="s">
        <v>17</v>
      </c>
      <c r="L10" s="8" t="s">
        <v>18</v>
      </c>
      <c r="M10" s="8" t="s">
        <v>19</v>
      </c>
      <c r="N10" s="7" t="s">
        <v>20</v>
      </c>
      <c r="Q10" s="8" t="s">
        <v>18</v>
      </c>
      <c r="R10" s="8" t="s">
        <v>19</v>
      </c>
      <c r="S10" s="7" t="s">
        <v>21</v>
      </c>
      <c r="V10" s="56"/>
      <c r="W10" s="9">
        <v>1</v>
      </c>
      <c r="X10" s="9">
        <v>2</v>
      </c>
      <c r="Y10" s="9">
        <v>3</v>
      </c>
      <c r="Z10" s="9">
        <v>4</v>
      </c>
      <c r="AA10" s="9">
        <v>5</v>
      </c>
      <c r="AB10" s="9">
        <v>7</v>
      </c>
      <c r="AC10" s="9">
        <v>10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</row>
    <row r="11" spans="1:45" x14ac:dyDescent="0.35">
      <c r="A11" s="1">
        <f t="shared" si="1"/>
        <v>11</v>
      </c>
      <c r="G11" s="58"/>
      <c r="H11" s="10">
        <v>1</v>
      </c>
      <c r="I11" s="11">
        <v>1.3407782430569219E-2</v>
      </c>
      <c r="J11" s="1">
        <v>6.5594015289577815E-3</v>
      </c>
      <c r="L11" s="12">
        <v>1</v>
      </c>
      <c r="M11" s="13">
        <v>2.7397260273972603E-3</v>
      </c>
      <c r="N11" s="14">
        <v>3.1519999999999992E-2</v>
      </c>
      <c r="O11" s="15"/>
      <c r="Q11" s="12">
        <v>1</v>
      </c>
      <c r="R11" s="13">
        <v>1</v>
      </c>
      <c r="S11" s="14">
        <v>0.17964285714285716</v>
      </c>
      <c r="U11" s="15"/>
      <c r="V11" s="9">
        <v>1</v>
      </c>
      <c r="W11" s="16">
        <v>0.29711575189940853</v>
      </c>
      <c r="X11" s="16">
        <v>0.30223277511673557</v>
      </c>
      <c r="Y11" s="16">
        <v>0.29785690951842136</v>
      </c>
      <c r="Z11" s="16">
        <v>0.29726033440788158</v>
      </c>
      <c r="AA11" s="16">
        <v>0.29908018972630812</v>
      </c>
      <c r="AB11" s="16">
        <v>0.29519944176614205</v>
      </c>
      <c r="AC11" s="16">
        <v>0.29289439984735399</v>
      </c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</row>
    <row r="12" spans="1:45" x14ac:dyDescent="0.35">
      <c r="A12" s="1">
        <f t="shared" si="1"/>
        <v>12</v>
      </c>
      <c r="G12" s="58"/>
      <c r="H12" s="10">
        <v>2</v>
      </c>
      <c r="I12" s="11">
        <v>1.1750883187845299E-2</v>
      </c>
      <c r="J12" s="1">
        <v>5.8230479012307598E-3</v>
      </c>
      <c r="L12" s="12">
        <f>L11+1</f>
        <v>2</v>
      </c>
      <c r="M12" s="13">
        <v>0.25</v>
      </c>
      <c r="N12" s="14">
        <v>3.261E-2</v>
      </c>
      <c r="O12" s="15"/>
      <c r="Q12" s="12">
        <f>Q11+1</f>
        <v>2</v>
      </c>
      <c r="R12" s="13">
        <v>1.5</v>
      </c>
      <c r="S12" s="14">
        <v>0.18</v>
      </c>
      <c r="U12" s="15"/>
      <c r="V12" s="9">
        <v>2</v>
      </c>
      <c r="W12" s="16">
        <v>0.29731816815825485</v>
      </c>
      <c r="X12" s="16">
        <v>0.29715000560759469</v>
      </c>
      <c r="Y12" s="16">
        <v>0.29644310169676802</v>
      </c>
      <c r="Z12" s="16">
        <v>0.29438544513377152</v>
      </c>
      <c r="AA12" s="16">
        <v>0.29541479871739407</v>
      </c>
      <c r="AB12" s="16">
        <v>0.28717613046935253</v>
      </c>
      <c r="AC12" s="16">
        <v>0.28649021678069087</v>
      </c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</row>
    <row r="13" spans="1:45" x14ac:dyDescent="0.35">
      <c r="A13" s="1">
        <f t="shared" si="1"/>
        <v>13</v>
      </c>
      <c r="C13" s="17" t="s">
        <v>22</v>
      </c>
      <c r="D13" s="50" t="s">
        <v>23</v>
      </c>
      <c r="E13" s="50"/>
      <c r="G13" s="58"/>
      <c r="H13" s="10">
        <v>3</v>
      </c>
      <c r="I13" s="11">
        <v>1.2510628997503095E-2</v>
      </c>
      <c r="J13" s="1">
        <v>4.9461626800211995E-3</v>
      </c>
      <c r="L13" s="12">
        <f t="shared" ref="L13:L53" si="2">L12+1</f>
        <v>3</v>
      </c>
      <c r="M13" s="13">
        <v>0.5</v>
      </c>
      <c r="N13" s="14">
        <v>3.3500000000000002E-2</v>
      </c>
      <c r="O13" s="15"/>
      <c r="Q13" s="12">
        <f t="shared" ref="Q13:Q53" si="3">Q12+1</f>
        <v>3</v>
      </c>
      <c r="R13" s="13">
        <v>2</v>
      </c>
      <c r="S13" s="14">
        <v>0.18085714285714286</v>
      </c>
      <c r="U13" s="15"/>
      <c r="V13" s="9">
        <v>3</v>
      </c>
      <c r="W13" s="16">
        <v>0.29724033204370953</v>
      </c>
      <c r="X13" s="16">
        <v>0.29716249592916422</v>
      </c>
      <c r="Y13" s="16">
        <v>0.29717498625073369</v>
      </c>
      <c r="Z13" s="16">
        <v>0.28937257030241842</v>
      </c>
      <c r="AA13" s="16">
        <v>0.29040069342335539</v>
      </c>
      <c r="AB13" s="16">
        <v>0.28492963240514568</v>
      </c>
      <c r="AC13" s="16">
        <v>0.28240863276377215</v>
      </c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</row>
    <row r="14" spans="1:45" x14ac:dyDescent="0.35">
      <c r="A14" s="1">
        <f t="shared" si="1"/>
        <v>14</v>
      </c>
      <c r="D14" s="50"/>
      <c r="E14" s="50"/>
      <c r="G14" s="58"/>
      <c r="H14" s="10">
        <v>4</v>
      </c>
      <c r="I14" s="11">
        <v>1.1353112416772919E-2</v>
      </c>
      <c r="J14" s="1">
        <v>3.7345696160446442E-3</v>
      </c>
      <c r="L14" s="12">
        <f t="shared" si="2"/>
        <v>4</v>
      </c>
      <c r="M14" s="13">
        <v>1</v>
      </c>
      <c r="N14" s="14">
        <v>3.4509999999999999E-2</v>
      </c>
      <c r="O14" s="15"/>
      <c r="Q14" s="12">
        <f t="shared" si="3"/>
        <v>4</v>
      </c>
      <c r="R14" s="13">
        <v>2.5</v>
      </c>
      <c r="S14" s="14">
        <v>0.18071428571428599</v>
      </c>
      <c r="U14" s="15"/>
      <c r="V14" s="9">
        <v>4</v>
      </c>
      <c r="W14" s="16">
        <v>0.29598553031924729</v>
      </c>
      <c r="X14" s="16">
        <v>0.29473072859478505</v>
      </c>
      <c r="Y14" s="16">
        <v>0.29229896126040589</v>
      </c>
      <c r="Z14" s="16">
        <v>0.28636830666588853</v>
      </c>
      <c r="AA14" s="16">
        <v>0.2849370904526739</v>
      </c>
      <c r="AB14" s="16">
        <v>0.28379388192157057</v>
      </c>
      <c r="AC14" s="16">
        <v>0.2798070663699882</v>
      </c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</row>
    <row r="15" spans="1:45" x14ac:dyDescent="0.35">
      <c r="A15" s="1">
        <f t="shared" si="1"/>
        <v>15</v>
      </c>
      <c r="D15" s="50"/>
      <c r="E15" s="50"/>
      <c r="G15" s="58"/>
      <c r="H15" s="10">
        <v>5</v>
      </c>
      <c r="I15" s="11">
        <v>1.268017356247831E-2</v>
      </c>
      <c r="J15" s="1">
        <v>4.4454280811227868E-3</v>
      </c>
      <c r="L15" s="12">
        <f t="shared" si="2"/>
        <v>5</v>
      </c>
      <c r="M15" s="13">
        <v>1.5</v>
      </c>
      <c r="N15" s="14">
        <v>3.9999999999999994E-2</v>
      </c>
      <c r="O15" s="15"/>
      <c r="Q15" s="12">
        <f t="shared" si="3"/>
        <v>5</v>
      </c>
      <c r="R15" s="13">
        <v>3</v>
      </c>
      <c r="S15" s="14">
        <v>0.17971428571428572</v>
      </c>
      <c r="U15" s="15"/>
      <c r="V15" s="9">
        <v>5</v>
      </c>
      <c r="W15" s="16">
        <v>0.29504729567195132</v>
      </c>
      <c r="X15" s="16">
        <v>0.29410906102465528</v>
      </c>
      <c r="Y15" s="16">
        <v>0.29348739345452551</v>
      </c>
      <c r="Z15" s="16">
        <v>0.29064634905996189</v>
      </c>
      <c r="AA15" s="16">
        <v>0.28762985175765876</v>
      </c>
      <c r="AB15" s="16">
        <v>0.2824484379257759</v>
      </c>
      <c r="AC15" s="16">
        <v>0.28044120852128707</v>
      </c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</row>
    <row r="16" spans="1:45" x14ac:dyDescent="0.35">
      <c r="A16" s="1">
        <f t="shared" si="1"/>
        <v>16</v>
      </c>
      <c r="C16" s="17" t="s">
        <v>24</v>
      </c>
      <c r="D16" s="18">
        <v>2.8299999999999999E-2</v>
      </c>
      <c r="G16" s="58"/>
      <c r="H16" s="10">
        <v>7</v>
      </c>
      <c r="I16" s="11">
        <v>1.1655130280878735E-2</v>
      </c>
      <c r="J16" s="1">
        <v>3.8199530523313962E-3</v>
      </c>
      <c r="L16" s="12">
        <f t="shared" si="2"/>
        <v>6</v>
      </c>
      <c r="M16" s="13">
        <v>2</v>
      </c>
      <c r="N16" s="14">
        <v>4.222999999999999E-2</v>
      </c>
      <c r="O16" s="15"/>
      <c r="Q16" s="12">
        <f t="shared" si="3"/>
        <v>6</v>
      </c>
      <c r="R16" s="13">
        <v>4</v>
      </c>
      <c r="S16" s="14">
        <v>0.1772857142857143</v>
      </c>
      <c r="U16" s="15"/>
      <c r="V16" s="9">
        <v>7</v>
      </c>
      <c r="W16" s="16">
        <v>0.29334100811282815</v>
      </c>
      <c r="X16" s="16">
        <v>0.29163472055370498</v>
      </c>
      <c r="Y16" s="16">
        <v>0.28916038008275469</v>
      </c>
      <c r="Z16" s="16">
        <v>0.28763947086819353</v>
      </c>
      <c r="AA16" s="16">
        <v>0.28099732722068071</v>
      </c>
      <c r="AB16" s="16">
        <v>0.28156800987879538</v>
      </c>
      <c r="AC16" s="16">
        <v>0.27650085643237637</v>
      </c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</row>
    <row r="17" spans="1:40" x14ac:dyDescent="0.35">
      <c r="A17" s="1">
        <f t="shared" si="1"/>
        <v>17</v>
      </c>
      <c r="D17" s="51">
        <v>45028.697754629633</v>
      </c>
      <c r="E17" s="51"/>
      <c r="G17" s="58"/>
      <c r="H17" s="10">
        <v>10</v>
      </c>
      <c r="I17" s="11">
        <v>1.0407980775703736E-2</v>
      </c>
      <c r="J17" s="1">
        <v>3.159422204856295E-3</v>
      </c>
      <c r="L17" s="12">
        <f t="shared" si="2"/>
        <v>7</v>
      </c>
      <c r="M17" s="13">
        <v>2</v>
      </c>
      <c r="N17" s="14">
        <v>4.222999999999999E-2</v>
      </c>
      <c r="O17" s="15"/>
      <c r="Q17" s="12">
        <f t="shared" si="3"/>
        <v>7</v>
      </c>
      <c r="R17" s="13">
        <v>5</v>
      </c>
      <c r="S17" s="14">
        <v>0.17885714285714285</v>
      </c>
      <c r="U17" s="15"/>
      <c r="V17" s="9">
        <v>10</v>
      </c>
      <c r="W17" s="16">
        <v>0.29168249543038094</v>
      </c>
      <c r="X17" s="16">
        <v>0.29002398274793367</v>
      </c>
      <c r="Y17" s="16">
        <v>0.28841324494216236</v>
      </c>
      <c r="Z17" s="16">
        <v>0.28657200821606188</v>
      </c>
      <c r="AA17" s="16">
        <v>0.28293319162819597</v>
      </c>
      <c r="AB17" s="16">
        <v>0.27733549492199805</v>
      </c>
      <c r="AC17" s="16">
        <v>0.27242134733632339</v>
      </c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</row>
    <row r="18" spans="1:40" x14ac:dyDescent="0.35">
      <c r="A18" s="1">
        <f t="shared" si="1"/>
        <v>18</v>
      </c>
      <c r="D18" s="51">
        <v>45028.697754629633</v>
      </c>
      <c r="E18" s="51"/>
      <c r="G18" s="58"/>
      <c r="H18" s="10"/>
      <c r="I18" s="11"/>
      <c r="L18" s="12">
        <f t="shared" si="2"/>
        <v>8</v>
      </c>
      <c r="M18" s="13">
        <v>3</v>
      </c>
      <c r="N18" s="14">
        <v>4.2499999999999996E-2</v>
      </c>
      <c r="O18" s="15"/>
      <c r="Q18" s="12">
        <f t="shared" si="3"/>
        <v>8</v>
      </c>
      <c r="R18" s="13">
        <v>7</v>
      </c>
      <c r="S18" s="14">
        <v>0.17299999999999999</v>
      </c>
      <c r="U18" s="19"/>
      <c r="V18" s="9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</row>
    <row r="19" spans="1:40" x14ac:dyDescent="0.35">
      <c r="A19" s="1">
        <f t="shared" si="1"/>
        <v>19</v>
      </c>
      <c r="G19" s="58"/>
      <c r="H19" s="10"/>
      <c r="I19" s="11"/>
      <c r="L19" s="12">
        <f t="shared" si="2"/>
        <v>9</v>
      </c>
      <c r="M19" s="13">
        <v>4</v>
      </c>
      <c r="N19" s="14">
        <v>4.3450000000000003E-2</v>
      </c>
      <c r="O19" s="15"/>
      <c r="P19" s="15"/>
      <c r="Q19" s="12">
        <f t="shared" si="3"/>
        <v>9</v>
      </c>
      <c r="R19" s="13">
        <v>10</v>
      </c>
      <c r="S19" s="14">
        <v>0.17214285714285715</v>
      </c>
      <c r="U19" s="19"/>
      <c r="V19" s="9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</row>
    <row r="20" spans="1:40" x14ac:dyDescent="0.35">
      <c r="A20" s="1">
        <f t="shared" si="1"/>
        <v>20</v>
      </c>
      <c r="G20" s="58"/>
      <c r="H20" s="10"/>
      <c r="I20" s="11"/>
      <c r="L20" s="12">
        <f t="shared" si="2"/>
        <v>10</v>
      </c>
      <c r="M20" s="13">
        <v>5</v>
      </c>
      <c r="N20" s="14">
        <v>4.2889999999999998E-2</v>
      </c>
      <c r="O20" s="15"/>
      <c r="Q20" s="12">
        <f t="shared" si="3"/>
        <v>10</v>
      </c>
      <c r="R20" s="13"/>
      <c r="S20" s="14"/>
      <c r="U20" s="19"/>
      <c r="V20" s="9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</row>
    <row r="21" spans="1:40" x14ac:dyDescent="0.35">
      <c r="A21" s="1">
        <f t="shared" si="1"/>
        <v>21</v>
      </c>
      <c r="G21" s="58"/>
      <c r="H21" s="10"/>
      <c r="I21" s="11"/>
      <c r="L21" s="12">
        <f t="shared" si="2"/>
        <v>11</v>
      </c>
      <c r="M21" s="13">
        <v>10</v>
      </c>
      <c r="N21" s="14">
        <v>4.274E-2</v>
      </c>
      <c r="O21" s="15"/>
      <c r="Q21" s="12">
        <f t="shared" si="3"/>
        <v>11</v>
      </c>
      <c r="R21" s="13"/>
      <c r="S21" s="14"/>
      <c r="U21" s="20"/>
      <c r="V21" s="9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</row>
    <row r="22" spans="1:40" x14ac:dyDescent="0.35">
      <c r="A22" s="1">
        <f t="shared" si="1"/>
        <v>22</v>
      </c>
      <c r="G22" s="58"/>
      <c r="H22" s="10"/>
      <c r="I22" s="11"/>
      <c r="L22" s="12">
        <f t="shared" si="2"/>
        <v>12</v>
      </c>
      <c r="M22" s="13">
        <v>20</v>
      </c>
      <c r="N22" s="14">
        <v>4.1399999999999992E-2</v>
      </c>
      <c r="O22" s="15"/>
      <c r="P22" s="15"/>
      <c r="Q22" s="12">
        <f t="shared" si="3"/>
        <v>12</v>
      </c>
      <c r="R22" s="13"/>
      <c r="S22" s="14"/>
      <c r="U22" s="21"/>
      <c r="V22" s="9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</row>
    <row r="23" spans="1:40" x14ac:dyDescent="0.35">
      <c r="A23" s="1">
        <f t="shared" si="1"/>
        <v>23</v>
      </c>
      <c r="G23" s="58"/>
      <c r="H23" s="10"/>
      <c r="I23" s="11"/>
      <c r="L23" s="12">
        <f t="shared" si="2"/>
        <v>13</v>
      </c>
      <c r="M23" s="13">
        <v>30</v>
      </c>
      <c r="N23" s="14">
        <v>4.0489999999999998E-2</v>
      </c>
      <c r="O23" s="15"/>
      <c r="Q23" s="12">
        <f t="shared" si="3"/>
        <v>13</v>
      </c>
      <c r="R23" s="13"/>
      <c r="S23" s="14"/>
      <c r="V23" s="9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</row>
    <row r="24" spans="1:40" x14ac:dyDescent="0.35">
      <c r="A24" s="1">
        <f t="shared" si="1"/>
        <v>24</v>
      </c>
      <c r="G24" s="58"/>
      <c r="H24" s="10"/>
      <c r="I24" s="11"/>
      <c r="L24" s="12">
        <f t="shared" si="2"/>
        <v>14</v>
      </c>
      <c r="M24" s="13"/>
      <c r="N24" s="14"/>
      <c r="Q24" s="12">
        <f t="shared" si="3"/>
        <v>14</v>
      </c>
      <c r="R24" s="13"/>
      <c r="S24" s="14"/>
      <c r="V24" s="9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</row>
    <row r="25" spans="1:40" x14ac:dyDescent="0.35">
      <c r="A25" s="1">
        <f t="shared" si="1"/>
        <v>25</v>
      </c>
      <c r="G25" s="58"/>
      <c r="H25" s="10"/>
      <c r="I25" s="11"/>
      <c r="L25" s="12">
        <f t="shared" si="2"/>
        <v>15</v>
      </c>
      <c r="M25" s="13"/>
      <c r="N25" s="14"/>
      <c r="Q25" s="12">
        <f t="shared" si="3"/>
        <v>15</v>
      </c>
      <c r="R25" s="13"/>
      <c r="S25" s="14"/>
      <c r="V25" s="9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</row>
    <row r="26" spans="1:40" x14ac:dyDescent="0.35">
      <c r="A26" s="1">
        <f t="shared" si="1"/>
        <v>26</v>
      </c>
      <c r="G26" s="58"/>
      <c r="H26" s="10"/>
      <c r="I26" s="11"/>
      <c r="L26" s="12">
        <f t="shared" si="2"/>
        <v>16</v>
      </c>
      <c r="M26" s="13"/>
      <c r="N26" s="14"/>
      <c r="Q26" s="12">
        <f t="shared" si="3"/>
        <v>16</v>
      </c>
      <c r="R26" s="13"/>
      <c r="S26" s="14"/>
      <c r="V26" s="9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</row>
    <row r="27" spans="1:40" x14ac:dyDescent="0.35">
      <c r="A27" s="1">
        <f t="shared" si="1"/>
        <v>27</v>
      </c>
      <c r="G27" s="58"/>
      <c r="H27" s="10"/>
      <c r="I27" s="11"/>
      <c r="L27" s="12">
        <f t="shared" si="2"/>
        <v>17</v>
      </c>
      <c r="M27" s="13"/>
      <c r="N27" s="14"/>
      <c r="Q27" s="12">
        <f t="shared" si="3"/>
        <v>17</v>
      </c>
      <c r="R27" s="13"/>
      <c r="S27" s="14"/>
      <c r="V27" s="9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</row>
    <row r="28" spans="1:40" x14ac:dyDescent="0.35">
      <c r="A28" s="1">
        <f t="shared" si="1"/>
        <v>28</v>
      </c>
      <c r="G28" s="58"/>
      <c r="H28" s="10"/>
      <c r="I28" s="11"/>
      <c r="L28" s="12">
        <f t="shared" si="2"/>
        <v>18</v>
      </c>
      <c r="M28" s="13"/>
      <c r="N28" s="14"/>
      <c r="Q28" s="12">
        <f t="shared" si="3"/>
        <v>18</v>
      </c>
      <c r="R28" s="13"/>
      <c r="S28" s="14"/>
      <c r="V28" s="9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</row>
    <row r="29" spans="1:40" x14ac:dyDescent="0.35">
      <c r="A29" s="1">
        <f t="shared" si="1"/>
        <v>29</v>
      </c>
      <c r="G29" s="58"/>
      <c r="H29" s="10"/>
      <c r="I29" s="11"/>
      <c r="L29" s="12">
        <f t="shared" si="2"/>
        <v>19</v>
      </c>
      <c r="M29" s="22"/>
      <c r="N29" s="23"/>
      <c r="Q29" s="12">
        <f t="shared" si="3"/>
        <v>19</v>
      </c>
      <c r="R29" s="24"/>
      <c r="S29" s="23"/>
      <c r="V29" s="9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</row>
    <row r="30" spans="1:40" x14ac:dyDescent="0.35">
      <c r="A30" s="1">
        <f t="shared" si="1"/>
        <v>30</v>
      </c>
      <c r="G30" s="58"/>
      <c r="H30" s="10"/>
      <c r="I30" s="11"/>
      <c r="L30" s="12">
        <f t="shared" si="2"/>
        <v>20</v>
      </c>
      <c r="M30" s="22"/>
      <c r="N30" s="23"/>
      <c r="Q30" s="12">
        <f t="shared" si="3"/>
        <v>20</v>
      </c>
      <c r="R30" s="24"/>
      <c r="S30" s="23"/>
      <c r="V30" s="9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</row>
    <row r="31" spans="1:40" x14ac:dyDescent="0.35">
      <c r="A31" s="1">
        <f t="shared" si="1"/>
        <v>31</v>
      </c>
      <c r="G31" s="58"/>
      <c r="H31" s="10"/>
      <c r="I31" s="11"/>
      <c r="L31" s="12">
        <f t="shared" si="2"/>
        <v>21</v>
      </c>
      <c r="M31" s="22"/>
      <c r="N31" s="23"/>
      <c r="Q31" s="12">
        <f t="shared" si="3"/>
        <v>21</v>
      </c>
      <c r="R31" s="24"/>
      <c r="S31" s="23"/>
      <c r="V31" s="9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</row>
    <row r="32" spans="1:40" x14ac:dyDescent="0.35">
      <c r="A32" s="1">
        <f t="shared" si="1"/>
        <v>32</v>
      </c>
      <c r="G32" s="58"/>
      <c r="H32" s="10"/>
      <c r="I32" s="11"/>
      <c r="L32" s="12">
        <f t="shared" si="2"/>
        <v>22</v>
      </c>
      <c r="M32" s="22"/>
      <c r="N32" s="23"/>
      <c r="Q32" s="12">
        <f t="shared" si="3"/>
        <v>22</v>
      </c>
      <c r="R32" s="24"/>
      <c r="S32" s="23"/>
      <c r="V32" s="9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</row>
    <row r="33" spans="1:40" x14ac:dyDescent="0.35">
      <c r="A33" s="1">
        <f t="shared" si="1"/>
        <v>33</v>
      </c>
      <c r="G33" s="58"/>
      <c r="H33" s="10"/>
      <c r="I33" s="11"/>
      <c r="L33" s="12">
        <f t="shared" si="2"/>
        <v>23</v>
      </c>
      <c r="M33" s="22"/>
      <c r="N33" s="23"/>
      <c r="Q33" s="12">
        <f t="shared" si="3"/>
        <v>23</v>
      </c>
      <c r="R33" s="24"/>
      <c r="S33" s="23"/>
      <c r="V33" s="9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</row>
    <row r="34" spans="1:40" x14ac:dyDescent="0.35">
      <c r="A34" s="1">
        <f t="shared" si="1"/>
        <v>34</v>
      </c>
      <c r="G34" s="58"/>
      <c r="H34" s="10"/>
      <c r="I34" s="11"/>
      <c r="L34" s="12">
        <f t="shared" si="2"/>
        <v>24</v>
      </c>
      <c r="M34" s="22"/>
      <c r="N34" s="23"/>
      <c r="Q34" s="12">
        <f t="shared" si="3"/>
        <v>24</v>
      </c>
      <c r="R34" s="24"/>
      <c r="S34" s="23"/>
      <c r="V34" s="9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</row>
    <row r="35" spans="1:40" x14ac:dyDescent="0.35">
      <c r="A35" s="1">
        <f t="shared" si="1"/>
        <v>35</v>
      </c>
      <c r="G35" s="58"/>
      <c r="H35" s="10"/>
      <c r="I35" s="11"/>
      <c r="L35" s="12">
        <f t="shared" si="2"/>
        <v>25</v>
      </c>
      <c r="M35" s="22"/>
      <c r="N35" s="23"/>
      <c r="Q35" s="12">
        <f t="shared" si="3"/>
        <v>25</v>
      </c>
      <c r="R35" s="24"/>
      <c r="S35" s="23"/>
      <c r="V35" s="9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</row>
    <row r="36" spans="1:40" x14ac:dyDescent="0.35">
      <c r="A36" s="1">
        <f t="shared" si="1"/>
        <v>36</v>
      </c>
      <c r="G36" s="58"/>
      <c r="H36" s="10"/>
      <c r="I36" s="11"/>
      <c r="L36" s="12">
        <f t="shared" si="2"/>
        <v>26</v>
      </c>
      <c r="M36" s="22"/>
      <c r="N36" s="23"/>
      <c r="Q36" s="12">
        <f t="shared" si="3"/>
        <v>26</v>
      </c>
      <c r="R36" s="24"/>
      <c r="S36" s="23"/>
      <c r="V36" s="9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</row>
    <row r="37" spans="1:40" x14ac:dyDescent="0.35">
      <c r="A37" s="1">
        <f t="shared" si="1"/>
        <v>37</v>
      </c>
      <c r="G37" s="58"/>
      <c r="H37" s="10"/>
      <c r="I37" s="11"/>
      <c r="L37" s="12">
        <f t="shared" si="2"/>
        <v>27</v>
      </c>
      <c r="M37" s="22"/>
      <c r="N37" s="23"/>
      <c r="Q37" s="12">
        <f t="shared" si="3"/>
        <v>27</v>
      </c>
      <c r="R37" s="24"/>
      <c r="S37" s="23"/>
      <c r="V37" s="9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</row>
    <row r="38" spans="1:40" x14ac:dyDescent="0.35">
      <c r="A38" s="1">
        <f t="shared" si="1"/>
        <v>38</v>
      </c>
      <c r="G38" s="58"/>
      <c r="H38" s="10"/>
      <c r="I38" s="11"/>
      <c r="L38" s="12">
        <f t="shared" si="2"/>
        <v>28</v>
      </c>
      <c r="M38" s="22"/>
      <c r="N38" s="23"/>
      <c r="Q38" s="12">
        <f t="shared" si="3"/>
        <v>28</v>
      </c>
      <c r="R38" s="24"/>
      <c r="S38" s="23"/>
      <c r="V38" s="9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</row>
    <row r="39" spans="1:40" x14ac:dyDescent="0.35">
      <c r="A39" s="1">
        <f t="shared" si="1"/>
        <v>39</v>
      </c>
      <c r="G39" s="58"/>
      <c r="H39" s="10"/>
      <c r="I39" s="11"/>
      <c r="L39" s="12">
        <f t="shared" si="2"/>
        <v>29</v>
      </c>
      <c r="M39" s="22"/>
      <c r="N39" s="23"/>
      <c r="Q39" s="12">
        <f t="shared" si="3"/>
        <v>29</v>
      </c>
      <c r="R39" s="24"/>
      <c r="S39" s="23"/>
      <c r="V39" s="9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</row>
    <row r="40" spans="1:40" x14ac:dyDescent="0.35">
      <c r="A40" s="1">
        <f t="shared" si="1"/>
        <v>40</v>
      </c>
      <c r="G40" s="58"/>
      <c r="H40" s="10"/>
      <c r="I40" s="11"/>
      <c r="L40" s="12">
        <f t="shared" si="2"/>
        <v>30</v>
      </c>
      <c r="M40" s="22"/>
      <c r="N40" s="23"/>
      <c r="Q40" s="12">
        <f t="shared" si="3"/>
        <v>30</v>
      </c>
      <c r="R40" s="24"/>
      <c r="S40" s="23"/>
      <c r="V40" s="9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</row>
    <row r="41" spans="1:40" x14ac:dyDescent="0.35">
      <c r="A41" s="1">
        <f t="shared" si="1"/>
        <v>41</v>
      </c>
      <c r="G41" s="25"/>
      <c r="H41" s="10"/>
      <c r="I41" s="11"/>
      <c r="L41" s="12">
        <f t="shared" si="2"/>
        <v>31</v>
      </c>
      <c r="M41" s="22"/>
      <c r="N41" s="23"/>
      <c r="Q41" s="12">
        <f t="shared" si="3"/>
        <v>31</v>
      </c>
      <c r="R41" s="24"/>
      <c r="S41" s="23"/>
      <c r="V41" s="26"/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  <c r="AM41" s="27"/>
      <c r="AN41" s="27"/>
    </row>
    <row r="42" spans="1:40" x14ac:dyDescent="0.35">
      <c r="A42" s="1">
        <f t="shared" si="1"/>
        <v>42</v>
      </c>
      <c r="G42" s="25"/>
      <c r="H42" s="10"/>
      <c r="I42" s="11"/>
      <c r="L42" s="12">
        <f t="shared" si="2"/>
        <v>32</v>
      </c>
      <c r="M42" s="22"/>
      <c r="N42" s="23"/>
      <c r="Q42" s="12">
        <f t="shared" si="3"/>
        <v>32</v>
      </c>
      <c r="R42" s="24"/>
      <c r="S42" s="23"/>
      <c r="V42" s="26"/>
      <c r="W42" s="27"/>
      <c r="X42" s="27"/>
      <c r="Y42" s="27"/>
      <c r="Z42" s="27"/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</row>
    <row r="43" spans="1:40" x14ac:dyDescent="0.35">
      <c r="A43" s="1">
        <f t="shared" si="1"/>
        <v>43</v>
      </c>
      <c r="G43" s="25"/>
      <c r="H43" s="10"/>
      <c r="I43" s="11"/>
      <c r="L43" s="12">
        <f t="shared" si="2"/>
        <v>33</v>
      </c>
      <c r="M43" s="22"/>
      <c r="N43" s="23"/>
      <c r="Q43" s="12">
        <f t="shared" si="3"/>
        <v>33</v>
      </c>
      <c r="R43" s="24"/>
      <c r="S43" s="23"/>
      <c r="V43" s="26"/>
      <c r="W43" s="27"/>
      <c r="X43" s="27"/>
      <c r="Y43" s="27"/>
      <c r="Z43" s="27"/>
      <c r="AA43" s="27"/>
      <c r="AB43" s="27"/>
      <c r="AC43" s="27"/>
      <c r="AD43" s="27"/>
      <c r="AE43" s="27"/>
      <c r="AF43" s="27"/>
      <c r="AG43" s="27"/>
      <c r="AH43" s="27"/>
      <c r="AI43" s="27"/>
      <c r="AJ43" s="27"/>
      <c r="AK43" s="27"/>
      <c r="AL43" s="27"/>
      <c r="AM43" s="27"/>
      <c r="AN43" s="27"/>
    </row>
    <row r="44" spans="1:40" x14ac:dyDescent="0.35">
      <c r="A44" s="1">
        <f t="shared" si="1"/>
        <v>44</v>
      </c>
      <c r="G44" s="25"/>
      <c r="H44" s="10"/>
      <c r="I44" s="11"/>
      <c r="L44" s="12">
        <f t="shared" si="2"/>
        <v>34</v>
      </c>
      <c r="M44" s="22"/>
      <c r="N44" s="23"/>
      <c r="Q44" s="12">
        <f t="shared" si="3"/>
        <v>34</v>
      </c>
      <c r="R44" s="24"/>
      <c r="S44" s="23"/>
      <c r="V44" s="26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</row>
    <row r="45" spans="1:40" x14ac:dyDescent="0.35">
      <c r="A45" s="1">
        <f t="shared" si="1"/>
        <v>45</v>
      </c>
      <c r="G45" s="25"/>
      <c r="H45" s="10"/>
      <c r="I45" s="11"/>
      <c r="L45" s="12">
        <f t="shared" si="2"/>
        <v>35</v>
      </c>
      <c r="M45" s="22"/>
      <c r="N45" s="23"/>
      <c r="Q45" s="12">
        <f t="shared" si="3"/>
        <v>35</v>
      </c>
      <c r="R45" s="24"/>
      <c r="S45" s="23"/>
      <c r="V45" s="26"/>
      <c r="W45" s="27"/>
      <c r="X45" s="27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</row>
    <row r="46" spans="1:40" x14ac:dyDescent="0.35">
      <c r="A46" s="1">
        <f t="shared" si="1"/>
        <v>46</v>
      </c>
      <c r="G46" s="25"/>
      <c r="H46" s="10"/>
      <c r="I46" s="11"/>
      <c r="L46" s="12">
        <f t="shared" si="2"/>
        <v>36</v>
      </c>
      <c r="M46" s="22"/>
      <c r="N46" s="23"/>
      <c r="Q46" s="12">
        <f t="shared" si="3"/>
        <v>36</v>
      </c>
      <c r="R46" s="24"/>
      <c r="S46" s="23"/>
      <c r="V46" s="26"/>
      <c r="W46" s="27"/>
      <c r="X46" s="27"/>
      <c r="Y46" s="27"/>
      <c r="Z46" s="2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  <c r="AN46" s="27"/>
    </row>
    <row r="47" spans="1:40" x14ac:dyDescent="0.35">
      <c r="A47" s="1">
        <f t="shared" si="1"/>
        <v>47</v>
      </c>
      <c r="G47" s="25"/>
      <c r="H47" s="10"/>
      <c r="I47" s="11"/>
      <c r="L47" s="12">
        <f t="shared" si="2"/>
        <v>37</v>
      </c>
      <c r="M47" s="22"/>
      <c r="N47" s="23"/>
      <c r="Q47" s="12">
        <f t="shared" si="3"/>
        <v>37</v>
      </c>
      <c r="R47" s="24"/>
      <c r="S47" s="23"/>
      <c r="V47" s="26"/>
      <c r="W47" s="27"/>
      <c r="X47" s="27"/>
      <c r="Y47" s="27"/>
      <c r="Z47" s="2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  <c r="AN47" s="27"/>
    </row>
    <row r="48" spans="1:40" x14ac:dyDescent="0.35">
      <c r="A48" s="1">
        <f t="shared" si="1"/>
        <v>48</v>
      </c>
      <c r="G48" s="25"/>
      <c r="H48" s="10"/>
      <c r="I48" s="11"/>
      <c r="L48" s="12">
        <f t="shared" si="2"/>
        <v>38</v>
      </c>
      <c r="M48" s="22"/>
      <c r="N48" s="23"/>
      <c r="Q48" s="12">
        <f t="shared" si="3"/>
        <v>38</v>
      </c>
      <c r="R48" s="24"/>
      <c r="S48" s="23"/>
      <c r="V48" s="26"/>
      <c r="W48" s="27"/>
      <c r="X48" s="27"/>
      <c r="Y48" s="27"/>
      <c r="Z48" s="27"/>
      <c r="AA48" s="27"/>
      <c r="AB48" s="27"/>
      <c r="AC48" s="27"/>
      <c r="AD48" s="27"/>
      <c r="AE48" s="27"/>
      <c r="AF48" s="27"/>
      <c r="AG48" s="27"/>
      <c r="AH48" s="27"/>
      <c r="AI48" s="27"/>
      <c r="AJ48" s="27"/>
      <c r="AK48" s="27"/>
      <c r="AL48" s="27"/>
      <c r="AM48" s="27"/>
      <c r="AN48" s="27"/>
    </row>
    <row r="49" spans="1:40" x14ac:dyDescent="0.35">
      <c r="A49" s="1">
        <f t="shared" si="1"/>
        <v>49</v>
      </c>
      <c r="G49" s="25"/>
      <c r="H49" s="10"/>
      <c r="I49" s="11"/>
      <c r="L49" s="12">
        <f t="shared" si="2"/>
        <v>39</v>
      </c>
      <c r="M49" s="22"/>
      <c r="N49" s="23"/>
      <c r="Q49" s="12">
        <f t="shared" si="3"/>
        <v>39</v>
      </c>
      <c r="R49" s="24"/>
      <c r="S49" s="23"/>
      <c r="V49" s="26"/>
      <c r="W49" s="27"/>
      <c r="X49" s="27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27"/>
      <c r="AK49" s="27"/>
      <c r="AL49" s="27"/>
      <c r="AM49" s="27"/>
      <c r="AN49" s="27"/>
    </row>
    <row r="50" spans="1:40" x14ac:dyDescent="0.35">
      <c r="A50" s="1">
        <f t="shared" si="1"/>
        <v>50</v>
      </c>
      <c r="G50" s="25"/>
      <c r="H50" s="10"/>
      <c r="I50" s="11"/>
      <c r="L50" s="12">
        <f t="shared" si="2"/>
        <v>40</v>
      </c>
      <c r="M50" s="22"/>
      <c r="N50" s="23"/>
      <c r="Q50" s="12">
        <f t="shared" si="3"/>
        <v>40</v>
      </c>
      <c r="R50" s="24"/>
      <c r="S50" s="23"/>
      <c r="V50" s="26"/>
      <c r="W50" s="27"/>
      <c r="X50" s="27"/>
      <c r="Y50" s="27"/>
      <c r="Z50" s="27"/>
      <c r="AA50" s="27"/>
      <c r="AB50" s="27"/>
      <c r="AC50" s="27"/>
      <c r="AD50" s="27"/>
      <c r="AE50" s="27"/>
      <c r="AF50" s="27"/>
      <c r="AG50" s="27"/>
      <c r="AH50" s="27"/>
      <c r="AI50" s="27"/>
      <c r="AJ50" s="27"/>
      <c r="AK50" s="27"/>
      <c r="AL50" s="27"/>
      <c r="AM50" s="27"/>
      <c r="AN50" s="27"/>
    </row>
    <row r="51" spans="1:40" x14ac:dyDescent="0.35">
      <c r="A51" s="1">
        <f t="shared" si="1"/>
        <v>51</v>
      </c>
      <c r="G51" s="25"/>
      <c r="H51" s="10"/>
      <c r="I51" s="11"/>
      <c r="L51" s="12">
        <f t="shared" si="2"/>
        <v>41</v>
      </c>
      <c r="M51" s="22"/>
      <c r="N51" s="23"/>
      <c r="Q51" s="12">
        <f t="shared" si="3"/>
        <v>41</v>
      </c>
      <c r="R51" s="24"/>
      <c r="S51" s="23"/>
      <c r="V51" s="26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7"/>
      <c r="AL51" s="27"/>
      <c r="AM51" s="27"/>
      <c r="AN51" s="27"/>
    </row>
    <row r="52" spans="1:40" x14ac:dyDescent="0.35">
      <c r="A52" s="1">
        <f t="shared" si="1"/>
        <v>52</v>
      </c>
      <c r="G52" s="25"/>
      <c r="H52" s="10"/>
      <c r="I52" s="11"/>
      <c r="L52" s="12">
        <f t="shared" si="2"/>
        <v>42</v>
      </c>
      <c r="M52" s="22"/>
      <c r="N52" s="23"/>
      <c r="Q52" s="12">
        <f t="shared" si="3"/>
        <v>42</v>
      </c>
      <c r="R52" s="24"/>
      <c r="S52" s="23"/>
      <c r="V52" s="26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  <c r="AJ52" s="27"/>
      <c r="AK52" s="27"/>
      <c r="AL52" s="27"/>
      <c r="AM52" s="27"/>
      <c r="AN52" s="27"/>
    </row>
    <row r="53" spans="1:40" x14ac:dyDescent="0.35">
      <c r="A53" s="1">
        <f t="shared" si="1"/>
        <v>53</v>
      </c>
      <c r="G53" s="25"/>
      <c r="H53" s="10"/>
      <c r="I53" s="11"/>
      <c r="L53" s="12">
        <f t="shared" si="2"/>
        <v>43</v>
      </c>
      <c r="M53" s="22"/>
      <c r="N53" s="23"/>
      <c r="Q53" s="12">
        <f t="shared" si="3"/>
        <v>43</v>
      </c>
      <c r="R53" s="24"/>
      <c r="S53" s="23"/>
      <c r="V53" s="26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  <c r="AL53" s="27"/>
      <c r="AM53" s="27"/>
      <c r="AN53" s="27"/>
    </row>
    <row r="54" spans="1:40" x14ac:dyDescent="0.4">
      <c r="A54" s="1">
        <f t="shared" si="1"/>
        <v>54</v>
      </c>
    </row>
    <row r="55" spans="1:40" x14ac:dyDescent="0.4">
      <c r="A55" s="1">
        <f t="shared" si="1"/>
        <v>55</v>
      </c>
      <c r="G55" s="57" t="s">
        <v>25</v>
      </c>
      <c r="H55" s="59" t="s">
        <v>47</v>
      </c>
      <c r="I55" s="59"/>
      <c r="J55" s="59"/>
      <c r="K55" s="59"/>
      <c r="L55" s="59"/>
      <c r="M55" s="59"/>
      <c r="N55" s="59"/>
      <c r="O55" s="59"/>
      <c r="P55" s="59"/>
      <c r="Q55" s="59"/>
      <c r="R55" s="59"/>
      <c r="S55" s="59"/>
      <c r="T55" s="59"/>
      <c r="U55" s="59"/>
      <c r="V55" s="59"/>
      <c r="W55" s="59"/>
      <c r="X55" s="59"/>
    </row>
    <row r="56" spans="1:40" x14ac:dyDescent="0.4">
      <c r="A56" s="1">
        <f t="shared" si="1"/>
        <v>56</v>
      </c>
      <c r="B56" s="52" t="s">
        <v>3</v>
      </c>
      <c r="C56" s="52"/>
      <c r="D56" s="53">
        <v>1</v>
      </c>
      <c r="E56" s="53"/>
      <c r="G56" s="58"/>
      <c r="H56" s="60" t="s">
        <v>26</v>
      </c>
      <c r="I56" s="61"/>
      <c r="L56" s="54" t="s">
        <v>27</v>
      </c>
      <c r="M56" s="54"/>
      <c r="N56" s="54"/>
      <c r="Q56" s="54" t="s">
        <v>6</v>
      </c>
      <c r="R56" s="54"/>
      <c r="S56" s="54"/>
      <c r="V56" s="54" t="s">
        <v>28</v>
      </c>
      <c r="W56" s="54"/>
      <c r="X56" s="54"/>
    </row>
    <row r="57" spans="1:40" x14ac:dyDescent="0.4">
      <c r="A57" s="1">
        <f t="shared" si="1"/>
        <v>57</v>
      </c>
      <c r="B57" s="52" t="s">
        <v>29</v>
      </c>
      <c r="C57" s="52"/>
      <c r="D57" s="53">
        <v>1</v>
      </c>
      <c r="E57" s="53"/>
      <c r="G57" s="58"/>
      <c r="H57" s="62"/>
      <c r="I57" s="63"/>
      <c r="L57" s="54"/>
      <c r="M57" s="54"/>
      <c r="N57" s="54"/>
      <c r="Q57" s="54"/>
      <c r="R57" s="54"/>
      <c r="S57" s="54"/>
      <c r="V57" s="54"/>
      <c r="W57" s="54"/>
      <c r="X57" s="54"/>
    </row>
    <row r="58" spans="1:40" x14ac:dyDescent="0.4">
      <c r="A58" s="1">
        <f t="shared" si="1"/>
        <v>58</v>
      </c>
      <c r="B58" s="52" t="s">
        <v>9</v>
      </c>
      <c r="C58" s="52"/>
      <c r="D58" s="53">
        <v>0.01</v>
      </c>
      <c r="E58" s="53"/>
      <c r="G58" s="58"/>
      <c r="I58" s="2" t="s">
        <v>10</v>
      </c>
      <c r="V58" s="54" t="s">
        <v>11</v>
      </c>
      <c r="W58" s="54"/>
      <c r="X58" s="3">
        <v>3</v>
      </c>
    </row>
    <row r="59" spans="1:40" x14ac:dyDescent="0.4">
      <c r="A59" s="1">
        <f t="shared" si="1"/>
        <v>59</v>
      </c>
      <c r="G59" s="58"/>
      <c r="H59" s="2" t="s">
        <v>12</v>
      </c>
      <c r="I59" s="4">
        <v>0.01</v>
      </c>
      <c r="Q59" s="54" t="s">
        <v>30</v>
      </c>
      <c r="R59" s="54"/>
      <c r="S59" s="3">
        <v>3</v>
      </c>
      <c r="V59" s="55" t="s">
        <v>31</v>
      </c>
      <c r="W59" s="5" t="s">
        <v>32</v>
      </c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</row>
    <row r="60" spans="1:40" x14ac:dyDescent="0.4">
      <c r="A60" s="1">
        <f t="shared" si="1"/>
        <v>60</v>
      </c>
      <c r="G60" s="58"/>
      <c r="H60" s="7" t="s">
        <v>33</v>
      </c>
      <c r="I60" s="28" t="s">
        <v>34</v>
      </c>
      <c r="L60" s="8" t="s">
        <v>35</v>
      </c>
      <c r="M60" s="8" t="s">
        <v>36</v>
      </c>
      <c r="N60" s="7" t="s">
        <v>37</v>
      </c>
      <c r="Q60" s="8" t="s">
        <v>35</v>
      </c>
      <c r="R60" s="8" t="s">
        <v>36</v>
      </c>
      <c r="S60" s="7" t="s">
        <v>38</v>
      </c>
      <c r="V60" s="56"/>
      <c r="W60" s="9">
        <v>1</v>
      </c>
      <c r="X60" s="9">
        <v>2</v>
      </c>
      <c r="Y60" s="9">
        <v>3</v>
      </c>
      <c r="Z60" s="9">
        <v>4</v>
      </c>
      <c r="AA60" s="9">
        <v>5</v>
      </c>
      <c r="AB60" s="9">
        <v>7</v>
      </c>
      <c r="AC60" s="9">
        <v>10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</row>
    <row r="61" spans="1:40" x14ac:dyDescent="0.35">
      <c r="A61" s="1">
        <f t="shared" si="1"/>
        <v>61</v>
      </c>
      <c r="G61" s="58"/>
      <c r="H61" s="10">
        <v>1</v>
      </c>
      <c r="I61" s="11">
        <v>1.3234796392783854E-2</v>
      </c>
      <c r="J61" s="1">
        <v>7.9480132039241695E-3</v>
      </c>
      <c r="L61" s="12">
        <v>1</v>
      </c>
      <c r="M61" s="13">
        <v>0.25</v>
      </c>
      <c r="N61" s="14">
        <v>4.2140000000000004E-2</v>
      </c>
      <c r="O61" s="15"/>
      <c r="Q61" s="12">
        <v>1</v>
      </c>
      <c r="R61" s="13">
        <v>1</v>
      </c>
      <c r="S61" s="14">
        <v>0.17964285714285716</v>
      </c>
      <c r="V61" s="9">
        <v>1</v>
      </c>
      <c r="W61" s="16">
        <v>0.31709999999999999</v>
      </c>
      <c r="X61" s="16">
        <v>0.31219999999999998</v>
      </c>
      <c r="Y61" s="16">
        <v>0.3125</v>
      </c>
      <c r="Z61" s="16">
        <v>0.29726033440788158</v>
      </c>
      <c r="AA61" s="16">
        <v>0.29908018972630812</v>
      </c>
      <c r="AB61" s="16">
        <v>0.29519944176614205</v>
      </c>
      <c r="AC61" s="16">
        <v>0.29289439984735399</v>
      </c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</row>
    <row r="62" spans="1:40" x14ac:dyDescent="0.35">
      <c r="A62" s="1">
        <f t="shared" si="1"/>
        <v>62</v>
      </c>
      <c r="G62" s="58"/>
      <c r="H62" s="10">
        <v>2</v>
      </c>
      <c r="I62" s="11">
        <v>1.1992605662920444E-2</v>
      </c>
      <c r="J62" s="1">
        <v>6.8935927128934531E-3</v>
      </c>
      <c r="L62" s="12">
        <f>L61+1</f>
        <v>2</v>
      </c>
      <c r="M62" s="13">
        <v>0.5</v>
      </c>
      <c r="N62" s="14">
        <v>4.5100000000000001E-2</v>
      </c>
      <c r="O62" s="15"/>
      <c r="Q62" s="12">
        <f>Q61+1</f>
        <v>2</v>
      </c>
      <c r="R62" s="13">
        <v>2</v>
      </c>
      <c r="S62" s="14">
        <v>0.18085714285714286</v>
      </c>
      <c r="V62" s="9">
        <v>2</v>
      </c>
      <c r="W62" s="16">
        <v>0.31730000000000003</v>
      </c>
      <c r="X62" s="16">
        <v>0.31879999999999997</v>
      </c>
      <c r="Y62" s="16">
        <v>0.29644310169676802</v>
      </c>
      <c r="Z62" s="16">
        <v>0.29438544513377152</v>
      </c>
      <c r="AA62" s="16">
        <v>0.29541479871739407</v>
      </c>
      <c r="AB62" s="16">
        <v>0.28717613046935253</v>
      </c>
      <c r="AC62" s="16">
        <v>0.28649021678069087</v>
      </c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</row>
    <row r="63" spans="1:40" x14ac:dyDescent="0.35">
      <c r="A63" s="1">
        <f t="shared" si="1"/>
        <v>63</v>
      </c>
      <c r="C63" s="17" t="s">
        <v>39</v>
      </c>
      <c r="D63" s="50" t="s">
        <v>23</v>
      </c>
      <c r="E63" s="50"/>
      <c r="G63" s="58"/>
      <c r="H63" s="10">
        <v>3</v>
      </c>
      <c r="I63" s="11">
        <v>1.1715711051261271E-2</v>
      </c>
      <c r="J63" s="1">
        <v>5.728919982521256E-3</v>
      </c>
      <c r="L63" s="12">
        <f t="shared" ref="L63:L103" si="4">L62+1</f>
        <v>3</v>
      </c>
      <c r="M63" s="13">
        <v>1</v>
      </c>
      <c r="N63" s="14">
        <v>4.8210000000000003E-2</v>
      </c>
      <c r="O63" s="15"/>
      <c r="Q63" s="12">
        <f t="shared" ref="Q63:Q103" si="5">Q62+1</f>
        <v>3</v>
      </c>
      <c r="R63" s="13">
        <v>3</v>
      </c>
      <c r="S63" s="14">
        <v>0.17971428571428572</v>
      </c>
      <c r="V63" s="9">
        <v>3</v>
      </c>
      <c r="W63" s="16">
        <v>0.30120000000000002</v>
      </c>
      <c r="X63" s="16">
        <v>0.2994</v>
      </c>
      <c r="Y63" s="16">
        <v>0.29717498625073369</v>
      </c>
      <c r="Z63" s="16">
        <v>0.28937257030241842</v>
      </c>
      <c r="AA63" s="16">
        <v>0.29040069342335539</v>
      </c>
      <c r="AB63" s="16">
        <v>0.28492963240514568</v>
      </c>
      <c r="AC63" s="16">
        <v>0.28240863276377215</v>
      </c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</row>
    <row r="64" spans="1:40" x14ac:dyDescent="0.35">
      <c r="A64" s="1">
        <f t="shared" si="1"/>
        <v>64</v>
      </c>
      <c r="D64" s="50"/>
      <c r="E64" s="50"/>
      <c r="G64" s="58"/>
      <c r="H64" s="10">
        <v>4</v>
      </c>
      <c r="I64" s="11">
        <v>1.2244779295254644E-2</v>
      </c>
      <c r="J64" s="1">
        <v>4.1859844426167959E-3</v>
      </c>
      <c r="L64" s="12">
        <f t="shared" si="4"/>
        <v>4</v>
      </c>
      <c r="M64" s="13">
        <v>2</v>
      </c>
      <c r="N64" s="14">
        <v>4.7410000000000001E-2</v>
      </c>
      <c r="O64" s="15"/>
      <c r="Q64" s="12">
        <f t="shared" si="5"/>
        <v>4</v>
      </c>
      <c r="R64" s="13">
        <v>4</v>
      </c>
      <c r="S64" s="14">
        <v>0.1772857142857143</v>
      </c>
      <c r="V64" s="9">
        <v>4</v>
      </c>
      <c r="W64" s="16">
        <v>0.29598553031924729</v>
      </c>
      <c r="X64" s="16">
        <v>0.29473072859478505</v>
      </c>
      <c r="Y64" s="16">
        <v>0.29229896126040589</v>
      </c>
      <c r="Z64" s="16">
        <v>0.28636830666588853</v>
      </c>
      <c r="AA64" s="16">
        <v>0.2849370904526739</v>
      </c>
      <c r="AB64" s="16">
        <v>0.28379388192157057</v>
      </c>
      <c r="AC64" s="16">
        <v>0.2798070663699882</v>
      </c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</row>
    <row r="65" spans="1:40" x14ac:dyDescent="0.35">
      <c r="A65" s="1">
        <f t="shared" si="1"/>
        <v>65</v>
      </c>
      <c r="D65" s="50"/>
      <c r="E65" s="50"/>
      <c r="G65" s="58"/>
      <c r="H65" s="10">
        <v>5</v>
      </c>
      <c r="I65" s="11">
        <v>1.2997115028768311E-2</v>
      </c>
      <c r="J65" s="1">
        <v>4.9759111242057424E-3</v>
      </c>
      <c r="L65" s="12">
        <f t="shared" si="4"/>
        <v>5</v>
      </c>
      <c r="M65" s="13">
        <v>3</v>
      </c>
      <c r="N65" s="14">
        <v>4.727E-2</v>
      </c>
      <c r="O65" s="15"/>
      <c r="Q65" s="12">
        <f t="shared" si="5"/>
        <v>5</v>
      </c>
      <c r="R65" s="13">
        <v>5</v>
      </c>
      <c r="S65" s="14">
        <v>0.17885714285714285</v>
      </c>
      <c r="V65" s="9">
        <v>5</v>
      </c>
      <c r="W65" s="16">
        <v>0.29504729567195132</v>
      </c>
      <c r="X65" s="16">
        <v>0.29410906102465528</v>
      </c>
      <c r="Y65" s="16">
        <v>0.29348739345452551</v>
      </c>
      <c r="Z65" s="16">
        <v>0.29064634905996189</v>
      </c>
      <c r="AA65" s="16">
        <v>0.28762985175765876</v>
      </c>
      <c r="AB65" s="16">
        <v>0.2824484379257759</v>
      </c>
      <c r="AC65" s="16">
        <v>0.28044120852128707</v>
      </c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</row>
    <row r="66" spans="1:40" x14ac:dyDescent="0.35">
      <c r="A66" s="1">
        <f t="shared" si="1"/>
        <v>66</v>
      </c>
      <c r="C66" s="17" t="s">
        <v>24</v>
      </c>
      <c r="D66" s="18">
        <v>4.8500000000000001E-2</v>
      </c>
      <c r="G66" s="58"/>
      <c r="H66" s="10">
        <v>7</v>
      </c>
      <c r="I66" s="11">
        <v>1.3401215207837778E-2</v>
      </c>
      <c r="J66" s="1">
        <v>4.1755378054619983E-3</v>
      </c>
      <c r="L66" s="12">
        <f t="shared" si="4"/>
        <v>6</v>
      </c>
      <c r="M66" s="13">
        <v>5</v>
      </c>
      <c r="N66" s="14">
        <v>4.5089999999999998E-2</v>
      </c>
      <c r="O66" s="15"/>
      <c r="Q66" s="12">
        <f t="shared" si="5"/>
        <v>6</v>
      </c>
      <c r="R66" s="13">
        <v>7</v>
      </c>
      <c r="S66" s="14">
        <v>0.17299999999999999</v>
      </c>
      <c r="V66" s="9">
        <v>7</v>
      </c>
      <c r="W66" s="16">
        <v>0.29334100811282815</v>
      </c>
      <c r="X66" s="16">
        <v>0.29163472055370498</v>
      </c>
      <c r="Y66" s="16">
        <v>0.28916038008275469</v>
      </c>
      <c r="Z66" s="16">
        <v>0.28763947086819353</v>
      </c>
      <c r="AA66" s="16">
        <v>0.28099732722068071</v>
      </c>
      <c r="AB66" s="16">
        <v>0.28156800987879538</v>
      </c>
      <c r="AC66" s="16">
        <v>0.27650085643237637</v>
      </c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</row>
    <row r="67" spans="1:40" x14ac:dyDescent="0.35">
      <c r="A67" s="1">
        <f t="shared" si="1"/>
        <v>67</v>
      </c>
      <c r="D67" s="51">
        <v>45028.697754629633</v>
      </c>
      <c r="E67" s="51"/>
      <c r="G67" s="58"/>
      <c r="H67" s="10">
        <v>10</v>
      </c>
      <c r="I67" s="11">
        <v>1.5749500312779864E-2</v>
      </c>
      <c r="J67" s="1">
        <v>3.3345664623276776E-3</v>
      </c>
      <c r="L67" s="12">
        <f t="shared" si="4"/>
        <v>7</v>
      </c>
      <c r="M67" s="13">
        <v>7</v>
      </c>
      <c r="N67" s="14">
        <v>4.4120000000000006E-2</v>
      </c>
      <c r="O67" s="15"/>
      <c r="Q67" s="12">
        <f t="shared" si="5"/>
        <v>7</v>
      </c>
      <c r="R67" s="13">
        <v>10</v>
      </c>
      <c r="S67" s="14">
        <v>0.17214285714285715</v>
      </c>
      <c r="V67" s="9">
        <v>10</v>
      </c>
      <c r="W67" s="16">
        <v>0.28549999999999998</v>
      </c>
      <c r="X67" s="16">
        <v>0.28000000000000003</v>
      </c>
      <c r="Y67" s="16">
        <v>0.27939999999999998</v>
      </c>
      <c r="Z67" s="16">
        <v>0.27679999999999999</v>
      </c>
      <c r="AA67" s="16">
        <v>0.28293319162819597</v>
      </c>
      <c r="AB67" s="16">
        <v>0.27733549492199805</v>
      </c>
      <c r="AC67" s="16">
        <v>0.27242134733632339</v>
      </c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</row>
    <row r="68" spans="1:40" x14ac:dyDescent="0.35">
      <c r="A68" s="1">
        <f t="shared" si="1"/>
        <v>68</v>
      </c>
      <c r="D68" s="51">
        <v>45028.697754629633</v>
      </c>
      <c r="E68" s="51"/>
      <c r="G68" s="58"/>
      <c r="H68" s="10"/>
      <c r="I68" s="11"/>
      <c r="L68" s="12">
        <f t="shared" si="4"/>
        <v>8</v>
      </c>
      <c r="M68" s="13">
        <v>10</v>
      </c>
      <c r="N68" s="14">
        <v>4.2840000000000003E-2</v>
      </c>
      <c r="O68" s="15"/>
      <c r="Q68" s="12">
        <f t="shared" si="5"/>
        <v>8</v>
      </c>
      <c r="R68" s="13"/>
      <c r="S68" s="14"/>
      <c r="U68" s="19"/>
      <c r="V68" s="9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</row>
    <row r="69" spans="1:40" x14ac:dyDescent="0.35">
      <c r="A69" s="1">
        <f t="shared" si="1"/>
        <v>69</v>
      </c>
      <c r="G69" s="58"/>
      <c r="H69" s="10"/>
      <c r="I69" s="11"/>
      <c r="L69" s="12">
        <f t="shared" si="4"/>
        <v>9</v>
      </c>
      <c r="M69" s="13">
        <v>20</v>
      </c>
      <c r="N69" s="14">
        <v>4.5839999999999999E-2</v>
      </c>
      <c r="O69" s="15"/>
      <c r="Q69" s="12">
        <f t="shared" si="5"/>
        <v>9</v>
      </c>
      <c r="R69" s="13"/>
      <c r="S69" s="14"/>
      <c r="U69" s="19"/>
      <c r="V69" s="9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</row>
    <row r="70" spans="1:40" x14ac:dyDescent="0.35">
      <c r="A70" s="1">
        <f t="shared" ref="A70:A103" si="6">A69+1</f>
        <v>70</v>
      </c>
      <c r="G70" s="58"/>
      <c r="H70" s="10"/>
      <c r="I70" s="11"/>
      <c r="L70" s="12">
        <f t="shared" si="4"/>
        <v>10</v>
      </c>
      <c r="M70" s="13">
        <v>30</v>
      </c>
      <c r="N70" s="14">
        <f>N69+0.001</f>
        <v>4.684E-2</v>
      </c>
      <c r="O70" s="15"/>
      <c r="Q70" s="12">
        <f t="shared" si="5"/>
        <v>10</v>
      </c>
      <c r="R70" s="13"/>
      <c r="S70" s="14"/>
      <c r="U70" s="19"/>
      <c r="V70" s="9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</row>
    <row r="71" spans="1:40" x14ac:dyDescent="0.35">
      <c r="A71" s="1">
        <f t="shared" si="6"/>
        <v>71</v>
      </c>
      <c r="G71" s="58"/>
      <c r="H71" s="10"/>
      <c r="I71" s="11"/>
      <c r="L71" s="12">
        <f t="shared" si="4"/>
        <v>11</v>
      </c>
      <c r="M71" s="13"/>
      <c r="N71" s="14"/>
      <c r="Q71" s="12">
        <f t="shared" si="5"/>
        <v>11</v>
      </c>
      <c r="R71" s="13"/>
      <c r="S71" s="14"/>
      <c r="U71" s="20"/>
      <c r="V71" s="9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</row>
    <row r="72" spans="1:40" x14ac:dyDescent="0.35">
      <c r="A72" s="1">
        <f t="shared" si="6"/>
        <v>72</v>
      </c>
      <c r="G72" s="58"/>
      <c r="H72" s="10"/>
      <c r="I72" s="11"/>
      <c r="L72" s="12">
        <f t="shared" si="4"/>
        <v>12</v>
      </c>
      <c r="M72" s="13"/>
      <c r="N72" s="14"/>
      <c r="Q72" s="12">
        <f t="shared" si="5"/>
        <v>12</v>
      </c>
      <c r="R72" s="13"/>
      <c r="S72" s="14"/>
      <c r="U72" s="21"/>
      <c r="V72" s="9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</row>
    <row r="73" spans="1:40" x14ac:dyDescent="0.35">
      <c r="A73" s="1">
        <f t="shared" si="6"/>
        <v>73</v>
      </c>
      <c r="G73" s="58"/>
      <c r="H73" s="10"/>
      <c r="I73" s="11"/>
      <c r="L73" s="12">
        <f t="shared" si="4"/>
        <v>13</v>
      </c>
      <c r="M73" s="13"/>
      <c r="N73" s="14"/>
      <c r="Q73" s="12">
        <f t="shared" si="5"/>
        <v>13</v>
      </c>
      <c r="R73" s="13"/>
      <c r="S73" s="14"/>
      <c r="V73" s="9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</row>
    <row r="74" spans="1:40" x14ac:dyDescent="0.35">
      <c r="A74" s="1">
        <f t="shared" si="6"/>
        <v>74</v>
      </c>
      <c r="G74" s="58"/>
      <c r="H74" s="10"/>
      <c r="I74" s="11"/>
      <c r="L74" s="12">
        <f t="shared" si="4"/>
        <v>14</v>
      </c>
      <c r="M74" s="13"/>
      <c r="N74" s="14"/>
      <c r="Q74" s="12">
        <f t="shared" si="5"/>
        <v>14</v>
      </c>
      <c r="R74" s="13"/>
      <c r="S74" s="14"/>
      <c r="V74" s="9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</row>
    <row r="75" spans="1:40" x14ac:dyDescent="0.35">
      <c r="A75" s="1">
        <f t="shared" si="6"/>
        <v>75</v>
      </c>
      <c r="G75" s="58"/>
      <c r="H75" s="10"/>
      <c r="I75" s="11"/>
      <c r="L75" s="12">
        <f t="shared" si="4"/>
        <v>15</v>
      </c>
      <c r="M75" s="13"/>
      <c r="N75" s="14"/>
      <c r="Q75" s="12">
        <f t="shared" si="5"/>
        <v>15</v>
      </c>
      <c r="R75" s="13"/>
      <c r="S75" s="14"/>
      <c r="V75" s="9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</row>
    <row r="76" spans="1:40" x14ac:dyDescent="0.35">
      <c r="A76" s="1">
        <f t="shared" si="6"/>
        <v>76</v>
      </c>
      <c r="G76" s="58"/>
      <c r="H76" s="10"/>
      <c r="I76" s="11"/>
      <c r="L76" s="12">
        <f t="shared" si="4"/>
        <v>16</v>
      </c>
      <c r="M76" s="13"/>
      <c r="N76" s="14"/>
      <c r="Q76" s="12">
        <f t="shared" si="5"/>
        <v>16</v>
      </c>
      <c r="R76" s="13"/>
      <c r="S76" s="14"/>
      <c r="V76" s="9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</row>
    <row r="77" spans="1:40" x14ac:dyDescent="0.35">
      <c r="A77" s="1">
        <f t="shared" si="6"/>
        <v>77</v>
      </c>
      <c r="G77" s="58"/>
      <c r="H77" s="10"/>
      <c r="I77" s="11"/>
      <c r="L77" s="12">
        <f t="shared" si="4"/>
        <v>17</v>
      </c>
      <c r="M77" s="13"/>
      <c r="N77" s="14"/>
      <c r="Q77" s="12">
        <f t="shared" si="5"/>
        <v>17</v>
      </c>
      <c r="R77" s="13"/>
      <c r="S77" s="14"/>
      <c r="V77" s="9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</row>
    <row r="78" spans="1:40" x14ac:dyDescent="0.35">
      <c r="A78" s="1">
        <f t="shared" si="6"/>
        <v>78</v>
      </c>
      <c r="G78" s="58"/>
      <c r="H78" s="10"/>
      <c r="I78" s="11"/>
      <c r="L78" s="12">
        <f t="shared" si="4"/>
        <v>18</v>
      </c>
      <c r="M78" s="13"/>
      <c r="N78" s="14"/>
      <c r="Q78" s="12">
        <f t="shared" si="5"/>
        <v>18</v>
      </c>
      <c r="R78" s="13"/>
      <c r="S78" s="14"/>
      <c r="V78" s="9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</row>
    <row r="79" spans="1:40" x14ac:dyDescent="0.35">
      <c r="A79" s="1">
        <f t="shared" si="6"/>
        <v>79</v>
      </c>
      <c r="G79" s="58"/>
      <c r="H79" s="10"/>
      <c r="I79" s="11"/>
      <c r="L79" s="12">
        <f t="shared" si="4"/>
        <v>19</v>
      </c>
      <c r="M79" s="22"/>
      <c r="N79" s="23"/>
      <c r="Q79" s="12">
        <f t="shared" si="5"/>
        <v>19</v>
      </c>
      <c r="R79" s="24"/>
      <c r="S79" s="23"/>
      <c r="V79" s="9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</row>
    <row r="80" spans="1:40" x14ac:dyDescent="0.35">
      <c r="A80" s="1">
        <f t="shared" si="6"/>
        <v>80</v>
      </c>
      <c r="G80" s="58"/>
      <c r="H80" s="10"/>
      <c r="I80" s="11"/>
      <c r="L80" s="12">
        <f t="shared" si="4"/>
        <v>20</v>
      </c>
      <c r="M80" s="22"/>
      <c r="N80" s="23"/>
      <c r="Q80" s="12">
        <f t="shared" si="5"/>
        <v>20</v>
      </c>
      <c r="R80" s="24"/>
      <c r="S80" s="23"/>
      <c r="V80" s="9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</row>
    <row r="81" spans="1:40" x14ac:dyDescent="0.35">
      <c r="A81" s="1">
        <f t="shared" si="6"/>
        <v>81</v>
      </c>
      <c r="G81" s="58"/>
      <c r="H81" s="10"/>
      <c r="I81" s="11"/>
      <c r="L81" s="12">
        <f t="shared" si="4"/>
        <v>21</v>
      </c>
      <c r="M81" s="22"/>
      <c r="N81" s="23"/>
      <c r="Q81" s="12">
        <f t="shared" si="5"/>
        <v>21</v>
      </c>
      <c r="R81" s="24"/>
      <c r="S81" s="23"/>
      <c r="V81" s="9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</row>
    <row r="82" spans="1:40" x14ac:dyDescent="0.35">
      <c r="A82" s="1">
        <f t="shared" si="6"/>
        <v>82</v>
      </c>
      <c r="G82" s="58"/>
      <c r="H82" s="10"/>
      <c r="I82" s="11"/>
      <c r="L82" s="12">
        <f t="shared" si="4"/>
        <v>22</v>
      </c>
      <c r="M82" s="22"/>
      <c r="N82" s="23"/>
      <c r="Q82" s="12">
        <f t="shared" si="5"/>
        <v>22</v>
      </c>
      <c r="R82" s="24"/>
      <c r="S82" s="23"/>
      <c r="V82" s="9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</row>
    <row r="83" spans="1:40" x14ac:dyDescent="0.35">
      <c r="A83" s="1">
        <f t="shared" si="6"/>
        <v>83</v>
      </c>
      <c r="G83" s="58"/>
      <c r="H83" s="10"/>
      <c r="I83" s="11"/>
      <c r="L83" s="12">
        <f t="shared" si="4"/>
        <v>23</v>
      </c>
      <c r="M83" s="22"/>
      <c r="N83" s="23"/>
      <c r="Q83" s="12">
        <f t="shared" si="5"/>
        <v>23</v>
      </c>
      <c r="R83" s="24"/>
      <c r="S83" s="23"/>
      <c r="V83" s="9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</row>
    <row r="84" spans="1:40" x14ac:dyDescent="0.35">
      <c r="A84" s="1">
        <f t="shared" si="6"/>
        <v>84</v>
      </c>
      <c r="G84" s="58"/>
      <c r="H84" s="10"/>
      <c r="I84" s="11"/>
      <c r="L84" s="12">
        <f t="shared" si="4"/>
        <v>24</v>
      </c>
      <c r="M84" s="22"/>
      <c r="N84" s="23"/>
      <c r="Q84" s="12">
        <f t="shared" si="5"/>
        <v>24</v>
      </c>
      <c r="R84" s="24"/>
      <c r="S84" s="23"/>
      <c r="V84" s="9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</row>
    <row r="85" spans="1:40" x14ac:dyDescent="0.35">
      <c r="A85" s="1">
        <f t="shared" si="6"/>
        <v>85</v>
      </c>
      <c r="G85" s="58"/>
      <c r="H85" s="10"/>
      <c r="I85" s="11"/>
      <c r="L85" s="12">
        <f t="shared" si="4"/>
        <v>25</v>
      </c>
      <c r="M85" s="22"/>
      <c r="N85" s="23"/>
      <c r="Q85" s="12">
        <f t="shared" si="5"/>
        <v>25</v>
      </c>
      <c r="R85" s="24"/>
      <c r="S85" s="23"/>
      <c r="V85" s="9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</row>
    <row r="86" spans="1:40" x14ac:dyDescent="0.35">
      <c r="A86" s="1">
        <f t="shared" si="6"/>
        <v>86</v>
      </c>
      <c r="G86" s="58"/>
      <c r="H86" s="10"/>
      <c r="I86" s="11"/>
      <c r="L86" s="12">
        <f t="shared" si="4"/>
        <v>26</v>
      </c>
      <c r="M86" s="22"/>
      <c r="N86" s="23"/>
      <c r="Q86" s="12">
        <f t="shared" si="5"/>
        <v>26</v>
      </c>
      <c r="R86" s="24"/>
      <c r="S86" s="23"/>
      <c r="V86" s="9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</row>
    <row r="87" spans="1:40" x14ac:dyDescent="0.35">
      <c r="A87" s="1">
        <f t="shared" si="6"/>
        <v>87</v>
      </c>
      <c r="G87" s="58"/>
      <c r="H87" s="10"/>
      <c r="I87" s="11"/>
      <c r="L87" s="12">
        <f t="shared" si="4"/>
        <v>27</v>
      </c>
      <c r="M87" s="22"/>
      <c r="N87" s="23"/>
      <c r="Q87" s="12">
        <f t="shared" si="5"/>
        <v>27</v>
      </c>
      <c r="R87" s="24"/>
      <c r="S87" s="23"/>
      <c r="V87" s="9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</row>
    <row r="88" spans="1:40" x14ac:dyDescent="0.35">
      <c r="A88" s="1">
        <f t="shared" si="6"/>
        <v>88</v>
      </c>
      <c r="G88" s="58"/>
      <c r="H88" s="10"/>
      <c r="I88" s="11"/>
      <c r="L88" s="12">
        <f t="shared" si="4"/>
        <v>28</v>
      </c>
      <c r="M88" s="22"/>
      <c r="N88" s="23"/>
      <c r="Q88" s="12">
        <f t="shared" si="5"/>
        <v>28</v>
      </c>
      <c r="R88" s="24"/>
      <c r="S88" s="23"/>
      <c r="V88" s="9"/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</row>
    <row r="89" spans="1:40" x14ac:dyDescent="0.35">
      <c r="A89" s="1">
        <f t="shared" si="6"/>
        <v>89</v>
      </c>
      <c r="G89" s="58"/>
      <c r="H89" s="10"/>
      <c r="I89" s="11"/>
      <c r="L89" s="12">
        <f t="shared" si="4"/>
        <v>29</v>
      </c>
      <c r="M89" s="22"/>
      <c r="N89" s="23"/>
      <c r="Q89" s="12">
        <f t="shared" si="5"/>
        <v>29</v>
      </c>
      <c r="R89" s="24"/>
      <c r="S89" s="23"/>
      <c r="V89" s="9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</row>
    <row r="90" spans="1:40" x14ac:dyDescent="0.35">
      <c r="A90" s="1">
        <f t="shared" si="6"/>
        <v>90</v>
      </c>
      <c r="G90" s="58"/>
      <c r="H90" s="10"/>
      <c r="I90" s="11"/>
      <c r="L90" s="12">
        <f t="shared" si="4"/>
        <v>30</v>
      </c>
      <c r="M90" s="22"/>
      <c r="N90" s="23"/>
      <c r="Q90" s="12">
        <f t="shared" si="5"/>
        <v>30</v>
      </c>
      <c r="R90" s="24"/>
      <c r="S90" s="23"/>
      <c r="V90" s="9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</row>
    <row r="91" spans="1:40" x14ac:dyDescent="0.35">
      <c r="A91" s="1">
        <f t="shared" si="6"/>
        <v>91</v>
      </c>
      <c r="G91" s="25"/>
      <c r="H91" s="10"/>
      <c r="I91" s="11"/>
      <c r="L91" s="12">
        <f t="shared" si="4"/>
        <v>31</v>
      </c>
      <c r="M91" s="22"/>
      <c r="N91" s="23"/>
      <c r="Q91" s="12">
        <f t="shared" si="5"/>
        <v>31</v>
      </c>
      <c r="R91" s="24"/>
      <c r="S91" s="23"/>
      <c r="V91" s="26"/>
      <c r="W91" s="27"/>
      <c r="X91" s="27"/>
      <c r="Y91" s="27"/>
      <c r="Z91" s="27"/>
      <c r="AA91" s="27"/>
      <c r="AB91" s="27"/>
      <c r="AC91" s="27"/>
      <c r="AD91" s="27"/>
      <c r="AE91" s="27"/>
      <c r="AF91" s="27"/>
      <c r="AG91" s="27"/>
      <c r="AH91" s="27"/>
      <c r="AI91" s="27"/>
      <c r="AJ91" s="27"/>
      <c r="AK91" s="27"/>
      <c r="AL91" s="27"/>
      <c r="AM91" s="27"/>
      <c r="AN91" s="27"/>
    </row>
    <row r="92" spans="1:40" x14ac:dyDescent="0.35">
      <c r="A92" s="1">
        <f t="shared" si="6"/>
        <v>92</v>
      </c>
      <c r="G92" s="25"/>
      <c r="H92" s="10"/>
      <c r="I92" s="11"/>
      <c r="L92" s="12">
        <f t="shared" si="4"/>
        <v>32</v>
      </c>
      <c r="M92" s="22"/>
      <c r="N92" s="23"/>
      <c r="Q92" s="12">
        <f t="shared" si="5"/>
        <v>32</v>
      </c>
      <c r="R92" s="24"/>
      <c r="S92" s="23"/>
      <c r="V92" s="26"/>
      <c r="W92" s="27"/>
      <c r="X92" s="27"/>
      <c r="Y92" s="27"/>
      <c r="Z92" s="27"/>
      <c r="AA92" s="27"/>
      <c r="AB92" s="27"/>
      <c r="AC92" s="27"/>
      <c r="AD92" s="27"/>
      <c r="AE92" s="27"/>
      <c r="AF92" s="27"/>
      <c r="AG92" s="27"/>
      <c r="AH92" s="27"/>
      <c r="AI92" s="27"/>
      <c r="AJ92" s="27"/>
      <c r="AK92" s="27"/>
      <c r="AL92" s="27"/>
      <c r="AM92" s="27"/>
      <c r="AN92" s="27"/>
    </row>
    <row r="93" spans="1:40" x14ac:dyDescent="0.35">
      <c r="A93" s="1">
        <f t="shared" si="6"/>
        <v>93</v>
      </c>
      <c r="G93" s="25"/>
      <c r="H93" s="10"/>
      <c r="I93" s="11"/>
      <c r="L93" s="12">
        <f t="shared" si="4"/>
        <v>33</v>
      </c>
      <c r="M93" s="22"/>
      <c r="N93" s="23"/>
      <c r="Q93" s="12">
        <f t="shared" si="5"/>
        <v>33</v>
      </c>
      <c r="R93" s="24"/>
      <c r="S93" s="23"/>
      <c r="V93" s="26"/>
      <c r="W93" s="27"/>
      <c r="X93" s="27"/>
      <c r="Y93" s="27"/>
      <c r="Z93" s="27"/>
      <c r="AA93" s="27"/>
      <c r="AB93" s="27"/>
      <c r="AC93" s="27"/>
      <c r="AD93" s="27"/>
      <c r="AE93" s="27"/>
      <c r="AF93" s="27"/>
      <c r="AG93" s="27"/>
      <c r="AH93" s="27"/>
      <c r="AI93" s="27"/>
      <c r="AJ93" s="27"/>
      <c r="AK93" s="27"/>
      <c r="AL93" s="27"/>
      <c r="AM93" s="27"/>
      <c r="AN93" s="27"/>
    </row>
    <row r="94" spans="1:40" x14ac:dyDescent="0.35">
      <c r="A94" s="1">
        <f t="shared" si="6"/>
        <v>94</v>
      </c>
      <c r="G94" s="25"/>
      <c r="H94" s="10"/>
      <c r="I94" s="11"/>
      <c r="L94" s="12">
        <f t="shared" si="4"/>
        <v>34</v>
      </c>
      <c r="M94" s="22"/>
      <c r="N94" s="23"/>
      <c r="Q94" s="12">
        <f t="shared" si="5"/>
        <v>34</v>
      </c>
      <c r="R94" s="24"/>
      <c r="S94" s="23"/>
      <c r="V94" s="26"/>
      <c r="W94" s="27"/>
      <c r="X94" s="27"/>
      <c r="Y94" s="27"/>
      <c r="Z94" s="27"/>
      <c r="AA94" s="27"/>
      <c r="AB94" s="27"/>
      <c r="AC94" s="27"/>
      <c r="AD94" s="27"/>
      <c r="AE94" s="27"/>
      <c r="AF94" s="27"/>
      <c r="AG94" s="27"/>
      <c r="AH94" s="27"/>
      <c r="AI94" s="27"/>
      <c r="AJ94" s="27"/>
      <c r="AK94" s="27"/>
      <c r="AL94" s="27"/>
      <c r="AM94" s="27"/>
      <c r="AN94" s="27"/>
    </row>
    <row r="95" spans="1:40" x14ac:dyDescent="0.35">
      <c r="A95" s="1">
        <f t="shared" si="6"/>
        <v>95</v>
      </c>
      <c r="G95" s="25"/>
      <c r="H95" s="10"/>
      <c r="I95" s="11"/>
      <c r="L95" s="12">
        <f t="shared" si="4"/>
        <v>35</v>
      </c>
      <c r="M95" s="22"/>
      <c r="N95" s="23"/>
      <c r="Q95" s="12">
        <f t="shared" si="5"/>
        <v>35</v>
      </c>
      <c r="R95" s="24"/>
      <c r="S95" s="23"/>
      <c r="V95" s="26"/>
      <c r="W95" s="27"/>
      <c r="X95" s="27"/>
      <c r="Y95" s="27"/>
      <c r="Z95" s="27"/>
      <c r="AA95" s="27"/>
      <c r="AB95" s="27"/>
      <c r="AC95" s="27"/>
      <c r="AD95" s="27"/>
      <c r="AE95" s="27"/>
      <c r="AF95" s="27"/>
      <c r="AG95" s="27"/>
      <c r="AH95" s="27"/>
      <c r="AI95" s="27"/>
      <c r="AJ95" s="27"/>
      <c r="AK95" s="27"/>
      <c r="AL95" s="27"/>
      <c r="AM95" s="27"/>
      <c r="AN95" s="27"/>
    </row>
    <row r="96" spans="1:40" x14ac:dyDescent="0.35">
      <c r="A96" s="1">
        <f t="shared" si="6"/>
        <v>96</v>
      </c>
      <c r="G96" s="25"/>
      <c r="H96" s="10"/>
      <c r="I96" s="11"/>
      <c r="L96" s="12">
        <f t="shared" si="4"/>
        <v>36</v>
      </c>
      <c r="M96" s="22"/>
      <c r="N96" s="23"/>
      <c r="Q96" s="12">
        <f t="shared" si="5"/>
        <v>36</v>
      </c>
      <c r="R96" s="24"/>
      <c r="S96" s="23"/>
      <c r="V96" s="26"/>
      <c r="W96" s="27"/>
      <c r="X96" s="27"/>
      <c r="Y96" s="27"/>
      <c r="Z96" s="27"/>
      <c r="AA96" s="27"/>
      <c r="AB96" s="27"/>
      <c r="AC96" s="27"/>
      <c r="AD96" s="27"/>
      <c r="AE96" s="27"/>
      <c r="AF96" s="27"/>
      <c r="AG96" s="27"/>
      <c r="AH96" s="27"/>
      <c r="AI96" s="27"/>
      <c r="AJ96" s="27"/>
      <c r="AK96" s="27"/>
      <c r="AL96" s="27"/>
      <c r="AM96" s="27"/>
      <c r="AN96" s="27"/>
    </row>
    <row r="97" spans="1:40" x14ac:dyDescent="0.35">
      <c r="A97" s="1">
        <f t="shared" si="6"/>
        <v>97</v>
      </c>
      <c r="G97" s="25"/>
      <c r="H97" s="10"/>
      <c r="I97" s="11"/>
      <c r="L97" s="12">
        <f t="shared" si="4"/>
        <v>37</v>
      </c>
      <c r="M97" s="22"/>
      <c r="N97" s="23"/>
      <c r="Q97" s="12">
        <f t="shared" si="5"/>
        <v>37</v>
      </c>
      <c r="R97" s="24"/>
      <c r="S97" s="23"/>
      <c r="V97" s="26"/>
      <c r="W97" s="27"/>
      <c r="X97" s="27"/>
      <c r="Y97" s="27"/>
      <c r="Z97" s="27"/>
      <c r="AA97" s="27"/>
      <c r="AB97" s="27"/>
      <c r="AC97" s="27"/>
      <c r="AD97" s="27"/>
      <c r="AE97" s="27"/>
      <c r="AF97" s="27"/>
      <c r="AG97" s="27"/>
      <c r="AH97" s="27"/>
      <c r="AI97" s="27"/>
      <c r="AJ97" s="27"/>
      <c r="AK97" s="27"/>
      <c r="AL97" s="27"/>
      <c r="AM97" s="27"/>
      <c r="AN97" s="27"/>
    </row>
    <row r="98" spans="1:40" x14ac:dyDescent="0.35">
      <c r="A98" s="1">
        <f t="shared" si="6"/>
        <v>98</v>
      </c>
      <c r="G98" s="25"/>
      <c r="H98" s="10"/>
      <c r="I98" s="11"/>
      <c r="L98" s="12">
        <f t="shared" si="4"/>
        <v>38</v>
      </c>
      <c r="M98" s="22"/>
      <c r="N98" s="23"/>
      <c r="Q98" s="12">
        <f t="shared" si="5"/>
        <v>38</v>
      </c>
      <c r="R98" s="24"/>
      <c r="S98" s="23"/>
      <c r="V98" s="26"/>
      <c r="W98" s="27"/>
      <c r="X98" s="27"/>
      <c r="Y98" s="27"/>
      <c r="Z98" s="27"/>
      <c r="AA98" s="27"/>
      <c r="AB98" s="27"/>
      <c r="AC98" s="27"/>
      <c r="AD98" s="27"/>
      <c r="AE98" s="27"/>
      <c r="AF98" s="27"/>
      <c r="AG98" s="27"/>
      <c r="AH98" s="27"/>
      <c r="AI98" s="27"/>
      <c r="AJ98" s="27"/>
      <c r="AK98" s="27"/>
      <c r="AL98" s="27"/>
      <c r="AM98" s="27"/>
      <c r="AN98" s="27"/>
    </row>
    <row r="99" spans="1:40" x14ac:dyDescent="0.35">
      <c r="A99" s="1">
        <f t="shared" si="6"/>
        <v>99</v>
      </c>
      <c r="G99" s="25"/>
      <c r="H99" s="10"/>
      <c r="I99" s="11"/>
      <c r="L99" s="12">
        <f t="shared" si="4"/>
        <v>39</v>
      </c>
      <c r="M99" s="22"/>
      <c r="N99" s="23"/>
      <c r="Q99" s="12">
        <f t="shared" si="5"/>
        <v>39</v>
      </c>
      <c r="R99" s="24"/>
      <c r="S99" s="23"/>
      <c r="V99" s="26"/>
      <c r="W99" s="27"/>
      <c r="X99" s="27"/>
      <c r="Y99" s="27"/>
      <c r="Z99" s="27"/>
      <c r="AA99" s="27"/>
      <c r="AB99" s="27"/>
      <c r="AC99" s="27"/>
      <c r="AD99" s="27"/>
      <c r="AE99" s="27"/>
      <c r="AF99" s="27"/>
      <c r="AG99" s="27"/>
      <c r="AH99" s="27"/>
      <c r="AI99" s="27"/>
      <c r="AJ99" s="27"/>
      <c r="AK99" s="27"/>
      <c r="AL99" s="27"/>
      <c r="AM99" s="27"/>
      <c r="AN99" s="27"/>
    </row>
    <row r="100" spans="1:40" x14ac:dyDescent="0.35">
      <c r="A100" s="1">
        <f t="shared" si="6"/>
        <v>100</v>
      </c>
      <c r="G100" s="25"/>
      <c r="H100" s="10"/>
      <c r="I100" s="11"/>
      <c r="L100" s="12">
        <f t="shared" si="4"/>
        <v>40</v>
      </c>
      <c r="M100" s="22"/>
      <c r="N100" s="23"/>
      <c r="Q100" s="12">
        <f t="shared" si="5"/>
        <v>40</v>
      </c>
      <c r="R100" s="24"/>
      <c r="S100" s="23"/>
      <c r="V100" s="26"/>
      <c r="W100" s="27"/>
      <c r="X100" s="27"/>
      <c r="Y100" s="27"/>
      <c r="Z100" s="27"/>
      <c r="AA100" s="27"/>
      <c r="AB100" s="27"/>
      <c r="AC100" s="27"/>
      <c r="AD100" s="27"/>
      <c r="AE100" s="27"/>
      <c r="AF100" s="27"/>
      <c r="AG100" s="27"/>
      <c r="AH100" s="27"/>
      <c r="AI100" s="27"/>
      <c r="AJ100" s="27"/>
      <c r="AK100" s="27"/>
      <c r="AL100" s="27"/>
      <c r="AM100" s="27"/>
      <c r="AN100" s="27"/>
    </row>
    <row r="101" spans="1:40" x14ac:dyDescent="0.35">
      <c r="A101" s="1">
        <f t="shared" si="6"/>
        <v>101</v>
      </c>
      <c r="G101" s="25"/>
      <c r="H101" s="10"/>
      <c r="I101" s="11"/>
      <c r="L101" s="12">
        <f t="shared" si="4"/>
        <v>41</v>
      </c>
      <c r="M101" s="22"/>
      <c r="N101" s="23"/>
      <c r="Q101" s="12">
        <f t="shared" si="5"/>
        <v>41</v>
      </c>
      <c r="R101" s="24"/>
      <c r="S101" s="23"/>
      <c r="V101" s="26"/>
      <c r="W101" s="27"/>
      <c r="X101" s="27"/>
      <c r="Y101" s="27"/>
      <c r="Z101" s="27"/>
      <c r="AA101" s="27"/>
      <c r="AB101" s="27"/>
      <c r="AC101" s="27"/>
      <c r="AD101" s="27"/>
      <c r="AE101" s="27"/>
      <c r="AF101" s="27"/>
      <c r="AG101" s="27"/>
      <c r="AH101" s="27"/>
      <c r="AI101" s="27"/>
      <c r="AJ101" s="27"/>
      <c r="AK101" s="27"/>
      <c r="AL101" s="27"/>
      <c r="AM101" s="27"/>
      <c r="AN101" s="27"/>
    </row>
    <row r="102" spans="1:40" x14ac:dyDescent="0.35">
      <c r="A102" s="1">
        <f t="shared" si="6"/>
        <v>102</v>
      </c>
      <c r="G102" s="25"/>
      <c r="H102" s="10"/>
      <c r="I102" s="11"/>
      <c r="L102" s="12">
        <f t="shared" si="4"/>
        <v>42</v>
      </c>
      <c r="M102" s="22"/>
      <c r="N102" s="23"/>
      <c r="Q102" s="12">
        <f t="shared" si="5"/>
        <v>42</v>
      </c>
      <c r="R102" s="24"/>
      <c r="S102" s="23"/>
      <c r="V102" s="26"/>
      <c r="W102" s="27"/>
      <c r="X102" s="27"/>
      <c r="Y102" s="27"/>
      <c r="Z102" s="27"/>
      <c r="AA102" s="27"/>
      <c r="AB102" s="27"/>
      <c r="AC102" s="27"/>
      <c r="AD102" s="27"/>
      <c r="AE102" s="27"/>
      <c r="AF102" s="27"/>
      <c r="AG102" s="27"/>
      <c r="AH102" s="27"/>
      <c r="AI102" s="27"/>
      <c r="AJ102" s="27"/>
      <c r="AK102" s="27"/>
      <c r="AL102" s="27"/>
      <c r="AM102" s="27"/>
      <c r="AN102" s="27"/>
    </row>
    <row r="103" spans="1:40" x14ac:dyDescent="0.35">
      <c r="A103" s="1">
        <f t="shared" si="6"/>
        <v>103</v>
      </c>
      <c r="G103" s="25"/>
      <c r="H103" s="10"/>
      <c r="I103" s="11"/>
      <c r="L103" s="12">
        <f t="shared" si="4"/>
        <v>43</v>
      </c>
      <c r="M103" s="22"/>
      <c r="N103" s="23"/>
      <c r="Q103" s="12">
        <f t="shared" si="5"/>
        <v>43</v>
      </c>
      <c r="R103" s="24"/>
      <c r="S103" s="23"/>
      <c r="V103" s="26"/>
      <c r="W103" s="27"/>
      <c r="X103" s="27"/>
      <c r="Y103" s="27"/>
      <c r="Z103" s="27"/>
      <c r="AA103" s="27"/>
      <c r="AB103" s="27"/>
      <c r="AC103" s="27"/>
      <c r="AD103" s="27"/>
      <c r="AE103" s="27"/>
      <c r="AF103" s="27"/>
      <c r="AG103" s="27"/>
      <c r="AH103" s="27"/>
      <c r="AI103" s="27"/>
      <c r="AJ103" s="27"/>
      <c r="AK103" s="27"/>
      <c r="AL103" s="27"/>
      <c r="AM103" s="27"/>
      <c r="AN103" s="27"/>
    </row>
  </sheetData>
  <mergeCells count="39">
    <mergeCell ref="A2:Z3"/>
    <mergeCell ref="B4:C4"/>
    <mergeCell ref="D4:E4"/>
    <mergeCell ref="G5:G40"/>
    <mergeCell ref="H5:X5"/>
    <mergeCell ref="B6:C6"/>
    <mergeCell ref="D6:E6"/>
    <mergeCell ref="H6:I7"/>
    <mergeCell ref="L6:N7"/>
    <mergeCell ref="Q6:S7"/>
    <mergeCell ref="V6:X7"/>
    <mergeCell ref="B7:C7"/>
    <mergeCell ref="D7:E7"/>
    <mergeCell ref="B8:C8"/>
    <mergeCell ref="D8:E8"/>
    <mergeCell ref="V8:W8"/>
    <mergeCell ref="Q9:R9"/>
    <mergeCell ref="V9:V10"/>
    <mergeCell ref="D13:E15"/>
    <mergeCell ref="D17:E17"/>
    <mergeCell ref="D18:E18"/>
    <mergeCell ref="B56:C56"/>
    <mergeCell ref="D56:E56"/>
    <mergeCell ref="H56:I57"/>
    <mergeCell ref="L56:N57"/>
    <mergeCell ref="Q56:S57"/>
    <mergeCell ref="B57:C57"/>
    <mergeCell ref="D57:E57"/>
    <mergeCell ref="V58:W58"/>
    <mergeCell ref="Q59:R59"/>
    <mergeCell ref="V59:V60"/>
    <mergeCell ref="G55:G90"/>
    <mergeCell ref="H55:X55"/>
    <mergeCell ref="V56:X57"/>
    <mergeCell ref="D63:E65"/>
    <mergeCell ref="D67:E67"/>
    <mergeCell ref="D68:E68"/>
    <mergeCell ref="B58:C58"/>
    <mergeCell ref="D58:E58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Button 20">
              <controlPr defaultSize="0" print="0" autoFill="0" autoPict="0" macro="[0]!Sheet1.cali_Test">
                <anchor moveWithCells="1" sizeWithCells="1">
                  <from>
                    <xdr:col>1</xdr:col>
                    <xdr:colOff>426720</xdr:colOff>
                    <xdr:row>8</xdr:row>
                    <xdr:rowOff>137160</xdr:rowOff>
                  </from>
                  <to>
                    <xdr:col>2</xdr:col>
                    <xdr:colOff>640080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5" name="Button 21">
              <controlPr defaultSize="0" print="0" autoFill="0" autoPict="0" macro="[0]!Sheet1.cali_Test2">
                <anchor moveWithCells="1" sizeWithCells="1">
                  <from>
                    <xdr:col>3</xdr:col>
                    <xdr:colOff>213360</xdr:colOff>
                    <xdr:row>8</xdr:row>
                    <xdr:rowOff>137160</xdr:rowOff>
                  </from>
                  <to>
                    <xdr:col>4</xdr:col>
                    <xdr:colOff>601980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84"/>
  <sheetViews>
    <sheetView tabSelected="1" topLeftCell="L1" zoomScale="85" zoomScaleNormal="85" workbookViewId="0">
      <selection activeCell="X3" sqref="X3"/>
    </sheetView>
  </sheetViews>
  <sheetFormatPr defaultColWidth="11.796875" defaultRowHeight="17.399999999999999" x14ac:dyDescent="0.4"/>
  <cols>
    <col min="1" max="4" width="11.796875" style="29"/>
    <col min="5" max="6" width="11.796875" style="35"/>
    <col min="7" max="8" width="11.796875" style="34"/>
    <col min="9" max="10" width="11.796875" style="36"/>
    <col min="11" max="14" width="11.796875" style="37"/>
    <col min="15" max="20" width="11.796875" style="38"/>
    <col min="21" max="21" width="11.796875" style="29"/>
    <col min="22" max="22" width="11.796875" style="35"/>
    <col min="23" max="25" width="11.796875" style="29"/>
    <col min="26" max="26" width="11.796875" style="47"/>
    <col min="27" max="27" width="11.796875" style="46"/>
    <col min="28" max="28" width="11.796875" style="29"/>
    <col min="29" max="29" width="11.796875" style="47"/>
    <col min="30" max="30" width="11.796875" style="46"/>
    <col min="31" max="16384" width="11.796875" style="29"/>
  </cols>
  <sheetData>
    <row r="1" spans="1:30" x14ac:dyDescent="0.4">
      <c r="A1" s="29">
        <v>1</v>
      </c>
      <c r="B1" s="29">
        <f>A1+1</f>
        <v>2</v>
      </c>
      <c r="C1" s="29">
        <f t="shared" ref="C1:AB1" si="0">B1+1</f>
        <v>3</v>
      </c>
      <c r="D1" s="29">
        <f t="shared" si="0"/>
        <v>4</v>
      </c>
      <c r="E1" s="29">
        <f t="shared" si="0"/>
        <v>5</v>
      </c>
      <c r="F1" s="29">
        <f t="shared" si="0"/>
        <v>6</v>
      </c>
      <c r="G1" s="29">
        <f t="shared" si="0"/>
        <v>7</v>
      </c>
      <c r="H1" s="29">
        <f t="shared" si="0"/>
        <v>8</v>
      </c>
      <c r="I1" s="29">
        <f t="shared" si="0"/>
        <v>9</v>
      </c>
      <c r="J1" s="29">
        <f t="shared" si="0"/>
        <v>10</v>
      </c>
      <c r="K1" s="29">
        <f t="shared" si="0"/>
        <v>11</v>
      </c>
      <c r="L1" s="29">
        <f t="shared" si="0"/>
        <v>12</v>
      </c>
      <c r="M1" s="29">
        <f t="shared" si="0"/>
        <v>13</v>
      </c>
      <c r="N1" s="29">
        <f t="shared" si="0"/>
        <v>14</v>
      </c>
      <c r="O1" s="29">
        <f t="shared" si="0"/>
        <v>15</v>
      </c>
      <c r="P1" s="29">
        <f t="shared" si="0"/>
        <v>16</v>
      </c>
      <c r="Q1" s="29">
        <f t="shared" si="0"/>
        <v>17</v>
      </c>
      <c r="R1" s="29">
        <f t="shared" si="0"/>
        <v>18</v>
      </c>
      <c r="S1" s="29">
        <f t="shared" si="0"/>
        <v>19</v>
      </c>
      <c r="T1" s="29">
        <f t="shared" si="0"/>
        <v>20</v>
      </c>
      <c r="U1" s="29">
        <f t="shared" si="0"/>
        <v>21</v>
      </c>
      <c r="V1" s="29">
        <f t="shared" si="0"/>
        <v>22</v>
      </c>
      <c r="W1" s="29">
        <f t="shared" si="0"/>
        <v>23</v>
      </c>
      <c r="X1" s="29">
        <f t="shared" si="0"/>
        <v>24</v>
      </c>
      <c r="Y1" s="29">
        <f t="shared" si="0"/>
        <v>25</v>
      </c>
      <c r="Z1" s="29">
        <f t="shared" si="0"/>
        <v>26</v>
      </c>
      <c r="AA1" s="29">
        <f t="shared" si="0"/>
        <v>27</v>
      </c>
      <c r="AB1" s="29">
        <f t="shared" si="0"/>
        <v>28</v>
      </c>
      <c r="AC1" s="29">
        <f t="shared" ref="AC1" si="1">AB1+1</f>
        <v>29</v>
      </c>
      <c r="AD1" s="29">
        <f t="shared" ref="AD1" si="2">AC1+1</f>
        <v>30</v>
      </c>
    </row>
    <row r="2" spans="1:30" x14ac:dyDescent="0.4">
      <c r="A2" s="29">
        <f>A1+1</f>
        <v>2</v>
      </c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V2" s="29"/>
      <c r="Z2" s="29"/>
      <c r="AA2" s="29"/>
      <c r="AC2" s="29"/>
      <c r="AD2" s="29"/>
    </row>
    <row r="3" spans="1:30" x14ac:dyDescent="0.4">
      <c r="A3" s="29">
        <f t="shared" ref="A3:A66" si="3">A2+1</f>
        <v>3</v>
      </c>
      <c r="B3" s="83" t="s">
        <v>40</v>
      </c>
      <c r="C3" s="83"/>
      <c r="D3" s="84">
        <v>44846</v>
      </c>
      <c r="E3" s="85"/>
      <c r="F3" s="83" t="s">
        <v>41</v>
      </c>
      <c r="G3" s="83"/>
      <c r="H3" s="86">
        <v>0</v>
      </c>
      <c r="I3" s="86"/>
      <c r="J3" s="83" t="s">
        <v>42</v>
      </c>
      <c r="K3" s="83"/>
      <c r="L3" s="75">
        <v>0</v>
      </c>
      <c r="M3" s="75"/>
      <c r="N3" s="29"/>
      <c r="O3" s="29"/>
      <c r="P3" s="29"/>
      <c r="Q3" s="29"/>
      <c r="R3" s="29"/>
      <c r="S3" s="29"/>
      <c r="T3" s="29"/>
      <c r="V3" s="29"/>
      <c r="Z3" s="29"/>
      <c r="AA3" s="29"/>
      <c r="AC3" s="29"/>
      <c r="AD3" s="29"/>
    </row>
    <row r="4" spans="1:30" x14ac:dyDescent="0.4">
      <c r="A4" s="29">
        <f t="shared" si="3"/>
        <v>4</v>
      </c>
      <c r="B4" s="78" t="s">
        <v>65</v>
      </c>
      <c r="C4" s="78"/>
      <c r="D4" s="78"/>
      <c r="E4" s="78"/>
      <c r="F4" s="78"/>
      <c r="G4" s="78"/>
      <c r="H4" s="78"/>
      <c r="I4" s="78"/>
      <c r="J4" s="78"/>
      <c r="K4" s="78"/>
      <c r="L4" s="29"/>
      <c r="M4" s="78" t="s">
        <v>66</v>
      </c>
      <c r="N4" s="78"/>
      <c r="O4" s="78"/>
      <c r="P4" s="78"/>
      <c r="Q4" s="78"/>
      <c r="R4" s="78"/>
      <c r="S4" s="78"/>
      <c r="T4" s="78"/>
      <c r="U4" s="78"/>
      <c r="V4" s="78"/>
      <c r="Z4" s="29"/>
      <c r="AA4" s="29"/>
      <c r="AC4" s="29"/>
      <c r="AD4" s="29"/>
    </row>
    <row r="5" spans="1:30" x14ac:dyDescent="0.4">
      <c r="A5" s="29">
        <f t="shared" si="3"/>
        <v>5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29"/>
      <c r="M5" s="78"/>
      <c r="N5" s="78"/>
      <c r="O5" s="78"/>
      <c r="P5" s="78"/>
      <c r="Q5" s="78"/>
      <c r="R5" s="78"/>
      <c r="S5" s="78"/>
      <c r="T5" s="78"/>
      <c r="U5" s="78"/>
      <c r="V5" s="78"/>
      <c r="Z5" s="29"/>
      <c r="AA5" s="29"/>
      <c r="AC5" s="29"/>
      <c r="AD5" s="29"/>
    </row>
    <row r="6" spans="1:30" x14ac:dyDescent="0.4">
      <c r="A6" s="29">
        <f t="shared" si="3"/>
        <v>6</v>
      </c>
      <c r="B6" s="52" t="s">
        <v>43</v>
      </c>
      <c r="C6" s="79"/>
      <c r="D6" s="75">
        <v>1</v>
      </c>
      <c r="E6" s="75"/>
      <c r="F6" s="52" t="s">
        <v>67</v>
      </c>
      <c r="G6" s="52"/>
      <c r="H6" s="52" t="s">
        <v>44</v>
      </c>
      <c r="I6" s="79"/>
      <c r="J6" s="75">
        <v>4</v>
      </c>
      <c r="K6" s="75"/>
      <c r="L6" s="29"/>
      <c r="M6" s="52" t="s">
        <v>43</v>
      </c>
      <c r="N6" s="79"/>
      <c r="O6" s="75">
        <v>1</v>
      </c>
      <c r="P6" s="75"/>
      <c r="Q6" s="52" t="s">
        <v>67</v>
      </c>
      <c r="R6" s="52"/>
      <c r="S6" s="52" t="s">
        <v>44</v>
      </c>
      <c r="T6" s="79"/>
      <c r="U6" s="75">
        <v>4</v>
      </c>
      <c r="V6" s="75"/>
      <c r="Z6" s="29"/>
      <c r="AA6" s="29"/>
      <c r="AC6" s="29"/>
      <c r="AD6" s="29"/>
    </row>
    <row r="7" spans="1:30" x14ac:dyDescent="0.4">
      <c r="A7" s="29">
        <f t="shared" si="3"/>
        <v>7</v>
      </c>
      <c r="E7" s="29"/>
      <c r="F7" s="52"/>
      <c r="G7" s="52"/>
      <c r="H7" s="52" t="s">
        <v>45</v>
      </c>
      <c r="I7" s="79"/>
      <c r="J7" s="75">
        <v>0.25</v>
      </c>
      <c r="K7" s="75"/>
      <c r="L7" s="29"/>
      <c r="M7" s="29"/>
      <c r="N7" s="29"/>
      <c r="O7" s="29"/>
      <c r="P7" s="29"/>
      <c r="Q7" s="52"/>
      <c r="R7" s="52"/>
      <c r="S7" s="52" t="s">
        <v>45</v>
      </c>
      <c r="T7" s="79"/>
      <c r="U7" s="75">
        <v>0.25</v>
      </c>
      <c r="V7" s="75"/>
      <c r="Z7" s="29"/>
      <c r="AA7" s="29"/>
      <c r="AC7" s="29"/>
      <c r="AD7" s="29"/>
    </row>
    <row r="8" spans="1:30" x14ac:dyDescent="0.4">
      <c r="A8" s="29">
        <f t="shared" si="3"/>
        <v>8</v>
      </c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V8" s="29"/>
      <c r="Z8" s="29"/>
      <c r="AA8" s="29"/>
      <c r="AC8" s="29"/>
      <c r="AD8" s="29"/>
    </row>
    <row r="9" spans="1:30" x14ac:dyDescent="0.4">
      <c r="A9" s="29">
        <f t="shared" si="3"/>
        <v>9</v>
      </c>
      <c r="B9" s="52" t="s">
        <v>82</v>
      </c>
      <c r="C9" s="79"/>
      <c r="D9" s="81">
        <v>0</v>
      </c>
      <c r="E9" s="81"/>
      <c r="F9" s="52" t="s">
        <v>69</v>
      </c>
      <c r="G9" s="79"/>
      <c r="H9" s="80">
        <v>0</v>
      </c>
      <c r="I9" s="80"/>
      <c r="J9" s="52" t="s">
        <v>70</v>
      </c>
      <c r="K9" s="79"/>
      <c r="L9" s="80">
        <v>0</v>
      </c>
      <c r="M9" s="80"/>
      <c r="N9" s="76" t="str">
        <f>IF(L9=0, "Domestic Receive &amp; Foreign Pay", IF(L9 = 1, "Domestic - Foreign Receive &amp; Foreign Pay", IF(L9 = 2, "Domestic - Foreign Receive &amp; Domestic Pay", "Domestic Receive &amp; Domestic - Foreign Pay")))</f>
        <v>Domestic Receive &amp; Foreign Pay</v>
      </c>
      <c r="O9" s="76"/>
      <c r="P9" s="76"/>
      <c r="Q9" s="76"/>
      <c r="R9" s="29"/>
      <c r="S9" s="29"/>
      <c r="T9" s="29"/>
      <c r="V9" s="32" t="s">
        <v>61</v>
      </c>
      <c r="W9" s="75">
        <v>1</v>
      </c>
      <c r="X9" s="75"/>
      <c r="Z9" s="29"/>
      <c r="AA9" s="29"/>
      <c r="AC9" s="29"/>
      <c r="AD9" s="29"/>
    </row>
    <row r="10" spans="1:30" x14ac:dyDescent="0.4">
      <c r="A10" s="29">
        <f t="shared" si="3"/>
        <v>10</v>
      </c>
      <c r="B10" s="52" t="s">
        <v>81</v>
      </c>
      <c r="C10" s="79"/>
      <c r="D10" s="81">
        <v>-0.12</v>
      </c>
      <c r="E10" s="81"/>
      <c r="F10" s="52" t="s">
        <v>68</v>
      </c>
      <c r="G10" s="79"/>
      <c r="H10" s="80">
        <v>200</v>
      </c>
      <c r="I10" s="80"/>
      <c r="J10" s="29"/>
      <c r="K10" s="29"/>
      <c r="L10" s="29"/>
      <c r="M10" s="29"/>
      <c r="N10" s="76"/>
      <c r="O10" s="76"/>
      <c r="P10" s="76"/>
      <c r="Q10" s="76"/>
      <c r="R10" s="29"/>
      <c r="S10" s="29"/>
      <c r="T10" s="29"/>
      <c r="V10" s="32" t="s">
        <v>62</v>
      </c>
      <c r="W10" s="75">
        <v>0</v>
      </c>
      <c r="X10" s="75"/>
      <c r="Z10" s="29"/>
      <c r="AA10" s="29"/>
      <c r="AC10" s="29"/>
      <c r="AD10" s="29"/>
    </row>
    <row r="11" spans="1:30" x14ac:dyDescent="0.4">
      <c r="A11" s="29">
        <f t="shared" si="3"/>
        <v>11</v>
      </c>
      <c r="E11" s="29"/>
      <c r="F11" s="29"/>
      <c r="G11" s="29"/>
      <c r="H11" s="29"/>
      <c r="I11" s="29"/>
      <c r="J11" s="29"/>
      <c r="K11" s="29"/>
      <c r="L11" s="29"/>
      <c r="M11" s="29"/>
      <c r="N11" s="76"/>
      <c r="O11" s="76"/>
      <c r="P11" s="76"/>
      <c r="Q11" s="76"/>
      <c r="R11" s="29"/>
      <c r="S11" s="29"/>
      <c r="T11" s="29"/>
      <c r="V11" s="29"/>
      <c r="Z11" s="29"/>
      <c r="AA11" s="29"/>
      <c r="AC11" s="29"/>
      <c r="AD11" s="29"/>
    </row>
    <row r="12" spans="1:30" x14ac:dyDescent="0.4">
      <c r="A12" s="29">
        <f t="shared" si="3"/>
        <v>12</v>
      </c>
      <c r="B12" s="52" t="s">
        <v>48</v>
      </c>
      <c r="C12" s="79"/>
      <c r="E12" s="82" t="s">
        <v>54</v>
      </c>
      <c r="F12" s="82"/>
      <c r="G12" s="82"/>
      <c r="H12" s="82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77" t="str">
        <f>IF(D3&gt;E15, "확정된 기초금리 입력", "")</f>
        <v>확정된 기초금리 입력</v>
      </c>
      <c r="T12" s="77"/>
      <c r="V12" s="33" t="s">
        <v>64</v>
      </c>
      <c r="Z12" s="65" t="s">
        <v>71</v>
      </c>
      <c r="AA12" s="65"/>
      <c r="AB12" s="65"/>
      <c r="AC12" s="65"/>
      <c r="AD12" s="29"/>
    </row>
    <row r="13" spans="1:30" x14ac:dyDescent="0.4">
      <c r="A13" s="29">
        <f t="shared" si="3"/>
        <v>13</v>
      </c>
      <c r="B13" s="7" t="s">
        <v>33</v>
      </c>
      <c r="C13" s="28" t="s">
        <v>34</v>
      </c>
      <c r="E13" s="74" t="s">
        <v>55</v>
      </c>
      <c r="F13" s="74" t="s">
        <v>49</v>
      </c>
      <c r="G13" s="74" t="s">
        <v>50</v>
      </c>
      <c r="H13" s="74"/>
      <c r="I13" s="74" t="s">
        <v>53</v>
      </c>
      <c r="J13" s="74"/>
      <c r="K13" s="74" t="s">
        <v>58</v>
      </c>
      <c r="L13" s="74"/>
      <c r="M13" s="74" t="s">
        <v>59</v>
      </c>
      <c r="N13" s="74"/>
      <c r="O13" s="74" t="s">
        <v>56</v>
      </c>
      <c r="P13" s="74"/>
      <c r="Q13" s="74" t="s">
        <v>57</v>
      </c>
      <c r="R13" s="74"/>
      <c r="S13" s="74" t="s">
        <v>60</v>
      </c>
      <c r="T13" s="74"/>
      <c r="V13" s="74" t="s">
        <v>63</v>
      </c>
      <c r="Z13" s="71" t="s">
        <v>72</v>
      </c>
      <c r="AA13" s="72"/>
      <c r="AB13" s="73"/>
      <c r="AC13" s="73"/>
      <c r="AD13" s="29"/>
    </row>
    <row r="14" spans="1:30" x14ac:dyDescent="0.4">
      <c r="A14" s="29">
        <f t="shared" si="3"/>
        <v>14</v>
      </c>
      <c r="B14" s="30">
        <v>0.5</v>
      </c>
      <c r="C14" s="31">
        <v>0.24</v>
      </c>
      <c r="E14" s="74"/>
      <c r="F14" s="74"/>
      <c r="G14" s="32" t="s">
        <v>52</v>
      </c>
      <c r="H14" s="32" t="s">
        <v>51</v>
      </c>
      <c r="I14" s="32" t="s">
        <v>52</v>
      </c>
      <c r="J14" s="32" t="s">
        <v>51</v>
      </c>
      <c r="K14" s="32" t="s">
        <v>52</v>
      </c>
      <c r="L14" s="32" t="s">
        <v>51</v>
      </c>
      <c r="M14" s="32" t="s">
        <v>52</v>
      </c>
      <c r="N14" s="32" t="s">
        <v>51</v>
      </c>
      <c r="O14" s="32" t="s">
        <v>52</v>
      </c>
      <c r="P14" s="32" t="s">
        <v>51</v>
      </c>
      <c r="Q14" s="32" t="s">
        <v>52</v>
      </c>
      <c r="R14" s="32" t="s">
        <v>51</v>
      </c>
      <c r="S14" s="32" t="s">
        <v>52</v>
      </c>
      <c r="T14" s="32" t="s">
        <v>51</v>
      </c>
      <c r="V14" s="74"/>
      <c r="Z14" s="71" t="s">
        <v>73</v>
      </c>
      <c r="AA14" s="72"/>
      <c r="AB14" s="69">
        <v>2003.91097480894</v>
      </c>
      <c r="AC14" s="69"/>
      <c r="AD14" s="29"/>
    </row>
    <row r="15" spans="1:30" x14ac:dyDescent="0.4">
      <c r="A15" s="29">
        <f t="shared" si="3"/>
        <v>15</v>
      </c>
      <c r="B15" s="30">
        <v>1</v>
      </c>
      <c r="C15" s="31">
        <v>0.24</v>
      </c>
      <c r="E15" s="35">
        <v>43109</v>
      </c>
      <c r="F15" s="35">
        <v>43199</v>
      </c>
      <c r="G15" s="35">
        <f>F15+2</f>
        <v>43201</v>
      </c>
      <c r="H15" s="35">
        <f>F15+3</f>
        <v>43202</v>
      </c>
      <c r="I15" s="36">
        <v>1</v>
      </c>
      <c r="J15" s="36">
        <v>1</v>
      </c>
      <c r="K15" s="37">
        <v>-1</v>
      </c>
      <c r="L15" s="37">
        <v>-1</v>
      </c>
      <c r="M15" s="37">
        <v>2</v>
      </c>
      <c r="N15" s="37">
        <v>2</v>
      </c>
      <c r="O15" s="37">
        <v>0</v>
      </c>
      <c r="P15" s="37">
        <v>0</v>
      </c>
      <c r="Q15" s="37">
        <v>0</v>
      </c>
      <c r="R15" s="37">
        <v>2E-3</v>
      </c>
      <c r="S15" s="37">
        <v>3.04E-2</v>
      </c>
      <c r="T15" s="37">
        <v>4.2139999999999997E-2</v>
      </c>
      <c r="V15" s="35">
        <v>43187</v>
      </c>
      <c r="W15" s="39"/>
      <c r="Z15" s="70" t="s">
        <v>74</v>
      </c>
      <c r="AA15" s="70"/>
      <c r="AB15" s="69">
        <v>-2293.5274765799054</v>
      </c>
      <c r="AC15" s="69"/>
      <c r="AD15" s="29"/>
    </row>
    <row r="16" spans="1:30" x14ac:dyDescent="0.4">
      <c r="A16" s="29">
        <f t="shared" si="3"/>
        <v>16</v>
      </c>
      <c r="B16" s="30">
        <v>1.5</v>
      </c>
      <c r="C16" s="31">
        <v>0.24</v>
      </c>
      <c r="E16" s="35">
        <v>43199</v>
      </c>
      <c r="F16" s="35">
        <v>43290</v>
      </c>
      <c r="G16" s="35">
        <f t="shared" ref="G16:G54" si="4">F16+2</f>
        <v>43292</v>
      </c>
      <c r="H16" s="35">
        <f t="shared" ref="H16:H54" si="5">F16+3</f>
        <v>43293</v>
      </c>
      <c r="I16" s="36">
        <v>1</v>
      </c>
      <c r="J16" s="36">
        <v>1</v>
      </c>
      <c r="K16" s="37">
        <v>-1</v>
      </c>
      <c r="L16" s="37">
        <v>-1</v>
      </c>
      <c r="M16" s="37">
        <v>2</v>
      </c>
      <c r="N16" s="37">
        <v>2</v>
      </c>
      <c r="O16" s="37">
        <v>0</v>
      </c>
      <c r="P16" s="37">
        <v>0</v>
      </c>
      <c r="Q16" s="37">
        <v>0</v>
      </c>
      <c r="R16" s="37">
        <v>2E-3</v>
      </c>
      <c r="S16" s="37">
        <v>3.04E-2</v>
      </c>
      <c r="T16" s="37">
        <v>4.2139999999999997E-2</v>
      </c>
      <c r="V16" s="35">
        <v>43278</v>
      </c>
      <c r="W16" s="39"/>
      <c r="Z16" s="70" t="s">
        <v>76</v>
      </c>
      <c r="AA16" s="70"/>
      <c r="AB16" s="69">
        <v>193.73741476892815</v>
      </c>
      <c r="AC16" s="69"/>
      <c r="AD16" s="29"/>
    </row>
    <row r="17" spans="1:30" x14ac:dyDescent="0.4">
      <c r="A17" s="29">
        <f t="shared" si="3"/>
        <v>17</v>
      </c>
      <c r="B17" s="30">
        <v>2</v>
      </c>
      <c r="C17" s="31">
        <v>0.24</v>
      </c>
      <c r="E17" s="35">
        <v>43290</v>
      </c>
      <c r="F17" s="35">
        <v>43382</v>
      </c>
      <c r="G17" s="35">
        <f t="shared" si="4"/>
        <v>43384</v>
      </c>
      <c r="H17" s="35">
        <f t="shared" si="5"/>
        <v>43385</v>
      </c>
      <c r="I17" s="36">
        <v>1</v>
      </c>
      <c r="J17" s="36">
        <v>1</v>
      </c>
      <c r="K17" s="37">
        <v>-1</v>
      </c>
      <c r="L17" s="37">
        <v>-1</v>
      </c>
      <c r="M17" s="37">
        <v>2</v>
      </c>
      <c r="N17" s="37">
        <v>2</v>
      </c>
      <c r="O17" s="37">
        <v>0</v>
      </c>
      <c r="P17" s="37">
        <v>0</v>
      </c>
      <c r="Q17" s="37">
        <v>0</v>
      </c>
      <c r="R17" s="37">
        <v>2E-3</v>
      </c>
      <c r="S17" s="37">
        <v>3.04E-2</v>
      </c>
      <c r="T17" s="37">
        <v>4.2139999999999997E-2</v>
      </c>
      <c r="V17" s="35">
        <v>43370</v>
      </c>
      <c r="W17" s="39"/>
      <c r="Z17" s="70" t="s">
        <v>75</v>
      </c>
      <c r="AA17" s="70"/>
      <c r="AB17" s="69">
        <v>483.35391653989359</v>
      </c>
      <c r="AC17" s="69"/>
      <c r="AD17" s="29"/>
    </row>
    <row r="18" spans="1:30" x14ac:dyDescent="0.4">
      <c r="A18" s="29">
        <f t="shared" si="3"/>
        <v>18</v>
      </c>
      <c r="B18" s="30">
        <v>3</v>
      </c>
      <c r="C18" s="31">
        <v>0.24</v>
      </c>
      <c r="E18" s="35">
        <v>43382</v>
      </c>
      <c r="F18" s="35">
        <v>43474</v>
      </c>
      <c r="G18" s="35">
        <f t="shared" si="4"/>
        <v>43476</v>
      </c>
      <c r="H18" s="35">
        <f t="shared" si="5"/>
        <v>43477</v>
      </c>
      <c r="I18" s="36">
        <v>1</v>
      </c>
      <c r="J18" s="36">
        <v>1</v>
      </c>
      <c r="K18" s="37">
        <v>-1</v>
      </c>
      <c r="L18" s="37">
        <v>-1</v>
      </c>
      <c r="M18" s="37">
        <v>2</v>
      </c>
      <c r="N18" s="37">
        <v>2</v>
      </c>
      <c r="O18" s="37">
        <v>0</v>
      </c>
      <c r="P18" s="37">
        <v>0</v>
      </c>
      <c r="Q18" s="37">
        <v>0</v>
      </c>
      <c r="R18" s="37">
        <v>2E-3</v>
      </c>
      <c r="S18" s="37">
        <v>3.04E-2</v>
      </c>
      <c r="T18" s="37">
        <v>4.2139999999999997E-2</v>
      </c>
      <c r="V18" s="35">
        <v>43462</v>
      </c>
      <c r="W18" s="39"/>
      <c r="Z18" s="29"/>
      <c r="AA18" s="29"/>
      <c r="AC18" s="29"/>
      <c r="AD18" s="29"/>
    </row>
    <row r="19" spans="1:30" x14ac:dyDescent="0.4">
      <c r="A19" s="29">
        <f t="shared" si="3"/>
        <v>19</v>
      </c>
      <c r="B19" s="30">
        <v>4</v>
      </c>
      <c r="C19" s="31">
        <v>0.24</v>
      </c>
      <c r="E19" s="35">
        <v>43474</v>
      </c>
      <c r="F19" s="35">
        <v>43564</v>
      </c>
      <c r="G19" s="35">
        <f t="shared" si="4"/>
        <v>43566</v>
      </c>
      <c r="H19" s="35">
        <f t="shared" si="5"/>
        <v>43567</v>
      </c>
      <c r="I19" s="36">
        <v>1</v>
      </c>
      <c r="J19" s="36">
        <v>1</v>
      </c>
      <c r="K19" s="37">
        <v>-1</v>
      </c>
      <c r="L19" s="37">
        <v>-1</v>
      </c>
      <c r="M19" s="37">
        <v>2</v>
      </c>
      <c r="N19" s="37">
        <v>2</v>
      </c>
      <c r="O19" s="37">
        <v>0</v>
      </c>
      <c r="P19" s="37">
        <v>0</v>
      </c>
      <c r="Q19" s="37">
        <v>0</v>
      </c>
      <c r="R19" s="37">
        <v>2E-3</v>
      </c>
      <c r="S19" s="37">
        <v>3.04E-2</v>
      </c>
      <c r="T19" s="37">
        <v>4.2139999999999997E-2</v>
      </c>
      <c r="V19" s="35">
        <v>43552</v>
      </c>
      <c r="Z19" s="66" t="s">
        <v>77</v>
      </c>
      <c r="AA19" s="66"/>
      <c r="AC19" s="66" t="s">
        <v>77</v>
      </c>
      <c r="AD19" s="66"/>
    </row>
    <row r="20" spans="1:30" ht="18" customHeight="1" thickBot="1" x14ac:dyDescent="0.45">
      <c r="A20" s="29">
        <f t="shared" si="3"/>
        <v>20</v>
      </c>
      <c r="B20" s="34"/>
      <c r="C20" s="34"/>
      <c r="E20" s="35">
        <v>43564</v>
      </c>
      <c r="F20" s="35">
        <v>43655</v>
      </c>
      <c r="G20" s="35">
        <f t="shared" si="4"/>
        <v>43657</v>
      </c>
      <c r="H20" s="35">
        <f t="shared" si="5"/>
        <v>43658</v>
      </c>
      <c r="I20" s="36">
        <v>1</v>
      </c>
      <c r="J20" s="36">
        <v>1</v>
      </c>
      <c r="K20" s="37">
        <v>-1</v>
      </c>
      <c r="L20" s="37">
        <v>-1</v>
      </c>
      <c r="M20" s="37">
        <v>2</v>
      </c>
      <c r="N20" s="37">
        <v>2</v>
      </c>
      <c r="O20" s="37">
        <v>0</v>
      </c>
      <c r="P20" s="37">
        <v>0</v>
      </c>
      <c r="Q20" s="37">
        <v>0</v>
      </c>
      <c r="R20" s="37">
        <v>2E-3</v>
      </c>
      <c r="S20" s="37">
        <v>3.04E-2</v>
      </c>
      <c r="T20" s="37">
        <v>4.2139999999999997E-2</v>
      </c>
      <c r="V20" s="35">
        <v>43643</v>
      </c>
      <c r="Z20" s="67"/>
      <c r="AA20" s="67"/>
      <c r="AC20" s="67"/>
      <c r="AD20" s="67"/>
    </row>
    <row r="21" spans="1:30" ht="18" customHeight="1" x14ac:dyDescent="0.4">
      <c r="A21" s="29">
        <f t="shared" si="3"/>
        <v>21</v>
      </c>
      <c r="B21" s="34"/>
      <c r="C21" s="34"/>
      <c r="E21" s="35">
        <v>43655</v>
      </c>
      <c r="F21" s="35">
        <v>43747</v>
      </c>
      <c r="G21" s="35">
        <f t="shared" si="4"/>
        <v>43749</v>
      </c>
      <c r="H21" s="35">
        <f t="shared" si="5"/>
        <v>43750</v>
      </c>
      <c r="I21" s="36">
        <v>1</v>
      </c>
      <c r="J21" s="36">
        <v>1</v>
      </c>
      <c r="K21" s="37">
        <v>-1</v>
      </c>
      <c r="L21" s="37">
        <v>-1</v>
      </c>
      <c r="M21" s="37">
        <v>2</v>
      </c>
      <c r="N21" s="37">
        <v>2</v>
      </c>
      <c r="O21" s="37">
        <v>0</v>
      </c>
      <c r="P21" s="37">
        <v>0</v>
      </c>
      <c r="Q21" s="37">
        <v>0</v>
      </c>
      <c r="R21" s="37">
        <v>2E-3</v>
      </c>
      <c r="S21" s="37">
        <v>3.04E-2</v>
      </c>
      <c r="T21" s="37">
        <v>4.2139999999999997E-2</v>
      </c>
      <c r="V21" s="35">
        <v>43735</v>
      </c>
      <c r="Z21" s="40" t="s">
        <v>78</v>
      </c>
      <c r="AA21" s="49"/>
      <c r="AC21" s="40" t="s">
        <v>78</v>
      </c>
      <c r="AD21" s="49"/>
    </row>
    <row r="22" spans="1:30" ht="18" thickBot="1" x14ac:dyDescent="0.45">
      <c r="A22" s="29">
        <f t="shared" si="3"/>
        <v>22</v>
      </c>
      <c r="B22" s="34"/>
      <c r="C22" s="34"/>
      <c r="E22" s="35">
        <v>43747</v>
      </c>
      <c r="F22" s="35">
        <v>43839</v>
      </c>
      <c r="G22" s="35">
        <f t="shared" si="4"/>
        <v>43841</v>
      </c>
      <c r="H22" s="35">
        <f t="shared" si="5"/>
        <v>43842</v>
      </c>
      <c r="I22" s="36">
        <v>1</v>
      </c>
      <c r="J22" s="36">
        <v>1</v>
      </c>
      <c r="K22" s="37">
        <v>-1</v>
      </c>
      <c r="L22" s="37">
        <v>-1</v>
      </c>
      <c r="M22" s="37">
        <v>2</v>
      </c>
      <c r="N22" s="37">
        <v>2</v>
      </c>
      <c r="O22" s="37">
        <v>0</v>
      </c>
      <c r="P22" s="37">
        <v>0</v>
      </c>
      <c r="Q22" s="37">
        <v>0</v>
      </c>
      <c r="R22" s="37">
        <v>2E-3</v>
      </c>
      <c r="S22" s="37">
        <v>3.04E-2</v>
      </c>
      <c r="T22" s="37">
        <v>4.2139999999999997E-2</v>
      </c>
      <c r="V22" s="35">
        <v>43827</v>
      </c>
      <c r="Z22" s="1"/>
      <c r="AA22" s="1"/>
      <c r="AC22" s="1"/>
      <c r="AD22" s="1"/>
    </row>
    <row r="23" spans="1:30" x14ac:dyDescent="0.4">
      <c r="A23" s="29">
        <f t="shared" si="3"/>
        <v>23</v>
      </c>
      <c r="B23" s="34"/>
      <c r="C23" s="34"/>
      <c r="E23" s="35">
        <v>43839</v>
      </c>
      <c r="F23" s="35">
        <v>43930</v>
      </c>
      <c r="G23" s="35">
        <f t="shared" si="4"/>
        <v>43932</v>
      </c>
      <c r="H23" s="35">
        <f t="shared" si="5"/>
        <v>43933</v>
      </c>
      <c r="I23" s="36">
        <v>1</v>
      </c>
      <c r="J23" s="36">
        <v>1</v>
      </c>
      <c r="K23" s="37">
        <v>-1</v>
      </c>
      <c r="L23" s="37">
        <v>-1</v>
      </c>
      <c r="M23" s="37">
        <v>2</v>
      </c>
      <c r="N23" s="37">
        <v>2</v>
      </c>
      <c r="O23" s="37">
        <v>0</v>
      </c>
      <c r="P23" s="37">
        <v>0</v>
      </c>
      <c r="Q23" s="37">
        <v>0</v>
      </c>
      <c r="R23" s="37">
        <v>2E-3</v>
      </c>
      <c r="S23" s="37">
        <v>3.04E-2</v>
      </c>
      <c r="T23" s="37">
        <v>4.2139999999999997E-2</v>
      </c>
      <c r="V23" s="35">
        <v>43918</v>
      </c>
      <c r="Z23" s="68" t="s">
        <v>80</v>
      </c>
      <c r="AA23" s="68"/>
      <c r="AC23" s="68" t="s">
        <v>80</v>
      </c>
      <c r="AD23" s="68"/>
    </row>
    <row r="24" spans="1:30" x14ac:dyDescent="0.4">
      <c r="A24" s="29">
        <f t="shared" si="3"/>
        <v>24</v>
      </c>
      <c r="B24" s="34"/>
      <c r="C24" s="34"/>
      <c r="E24" s="35">
        <v>43930</v>
      </c>
      <c r="F24" s="35">
        <v>44021</v>
      </c>
      <c r="G24" s="35">
        <f t="shared" si="4"/>
        <v>44023</v>
      </c>
      <c r="H24" s="35">
        <f t="shared" si="5"/>
        <v>44024</v>
      </c>
      <c r="I24" s="36">
        <v>1</v>
      </c>
      <c r="J24" s="36">
        <v>1</v>
      </c>
      <c r="K24" s="37">
        <v>-1</v>
      </c>
      <c r="L24" s="37">
        <v>-1</v>
      </c>
      <c r="M24" s="37">
        <v>2</v>
      </c>
      <c r="N24" s="37">
        <v>2</v>
      </c>
      <c r="O24" s="37">
        <v>0</v>
      </c>
      <c r="P24" s="37">
        <v>0</v>
      </c>
      <c r="Q24" s="37">
        <v>0</v>
      </c>
      <c r="R24" s="37">
        <v>2E-3</v>
      </c>
      <c r="S24" s="37">
        <v>3.04E-2</v>
      </c>
      <c r="T24" s="37">
        <v>4.2139999999999997E-2</v>
      </c>
      <c r="V24" s="35">
        <v>44009</v>
      </c>
      <c r="Z24" s="40" t="s">
        <v>79</v>
      </c>
      <c r="AA24" s="40" t="s">
        <v>78</v>
      </c>
      <c r="AC24" s="40" t="s">
        <v>79</v>
      </c>
      <c r="AD24" s="40" t="s">
        <v>78</v>
      </c>
    </row>
    <row r="25" spans="1:30" x14ac:dyDescent="0.4">
      <c r="A25" s="29">
        <f t="shared" si="3"/>
        <v>25</v>
      </c>
      <c r="B25" s="34"/>
      <c r="C25" s="34"/>
      <c r="E25" s="35">
        <v>44021</v>
      </c>
      <c r="F25" s="35">
        <v>44113</v>
      </c>
      <c r="G25" s="35">
        <f t="shared" si="4"/>
        <v>44115</v>
      </c>
      <c r="H25" s="35">
        <f t="shared" si="5"/>
        <v>44116</v>
      </c>
      <c r="I25" s="36">
        <v>1</v>
      </c>
      <c r="J25" s="36">
        <v>1</v>
      </c>
      <c r="K25" s="37">
        <v>-1</v>
      </c>
      <c r="L25" s="37">
        <v>-1</v>
      </c>
      <c r="M25" s="37">
        <v>2</v>
      </c>
      <c r="N25" s="37">
        <v>2</v>
      </c>
      <c r="O25" s="37">
        <v>0</v>
      </c>
      <c r="P25" s="37">
        <v>0</v>
      </c>
      <c r="Q25" s="37">
        <v>0</v>
      </c>
      <c r="R25" s="37">
        <v>2E-3</v>
      </c>
      <c r="S25" s="37">
        <v>3.04E-2</v>
      </c>
      <c r="T25" s="37">
        <v>4.2139999999999997E-2</v>
      </c>
      <c r="V25" s="35">
        <v>44101</v>
      </c>
      <c r="Z25" s="40"/>
      <c r="AA25" s="41"/>
      <c r="AC25" s="40"/>
      <c r="AD25" s="41"/>
    </row>
    <row r="26" spans="1:30" x14ac:dyDescent="0.4">
      <c r="A26" s="29">
        <f t="shared" si="3"/>
        <v>26</v>
      </c>
      <c r="B26" s="34"/>
      <c r="C26" s="34"/>
      <c r="D26" s="48"/>
      <c r="E26" s="35">
        <v>44113</v>
      </c>
      <c r="F26" s="35">
        <v>44205</v>
      </c>
      <c r="G26" s="35">
        <f t="shared" si="4"/>
        <v>44207</v>
      </c>
      <c r="H26" s="35">
        <f t="shared" si="5"/>
        <v>44208</v>
      </c>
      <c r="I26" s="36">
        <v>1</v>
      </c>
      <c r="J26" s="36">
        <v>1</v>
      </c>
      <c r="K26" s="37">
        <v>-1</v>
      </c>
      <c r="L26" s="37">
        <v>-1</v>
      </c>
      <c r="M26" s="37">
        <v>2</v>
      </c>
      <c r="N26" s="37">
        <v>2</v>
      </c>
      <c r="O26" s="37">
        <v>0</v>
      </c>
      <c r="P26" s="37">
        <v>0</v>
      </c>
      <c r="Q26" s="37">
        <v>0</v>
      </c>
      <c r="R26" s="37">
        <v>2E-3</v>
      </c>
      <c r="S26" s="37">
        <v>3.04E-2</v>
      </c>
      <c r="T26" s="37">
        <v>4.2139999999999997E-2</v>
      </c>
      <c r="V26" s="35">
        <v>44193</v>
      </c>
      <c r="Z26" s="40"/>
      <c r="AA26" s="41"/>
      <c r="AC26" s="40"/>
      <c r="AD26" s="41"/>
    </row>
    <row r="27" spans="1:30" x14ac:dyDescent="0.4">
      <c r="A27" s="29">
        <f t="shared" si="3"/>
        <v>27</v>
      </c>
      <c r="B27" s="34"/>
      <c r="C27" s="34"/>
      <c r="E27" s="35">
        <v>44205</v>
      </c>
      <c r="F27" s="35">
        <v>44295</v>
      </c>
      <c r="G27" s="35">
        <f t="shared" si="4"/>
        <v>44297</v>
      </c>
      <c r="H27" s="35">
        <f t="shared" si="5"/>
        <v>44298</v>
      </c>
      <c r="I27" s="36">
        <v>1</v>
      </c>
      <c r="J27" s="36">
        <v>1</v>
      </c>
      <c r="K27" s="37">
        <v>-1</v>
      </c>
      <c r="L27" s="37">
        <v>-1</v>
      </c>
      <c r="M27" s="37">
        <v>2</v>
      </c>
      <c r="N27" s="37">
        <v>2</v>
      </c>
      <c r="O27" s="37">
        <v>0</v>
      </c>
      <c r="P27" s="37">
        <v>0</v>
      </c>
      <c r="Q27" s="37">
        <v>0</v>
      </c>
      <c r="R27" s="37">
        <v>2E-3</v>
      </c>
      <c r="S27" s="37">
        <v>3.04E-2</v>
      </c>
      <c r="T27" s="37">
        <v>4.2139999999999997E-2</v>
      </c>
      <c r="V27" s="35">
        <v>44283</v>
      </c>
      <c r="Z27" s="40"/>
      <c r="AA27" s="41"/>
      <c r="AC27" s="40"/>
      <c r="AD27" s="41"/>
    </row>
    <row r="28" spans="1:30" x14ac:dyDescent="0.4">
      <c r="A28" s="29">
        <f t="shared" si="3"/>
        <v>28</v>
      </c>
      <c r="B28" s="34"/>
      <c r="C28" s="34"/>
      <c r="E28" s="35">
        <v>44295</v>
      </c>
      <c r="F28" s="35">
        <v>44386</v>
      </c>
      <c r="G28" s="35">
        <f t="shared" si="4"/>
        <v>44388</v>
      </c>
      <c r="H28" s="35">
        <f t="shared" si="5"/>
        <v>44389</v>
      </c>
      <c r="I28" s="36">
        <v>1</v>
      </c>
      <c r="J28" s="36">
        <v>1</v>
      </c>
      <c r="K28" s="37">
        <v>-1</v>
      </c>
      <c r="L28" s="37">
        <v>-1</v>
      </c>
      <c r="M28" s="37">
        <v>2</v>
      </c>
      <c r="N28" s="37">
        <v>2</v>
      </c>
      <c r="O28" s="37">
        <v>0</v>
      </c>
      <c r="P28" s="37">
        <v>0</v>
      </c>
      <c r="Q28" s="37">
        <v>0</v>
      </c>
      <c r="R28" s="37">
        <v>2E-3</v>
      </c>
      <c r="S28" s="37">
        <v>3.04E-2</v>
      </c>
      <c r="T28" s="37">
        <v>4.2139999999999997E-2</v>
      </c>
      <c r="V28" s="35">
        <v>44374</v>
      </c>
      <c r="Z28" s="40"/>
      <c r="AA28" s="41"/>
      <c r="AC28" s="40"/>
      <c r="AD28" s="41"/>
    </row>
    <row r="29" spans="1:30" x14ac:dyDescent="0.4">
      <c r="A29" s="29">
        <f t="shared" si="3"/>
        <v>29</v>
      </c>
      <c r="B29" s="34"/>
      <c r="C29" s="34"/>
      <c r="E29" s="35">
        <v>44386</v>
      </c>
      <c r="F29" s="35">
        <v>44478</v>
      </c>
      <c r="G29" s="35">
        <f t="shared" si="4"/>
        <v>44480</v>
      </c>
      <c r="H29" s="35">
        <f t="shared" si="5"/>
        <v>44481</v>
      </c>
      <c r="I29" s="36">
        <v>1</v>
      </c>
      <c r="J29" s="36">
        <v>1</v>
      </c>
      <c r="K29" s="37">
        <v>-1</v>
      </c>
      <c r="L29" s="37">
        <v>-1</v>
      </c>
      <c r="M29" s="37">
        <v>2</v>
      </c>
      <c r="N29" s="37">
        <v>2</v>
      </c>
      <c r="O29" s="37">
        <v>0</v>
      </c>
      <c r="P29" s="37">
        <v>0</v>
      </c>
      <c r="Q29" s="37">
        <v>0</v>
      </c>
      <c r="R29" s="37">
        <v>2E-3</v>
      </c>
      <c r="S29" s="37">
        <v>3.04E-2</v>
      </c>
      <c r="T29" s="37">
        <v>4.2139999999999997E-2</v>
      </c>
      <c r="V29" s="35">
        <v>44466</v>
      </c>
      <c r="Z29" s="40"/>
      <c r="AA29" s="41"/>
      <c r="AC29" s="40"/>
      <c r="AD29" s="41"/>
    </row>
    <row r="30" spans="1:30" x14ac:dyDescent="0.4">
      <c r="A30" s="29">
        <f t="shared" si="3"/>
        <v>30</v>
      </c>
      <c r="B30" s="34"/>
      <c r="C30" s="34"/>
      <c r="E30" s="35">
        <v>44478</v>
      </c>
      <c r="F30" s="35">
        <v>44570</v>
      </c>
      <c r="G30" s="35">
        <f t="shared" si="4"/>
        <v>44572</v>
      </c>
      <c r="H30" s="35">
        <f t="shared" si="5"/>
        <v>44573</v>
      </c>
      <c r="I30" s="36">
        <v>1</v>
      </c>
      <c r="J30" s="36">
        <v>1</v>
      </c>
      <c r="K30" s="37">
        <v>-1</v>
      </c>
      <c r="L30" s="37">
        <v>-1</v>
      </c>
      <c r="M30" s="37">
        <v>2</v>
      </c>
      <c r="N30" s="37">
        <v>2</v>
      </c>
      <c r="O30" s="37">
        <v>0</v>
      </c>
      <c r="P30" s="37">
        <v>0</v>
      </c>
      <c r="Q30" s="37">
        <v>0</v>
      </c>
      <c r="R30" s="37">
        <v>2E-3</v>
      </c>
      <c r="S30" s="37">
        <v>3.04E-2</v>
      </c>
      <c r="T30" s="37">
        <v>4.2139999999999997E-2</v>
      </c>
      <c r="V30" s="35">
        <v>44558</v>
      </c>
      <c r="Z30" s="40"/>
      <c r="AA30" s="41"/>
      <c r="AC30" s="40"/>
      <c r="AD30" s="41"/>
    </row>
    <row r="31" spans="1:30" x14ac:dyDescent="0.4">
      <c r="A31" s="29">
        <f t="shared" si="3"/>
        <v>31</v>
      </c>
      <c r="B31" s="34"/>
      <c r="C31" s="34"/>
      <c r="E31" s="35">
        <v>44570</v>
      </c>
      <c r="F31" s="35">
        <v>44660</v>
      </c>
      <c r="G31" s="35">
        <f t="shared" si="4"/>
        <v>44662</v>
      </c>
      <c r="H31" s="35">
        <f t="shared" si="5"/>
        <v>44663</v>
      </c>
      <c r="I31" s="36">
        <v>1</v>
      </c>
      <c r="J31" s="36">
        <v>1</v>
      </c>
      <c r="K31" s="37">
        <v>-1</v>
      </c>
      <c r="L31" s="37">
        <v>-1</v>
      </c>
      <c r="M31" s="37">
        <v>2</v>
      </c>
      <c r="N31" s="37">
        <v>2</v>
      </c>
      <c r="O31" s="37">
        <v>0</v>
      </c>
      <c r="P31" s="37">
        <v>0</v>
      </c>
      <c r="Q31" s="37">
        <v>0</v>
      </c>
      <c r="R31" s="37">
        <v>2E-3</v>
      </c>
      <c r="S31" s="37">
        <v>3.04E-2</v>
      </c>
      <c r="T31" s="37">
        <v>4.2139999999999997E-2</v>
      </c>
      <c r="V31" s="35">
        <v>44648</v>
      </c>
      <c r="Z31" s="40"/>
      <c r="AA31" s="41"/>
      <c r="AC31" s="40"/>
      <c r="AD31" s="41"/>
    </row>
    <row r="32" spans="1:30" x14ac:dyDescent="0.4">
      <c r="A32" s="29">
        <f t="shared" si="3"/>
        <v>32</v>
      </c>
      <c r="B32" s="34"/>
      <c r="C32" s="34"/>
      <c r="E32" s="35">
        <v>44660</v>
      </c>
      <c r="F32" s="35">
        <v>44751</v>
      </c>
      <c r="G32" s="35">
        <f t="shared" si="4"/>
        <v>44753</v>
      </c>
      <c r="H32" s="35">
        <f t="shared" si="5"/>
        <v>44754</v>
      </c>
      <c r="I32" s="36">
        <v>1</v>
      </c>
      <c r="J32" s="36">
        <v>1</v>
      </c>
      <c r="K32" s="37">
        <v>-1</v>
      </c>
      <c r="L32" s="37">
        <v>-1</v>
      </c>
      <c r="M32" s="37">
        <v>2</v>
      </c>
      <c r="N32" s="37">
        <v>2</v>
      </c>
      <c r="O32" s="37">
        <v>0</v>
      </c>
      <c r="P32" s="37">
        <v>0</v>
      </c>
      <c r="Q32" s="37">
        <v>0</v>
      </c>
      <c r="R32" s="37">
        <v>2E-3</v>
      </c>
      <c r="S32" s="37">
        <v>3.04E-2</v>
      </c>
      <c r="T32" s="37">
        <v>4.2139999999999997E-2</v>
      </c>
      <c r="V32" s="35">
        <v>44739</v>
      </c>
      <c r="Z32" s="40"/>
      <c r="AA32" s="41"/>
      <c r="AC32" s="40"/>
      <c r="AD32" s="41"/>
    </row>
    <row r="33" spans="1:30" x14ac:dyDescent="0.4">
      <c r="A33" s="29">
        <f t="shared" si="3"/>
        <v>33</v>
      </c>
      <c r="B33" s="34"/>
      <c r="C33" s="34"/>
      <c r="E33" s="35">
        <v>44751</v>
      </c>
      <c r="F33" s="35">
        <v>44843</v>
      </c>
      <c r="G33" s="35">
        <f t="shared" si="4"/>
        <v>44845</v>
      </c>
      <c r="H33" s="35">
        <f t="shared" si="5"/>
        <v>44846</v>
      </c>
      <c r="I33" s="36">
        <v>1</v>
      </c>
      <c r="J33" s="36">
        <v>1</v>
      </c>
      <c r="K33" s="37">
        <v>-1</v>
      </c>
      <c r="L33" s="37">
        <v>-1</v>
      </c>
      <c r="M33" s="37">
        <v>2</v>
      </c>
      <c r="N33" s="37">
        <v>2</v>
      </c>
      <c r="O33" s="37">
        <v>0</v>
      </c>
      <c r="P33" s="37">
        <v>0</v>
      </c>
      <c r="Q33" s="37">
        <v>0</v>
      </c>
      <c r="R33" s="37">
        <v>2E-3</v>
      </c>
      <c r="S33" s="37">
        <v>3.04E-2</v>
      </c>
      <c r="T33" s="37">
        <v>4.2139999999999997E-2</v>
      </c>
      <c r="V33" s="35">
        <v>44831</v>
      </c>
      <c r="Z33" s="44"/>
      <c r="AA33" s="41"/>
      <c r="AC33" s="40"/>
      <c r="AD33" s="41"/>
    </row>
    <row r="34" spans="1:30" x14ac:dyDescent="0.4">
      <c r="A34" s="29">
        <f t="shared" si="3"/>
        <v>34</v>
      </c>
      <c r="B34" s="34"/>
      <c r="C34" s="34"/>
      <c r="E34" s="35">
        <v>44843</v>
      </c>
      <c r="F34" s="35">
        <v>44935</v>
      </c>
      <c r="G34" s="35">
        <f t="shared" si="4"/>
        <v>44937</v>
      </c>
      <c r="H34" s="35">
        <f t="shared" si="5"/>
        <v>44938</v>
      </c>
      <c r="I34" s="36">
        <v>1</v>
      </c>
      <c r="J34" s="36">
        <v>1</v>
      </c>
      <c r="K34" s="37">
        <v>-1</v>
      </c>
      <c r="L34" s="37">
        <v>-1</v>
      </c>
      <c r="M34" s="37">
        <v>2</v>
      </c>
      <c r="N34" s="37">
        <v>2</v>
      </c>
      <c r="O34" s="37">
        <v>0</v>
      </c>
      <c r="P34" s="37">
        <v>0</v>
      </c>
      <c r="Q34" s="37">
        <v>0</v>
      </c>
      <c r="R34" s="37">
        <v>2E-3</v>
      </c>
      <c r="S34" s="37">
        <v>3.04E-2</v>
      </c>
      <c r="T34" s="37">
        <v>4.2139999999999997E-2</v>
      </c>
      <c r="V34" s="35">
        <v>44923</v>
      </c>
      <c r="Z34" s="44"/>
      <c r="AA34" s="41"/>
      <c r="AC34" s="40"/>
      <c r="AD34" s="41"/>
    </row>
    <row r="35" spans="1:30" x14ac:dyDescent="0.4">
      <c r="A35" s="29">
        <f t="shared" si="3"/>
        <v>35</v>
      </c>
      <c r="B35" s="34"/>
      <c r="C35" s="34"/>
      <c r="E35" s="35">
        <v>44935</v>
      </c>
      <c r="F35" s="35">
        <v>45025</v>
      </c>
      <c r="G35" s="35">
        <f t="shared" si="4"/>
        <v>45027</v>
      </c>
      <c r="H35" s="35">
        <f t="shared" si="5"/>
        <v>45028</v>
      </c>
      <c r="I35" s="36">
        <v>1</v>
      </c>
      <c r="J35" s="36">
        <v>1</v>
      </c>
      <c r="K35" s="37">
        <v>-1</v>
      </c>
      <c r="L35" s="37">
        <v>-1</v>
      </c>
      <c r="M35" s="37">
        <v>2</v>
      </c>
      <c r="N35" s="37">
        <v>2</v>
      </c>
      <c r="O35" s="37">
        <v>0</v>
      </c>
      <c r="P35" s="37">
        <v>0</v>
      </c>
      <c r="Q35" s="37">
        <v>0</v>
      </c>
      <c r="R35" s="37">
        <v>2E-3</v>
      </c>
      <c r="S35" s="37">
        <v>0</v>
      </c>
      <c r="T35" s="37">
        <v>0</v>
      </c>
      <c r="V35" s="35">
        <v>45013</v>
      </c>
      <c r="Z35" s="44"/>
      <c r="AA35" s="41"/>
      <c r="AC35" s="40"/>
      <c r="AD35" s="41"/>
    </row>
    <row r="36" spans="1:30" x14ac:dyDescent="0.4">
      <c r="A36" s="29">
        <f t="shared" si="3"/>
        <v>36</v>
      </c>
      <c r="B36" s="34"/>
      <c r="C36" s="34"/>
      <c r="E36" s="35">
        <v>45025</v>
      </c>
      <c r="F36" s="35">
        <v>45116</v>
      </c>
      <c r="G36" s="35">
        <f t="shared" si="4"/>
        <v>45118</v>
      </c>
      <c r="H36" s="35">
        <f t="shared" si="5"/>
        <v>45119</v>
      </c>
      <c r="I36" s="36">
        <v>1</v>
      </c>
      <c r="J36" s="36">
        <v>1</v>
      </c>
      <c r="K36" s="37">
        <v>-1</v>
      </c>
      <c r="L36" s="37">
        <v>-1</v>
      </c>
      <c r="M36" s="37">
        <v>2</v>
      </c>
      <c r="N36" s="37">
        <v>2</v>
      </c>
      <c r="O36" s="37">
        <v>0</v>
      </c>
      <c r="P36" s="37">
        <v>0</v>
      </c>
      <c r="Q36" s="37">
        <v>0</v>
      </c>
      <c r="R36" s="37">
        <v>2E-3</v>
      </c>
      <c r="S36" s="37">
        <v>0</v>
      </c>
      <c r="T36" s="37">
        <v>0</v>
      </c>
      <c r="V36" s="35">
        <v>45104</v>
      </c>
      <c r="Z36" s="44"/>
      <c r="AA36" s="41"/>
      <c r="AC36" s="40"/>
      <c r="AD36" s="41"/>
    </row>
    <row r="37" spans="1:30" x14ac:dyDescent="0.4">
      <c r="A37" s="29">
        <f t="shared" si="3"/>
        <v>37</v>
      </c>
      <c r="B37" s="34"/>
      <c r="C37" s="34"/>
      <c r="E37" s="35">
        <v>45116</v>
      </c>
      <c r="F37" s="35">
        <v>45208</v>
      </c>
      <c r="G37" s="35">
        <f t="shared" si="4"/>
        <v>45210</v>
      </c>
      <c r="H37" s="35">
        <f t="shared" si="5"/>
        <v>45211</v>
      </c>
      <c r="I37" s="36">
        <v>1</v>
      </c>
      <c r="J37" s="36">
        <v>1</v>
      </c>
      <c r="K37" s="37">
        <v>-1</v>
      </c>
      <c r="L37" s="37">
        <v>-1</v>
      </c>
      <c r="M37" s="37">
        <v>2</v>
      </c>
      <c r="N37" s="37">
        <v>2</v>
      </c>
      <c r="O37" s="37">
        <v>0</v>
      </c>
      <c r="P37" s="37">
        <v>0</v>
      </c>
      <c r="Q37" s="37">
        <v>0</v>
      </c>
      <c r="R37" s="37">
        <v>2E-3</v>
      </c>
      <c r="S37" s="37">
        <v>0</v>
      </c>
      <c r="T37" s="37">
        <v>0</v>
      </c>
      <c r="V37" s="35">
        <v>45196</v>
      </c>
      <c r="Z37" s="44"/>
      <c r="AA37" s="41"/>
      <c r="AC37" s="40"/>
      <c r="AD37" s="41"/>
    </row>
    <row r="38" spans="1:30" x14ac:dyDescent="0.4">
      <c r="A38" s="29">
        <f t="shared" si="3"/>
        <v>38</v>
      </c>
      <c r="B38" s="34"/>
      <c r="C38" s="34"/>
      <c r="E38" s="35">
        <v>45208</v>
      </c>
      <c r="F38" s="35">
        <v>45300</v>
      </c>
      <c r="G38" s="35">
        <f t="shared" si="4"/>
        <v>45302</v>
      </c>
      <c r="H38" s="35">
        <f t="shared" si="5"/>
        <v>45303</v>
      </c>
      <c r="I38" s="36">
        <v>1</v>
      </c>
      <c r="J38" s="36">
        <v>1</v>
      </c>
      <c r="K38" s="37">
        <v>-1</v>
      </c>
      <c r="L38" s="37">
        <v>-1</v>
      </c>
      <c r="M38" s="37">
        <v>2</v>
      </c>
      <c r="N38" s="37">
        <v>2</v>
      </c>
      <c r="O38" s="37">
        <v>0</v>
      </c>
      <c r="P38" s="37">
        <v>0</v>
      </c>
      <c r="Q38" s="37">
        <v>0</v>
      </c>
      <c r="R38" s="37">
        <v>2E-3</v>
      </c>
      <c r="S38" s="37">
        <v>0</v>
      </c>
      <c r="T38" s="37">
        <v>0</v>
      </c>
      <c r="V38" s="35">
        <v>45288</v>
      </c>
      <c r="Z38" s="44"/>
      <c r="AA38" s="41"/>
      <c r="AC38" s="40"/>
      <c r="AD38" s="41"/>
    </row>
    <row r="39" spans="1:30" x14ac:dyDescent="0.4">
      <c r="A39" s="29">
        <f t="shared" si="3"/>
        <v>39</v>
      </c>
      <c r="B39" s="34"/>
      <c r="C39" s="34"/>
      <c r="E39" s="35">
        <v>45300</v>
      </c>
      <c r="F39" s="35">
        <v>45391</v>
      </c>
      <c r="G39" s="35">
        <f t="shared" si="4"/>
        <v>45393</v>
      </c>
      <c r="H39" s="35">
        <f t="shared" si="5"/>
        <v>45394</v>
      </c>
      <c r="I39" s="36">
        <v>1</v>
      </c>
      <c r="J39" s="36">
        <v>1</v>
      </c>
      <c r="K39" s="37">
        <v>-1</v>
      </c>
      <c r="L39" s="37">
        <v>-1</v>
      </c>
      <c r="M39" s="37">
        <v>2</v>
      </c>
      <c r="N39" s="37">
        <v>2</v>
      </c>
      <c r="O39" s="37">
        <v>0</v>
      </c>
      <c r="P39" s="37">
        <v>0</v>
      </c>
      <c r="Q39" s="37">
        <v>0</v>
      </c>
      <c r="R39" s="37">
        <v>2E-3</v>
      </c>
      <c r="S39" s="37">
        <v>0</v>
      </c>
      <c r="T39" s="37">
        <v>0</v>
      </c>
      <c r="V39" s="35">
        <v>45379</v>
      </c>
      <c r="Z39" s="44"/>
      <c r="AA39" s="41"/>
      <c r="AC39" s="40"/>
      <c r="AD39" s="41"/>
    </row>
    <row r="40" spans="1:30" x14ac:dyDescent="0.4">
      <c r="A40" s="29">
        <f t="shared" si="3"/>
        <v>40</v>
      </c>
      <c r="B40" s="34"/>
      <c r="C40" s="34"/>
      <c r="E40" s="35">
        <v>45391</v>
      </c>
      <c r="F40" s="35">
        <v>45482</v>
      </c>
      <c r="G40" s="35">
        <f t="shared" si="4"/>
        <v>45484</v>
      </c>
      <c r="H40" s="35">
        <f t="shared" si="5"/>
        <v>45485</v>
      </c>
      <c r="I40" s="36">
        <v>1</v>
      </c>
      <c r="J40" s="36">
        <v>1</v>
      </c>
      <c r="K40" s="37">
        <v>-1</v>
      </c>
      <c r="L40" s="37">
        <v>-1</v>
      </c>
      <c r="M40" s="37">
        <v>2</v>
      </c>
      <c r="N40" s="37">
        <v>2</v>
      </c>
      <c r="O40" s="37">
        <v>0</v>
      </c>
      <c r="P40" s="37">
        <v>0</v>
      </c>
      <c r="Q40" s="37">
        <v>0</v>
      </c>
      <c r="R40" s="37">
        <v>2E-3</v>
      </c>
      <c r="S40" s="37">
        <v>0</v>
      </c>
      <c r="T40" s="37">
        <v>0</v>
      </c>
      <c r="V40" s="35">
        <v>45470</v>
      </c>
      <c r="Z40" s="44"/>
      <c r="AA40" s="41"/>
      <c r="AC40" s="40"/>
      <c r="AD40" s="41"/>
    </row>
    <row r="41" spans="1:30" x14ac:dyDescent="0.4">
      <c r="A41" s="29">
        <f t="shared" si="3"/>
        <v>41</v>
      </c>
      <c r="B41" s="34"/>
      <c r="C41" s="34"/>
      <c r="E41" s="35">
        <v>45482</v>
      </c>
      <c r="F41" s="35">
        <v>45574</v>
      </c>
      <c r="G41" s="35">
        <f t="shared" si="4"/>
        <v>45576</v>
      </c>
      <c r="H41" s="35">
        <f t="shared" si="5"/>
        <v>45577</v>
      </c>
      <c r="I41" s="36">
        <v>1</v>
      </c>
      <c r="J41" s="36">
        <v>1</v>
      </c>
      <c r="K41" s="37">
        <v>-1</v>
      </c>
      <c r="L41" s="37">
        <v>-1</v>
      </c>
      <c r="M41" s="37">
        <v>2</v>
      </c>
      <c r="N41" s="37">
        <v>2</v>
      </c>
      <c r="O41" s="37">
        <v>0</v>
      </c>
      <c r="P41" s="37">
        <v>0</v>
      </c>
      <c r="Q41" s="37">
        <v>0</v>
      </c>
      <c r="R41" s="37">
        <v>2E-3</v>
      </c>
      <c r="S41" s="37">
        <v>0</v>
      </c>
      <c r="T41" s="37">
        <v>0</v>
      </c>
      <c r="V41" s="35">
        <v>45562</v>
      </c>
      <c r="Z41" s="44"/>
      <c r="AA41" s="41"/>
      <c r="AC41" s="40"/>
      <c r="AD41" s="41"/>
    </row>
    <row r="42" spans="1:30" x14ac:dyDescent="0.4">
      <c r="A42" s="29">
        <f t="shared" si="3"/>
        <v>42</v>
      </c>
      <c r="B42" s="34"/>
      <c r="C42" s="34"/>
      <c r="E42" s="35">
        <v>45574</v>
      </c>
      <c r="F42" s="35">
        <v>45666</v>
      </c>
      <c r="G42" s="35">
        <f t="shared" si="4"/>
        <v>45668</v>
      </c>
      <c r="H42" s="35">
        <f t="shared" si="5"/>
        <v>45669</v>
      </c>
      <c r="I42" s="36">
        <v>1</v>
      </c>
      <c r="J42" s="36">
        <v>1</v>
      </c>
      <c r="K42" s="37">
        <v>-1</v>
      </c>
      <c r="L42" s="37">
        <v>-1</v>
      </c>
      <c r="M42" s="37">
        <v>2</v>
      </c>
      <c r="N42" s="37">
        <v>2</v>
      </c>
      <c r="O42" s="37">
        <v>0</v>
      </c>
      <c r="P42" s="37">
        <v>0</v>
      </c>
      <c r="Q42" s="37">
        <v>0</v>
      </c>
      <c r="R42" s="37">
        <v>2E-3</v>
      </c>
      <c r="S42" s="37">
        <v>0</v>
      </c>
      <c r="T42" s="37">
        <v>0</v>
      </c>
      <c r="V42" s="35">
        <v>45654</v>
      </c>
      <c r="Z42" s="44"/>
      <c r="AA42" s="41"/>
      <c r="AC42" s="40"/>
      <c r="AD42" s="41"/>
    </row>
    <row r="43" spans="1:30" x14ac:dyDescent="0.4">
      <c r="A43" s="29">
        <f t="shared" si="3"/>
        <v>43</v>
      </c>
      <c r="B43" s="34"/>
      <c r="C43" s="34"/>
      <c r="E43" s="35">
        <v>45666</v>
      </c>
      <c r="F43" s="35">
        <v>45756</v>
      </c>
      <c r="G43" s="35">
        <f t="shared" si="4"/>
        <v>45758</v>
      </c>
      <c r="H43" s="35">
        <f t="shared" si="5"/>
        <v>45759</v>
      </c>
      <c r="I43" s="36">
        <v>1</v>
      </c>
      <c r="J43" s="36">
        <v>1</v>
      </c>
      <c r="K43" s="37">
        <v>-1</v>
      </c>
      <c r="L43" s="37">
        <v>-1</v>
      </c>
      <c r="M43" s="37">
        <v>2</v>
      </c>
      <c r="N43" s="37">
        <v>2</v>
      </c>
      <c r="O43" s="37">
        <v>0</v>
      </c>
      <c r="P43" s="37">
        <v>0</v>
      </c>
      <c r="Q43" s="37">
        <v>0</v>
      </c>
      <c r="R43" s="37">
        <v>2E-3</v>
      </c>
      <c r="S43" s="37">
        <v>0</v>
      </c>
      <c r="T43" s="37">
        <v>0</v>
      </c>
      <c r="V43" s="35">
        <v>45744</v>
      </c>
      <c r="Z43" s="44"/>
      <c r="AA43" s="41"/>
      <c r="AC43" s="40"/>
      <c r="AD43" s="41"/>
    </row>
    <row r="44" spans="1:30" x14ac:dyDescent="0.4">
      <c r="A44" s="29">
        <f t="shared" si="3"/>
        <v>44</v>
      </c>
      <c r="B44" s="34"/>
      <c r="C44" s="34"/>
      <c r="E44" s="35">
        <v>45756</v>
      </c>
      <c r="F44" s="35">
        <v>45847</v>
      </c>
      <c r="G44" s="35">
        <f t="shared" si="4"/>
        <v>45849</v>
      </c>
      <c r="H44" s="35">
        <f t="shared" si="5"/>
        <v>45850</v>
      </c>
      <c r="I44" s="36">
        <v>1</v>
      </c>
      <c r="J44" s="36">
        <v>1</v>
      </c>
      <c r="K44" s="37">
        <v>-1</v>
      </c>
      <c r="L44" s="37">
        <v>-1</v>
      </c>
      <c r="M44" s="37">
        <v>2</v>
      </c>
      <c r="N44" s="37">
        <v>2</v>
      </c>
      <c r="O44" s="37">
        <v>0</v>
      </c>
      <c r="P44" s="37">
        <v>0</v>
      </c>
      <c r="Q44" s="37">
        <v>0</v>
      </c>
      <c r="R44" s="37">
        <v>2E-3</v>
      </c>
      <c r="S44" s="37">
        <v>0</v>
      </c>
      <c r="T44" s="37">
        <v>0</v>
      </c>
      <c r="V44" s="35">
        <v>45835</v>
      </c>
      <c r="Z44" s="44"/>
      <c r="AA44" s="41"/>
      <c r="AC44" s="40"/>
      <c r="AD44" s="41"/>
    </row>
    <row r="45" spans="1:30" x14ac:dyDescent="0.4">
      <c r="A45" s="29">
        <f t="shared" si="3"/>
        <v>45</v>
      </c>
      <c r="B45" s="34"/>
      <c r="C45" s="34"/>
      <c r="E45" s="35">
        <v>45847</v>
      </c>
      <c r="F45" s="35">
        <v>45939</v>
      </c>
      <c r="G45" s="35">
        <f t="shared" si="4"/>
        <v>45941</v>
      </c>
      <c r="H45" s="35">
        <f t="shared" si="5"/>
        <v>45942</v>
      </c>
      <c r="I45" s="36">
        <v>1</v>
      </c>
      <c r="J45" s="36">
        <v>1</v>
      </c>
      <c r="K45" s="37">
        <v>-1</v>
      </c>
      <c r="L45" s="37">
        <v>-1</v>
      </c>
      <c r="M45" s="37">
        <v>2</v>
      </c>
      <c r="N45" s="37">
        <v>2</v>
      </c>
      <c r="O45" s="37">
        <v>0</v>
      </c>
      <c r="P45" s="37">
        <v>0</v>
      </c>
      <c r="Q45" s="37">
        <v>0</v>
      </c>
      <c r="R45" s="37">
        <v>2E-3</v>
      </c>
      <c r="S45" s="37">
        <v>0</v>
      </c>
      <c r="T45" s="37">
        <v>0</v>
      </c>
      <c r="V45" s="35">
        <v>45927</v>
      </c>
      <c r="Z45" s="44"/>
      <c r="AA45" s="41"/>
      <c r="AC45" s="40"/>
      <c r="AD45" s="41"/>
    </row>
    <row r="46" spans="1:30" x14ac:dyDescent="0.4">
      <c r="A46" s="29">
        <f t="shared" si="3"/>
        <v>46</v>
      </c>
      <c r="B46" s="34"/>
      <c r="C46" s="34"/>
      <c r="E46" s="35">
        <v>45939</v>
      </c>
      <c r="F46" s="35">
        <v>46031</v>
      </c>
      <c r="G46" s="35">
        <f t="shared" si="4"/>
        <v>46033</v>
      </c>
      <c r="H46" s="35">
        <f t="shared" si="5"/>
        <v>46034</v>
      </c>
      <c r="I46" s="36">
        <v>1</v>
      </c>
      <c r="J46" s="36">
        <v>1</v>
      </c>
      <c r="K46" s="37">
        <v>-1</v>
      </c>
      <c r="L46" s="37">
        <v>-1</v>
      </c>
      <c r="M46" s="37">
        <v>2</v>
      </c>
      <c r="N46" s="37">
        <v>2</v>
      </c>
      <c r="O46" s="37">
        <v>0</v>
      </c>
      <c r="P46" s="37">
        <v>0</v>
      </c>
      <c r="Q46" s="37">
        <v>0</v>
      </c>
      <c r="R46" s="37">
        <v>2E-3</v>
      </c>
      <c r="S46" s="37">
        <v>0</v>
      </c>
      <c r="T46" s="37">
        <v>0</v>
      </c>
      <c r="V46" s="35">
        <v>46019</v>
      </c>
      <c r="Z46" s="44"/>
      <c r="AA46" s="41"/>
      <c r="AC46" s="40"/>
      <c r="AD46" s="41"/>
    </row>
    <row r="47" spans="1:30" x14ac:dyDescent="0.4">
      <c r="A47" s="29">
        <f t="shared" si="3"/>
        <v>47</v>
      </c>
      <c r="B47" s="34"/>
      <c r="C47" s="34"/>
      <c r="E47" s="35">
        <v>46031</v>
      </c>
      <c r="F47" s="35">
        <v>46121</v>
      </c>
      <c r="G47" s="35">
        <f t="shared" si="4"/>
        <v>46123</v>
      </c>
      <c r="H47" s="35">
        <f t="shared" si="5"/>
        <v>46124</v>
      </c>
      <c r="I47" s="36">
        <v>1</v>
      </c>
      <c r="J47" s="36">
        <v>1</v>
      </c>
      <c r="K47" s="37">
        <v>-1</v>
      </c>
      <c r="L47" s="37">
        <v>-1</v>
      </c>
      <c r="M47" s="37">
        <v>2</v>
      </c>
      <c r="N47" s="37">
        <v>2</v>
      </c>
      <c r="O47" s="37">
        <v>0</v>
      </c>
      <c r="P47" s="37">
        <v>0</v>
      </c>
      <c r="Q47" s="37">
        <v>0</v>
      </c>
      <c r="R47" s="37">
        <v>2E-3</v>
      </c>
      <c r="S47" s="37">
        <v>0</v>
      </c>
      <c r="T47" s="37">
        <v>0</v>
      </c>
      <c r="V47" s="35">
        <v>46109</v>
      </c>
      <c r="Z47" s="44"/>
      <c r="AA47" s="41"/>
      <c r="AC47" s="40"/>
      <c r="AD47" s="41"/>
    </row>
    <row r="48" spans="1:30" x14ac:dyDescent="0.4">
      <c r="A48" s="29">
        <f t="shared" si="3"/>
        <v>48</v>
      </c>
      <c r="B48" s="34"/>
      <c r="C48" s="34"/>
      <c r="E48" s="35">
        <v>46121</v>
      </c>
      <c r="F48" s="35">
        <v>46212</v>
      </c>
      <c r="G48" s="35">
        <f t="shared" si="4"/>
        <v>46214</v>
      </c>
      <c r="H48" s="35">
        <f t="shared" si="5"/>
        <v>46215</v>
      </c>
      <c r="I48" s="36">
        <v>1</v>
      </c>
      <c r="J48" s="36">
        <v>1</v>
      </c>
      <c r="K48" s="37">
        <v>-1</v>
      </c>
      <c r="L48" s="37">
        <v>-1</v>
      </c>
      <c r="M48" s="37">
        <v>2</v>
      </c>
      <c r="N48" s="37">
        <v>2</v>
      </c>
      <c r="O48" s="37">
        <v>0</v>
      </c>
      <c r="P48" s="37">
        <v>0</v>
      </c>
      <c r="Q48" s="37">
        <v>0</v>
      </c>
      <c r="R48" s="37">
        <v>2E-3</v>
      </c>
      <c r="S48" s="37">
        <v>0</v>
      </c>
      <c r="T48" s="37">
        <v>0</v>
      </c>
      <c r="V48" s="35">
        <v>46200</v>
      </c>
      <c r="Z48" s="44"/>
      <c r="AA48" s="41"/>
      <c r="AC48" s="40"/>
      <c r="AD48" s="41"/>
    </row>
    <row r="49" spans="1:30" x14ac:dyDescent="0.4">
      <c r="A49" s="29">
        <f t="shared" si="3"/>
        <v>49</v>
      </c>
      <c r="B49" s="34"/>
      <c r="C49" s="34"/>
      <c r="E49" s="35">
        <v>46212</v>
      </c>
      <c r="F49" s="35">
        <v>46304</v>
      </c>
      <c r="G49" s="35">
        <f t="shared" si="4"/>
        <v>46306</v>
      </c>
      <c r="H49" s="35">
        <f t="shared" si="5"/>
        <v>46307</v>
      </c>
      <c r="I49" s="36">
        <v>1</v>
      </c>
      <c r="J49" s="36">
        <v>1</v>
      </c>
      <c r="K49" s="37">
        <v>-1</v>
      </c>
      <c r="L49" s="37">
        <v>-1</v>
      </c>
      <c r="M49" s="37">
        <v>2</v>
      </c>
      <c r="N49" s="37">
        <v>2</v>
      </c>
      <c r="O49" s="37">
        <v>0</v>
      </c>
      <c r="P49" s="37">
        <v>0</v>
      </c>
      <c r="Q49" s="37">
        <v>0</v>
      </c>
      <c r="R49" s="37">
        <v>2E-3</v>
      </c>
      <c r="S49" s="37">
        <v>0</v>
      </c>
      <c r="T49" s="37">
        <v>0</v>
      </c>
      <c r="V49" s="35">
        <v>46292</v>
      </c>
      <c r="Z49" s="44"/>
      <c r="AA49" s="41"/>
      <c r="AC49" s="40"/>
      <c r="AD49" s="41"/>
    </row>
    <row r="50" spans="1:30" x14ac:dyDescent="0.4">
      <c r="A50" s="29">
        <f t="shared" si="3"/>
        <v>50</v>
      </c>
      <c r="B50" s="34"/>
      <c r="C50" s="34"/>
      <c r="E50" s="35">
        <v>46304</v>
      </c>
      <c r="F50" s="35">
        <v>46396</v>
      </c>
      <c r="G50" s="35">
        <f t="shared" si="4"/>
        <v>46398</v>
      </c>
      <c r="H50" s="35">
        <f t="shared" si="5"/>
        <v>46399</v>
      </c>
      <c r="I50" s="36">
        <v>1</v>
      </c>
      <c r="J50" s="36">
        <v>1</v>
      </c>
      <c r="K50" s="37">
        <v>-1</v>
      </c>
      <c r="L50" s="37">
        <v>-1</v>
      </c>
      <c r="M50" s="37">
        <v>2</v>
      </c>
      <c r="N50" s="37">
        <v>2</v>
      </c>
      <c r="O50" s="37">
        <v>0</v>
      </c>
      <c r="P50" s="37">
        <v>0</v>
      </c>
      <c r="Q50" s="37">
        <v>0</v>
      </c>
      <c r="R50" s="37">
        <v>2E-3</v>
      </c>
      <c r="S50" s="37">
        <v>0</v>
      </c>
      <c r="T50" s="37">
        <v>0</v>
      </c>
      <c r="V50" s="35">
        <v>46384</v>
      </c>
      <c r="Z50" s="44"/>
      <c r="AA50" s="41"/>
      <c r="AC50" s="40"/>
      <c r="AD50" s="41"/>
    </row>
    <row r="51" spans="1:30" x14ac:dyDescent="0.4">
      <c r="A51" s="29">
        <f t="shared" si="3"/>
        <v>51</v>
      </c>
      <c r="B51" s="34"/>
      <c r="C51" s="34"/>
      <c r="E51" s="35">
        <v>46396</v>
      </c>
      <c r="F51" s="35">
        <v>46486</v>
      </c>
      <c r="G51" s="35">
        <f t="shared" si="4"/>
        <v>46488</v>
      </c>
      <c r="H51" s="35">
        <f t="shared" si="5"/>
        <v>46489</v>
      </c>
      <c r="I51" s="36">
        <v>1</v>
      </c>
      <c r="J51" s="36">
        <v>1</v>
      </c>
      <c r="K51" s="37">
        <v>-1</v>
      </c>
      <c r="L51" s="37">
        <v>-1</v>
      </c>
      <c r="M51" s="37">
        <v>2</v>
      </c>
      <c r="N51" s="37">
        <v>2</v>
      </c>
      <c r="O51" s="37">
        <v>0</v>
      </c>
      <c r="P51" s="37">
        <v>0</v>
      </c>
      <c r="Q51" s="37">
        <v>0</v>
      </c>
      <c r="R51" s="37">
        <v>2E-3</v>
      </c>
      <c r="S51" s="37">
        <v>0</v>
      </c>
      <c r="T51" s="37">
        <v>0</v>
      </c>
      <c r="V51" s="35">
        <v>46474</v>
      </c>
      <c r="Z51" s="44"/>
      <c r="AA51" s="41"/>
      <c r="AC51" s="40"/>
      <c r="AD51" s="41"/>
    </row>
    <row r="52" spans="1:30" x14ac:dyDescent="0.4">
      <c r="A52" s="29">
        <f t="shared" si="3"/>
        <v>52</v>
      </c>
      <c r="B52" s="34"/>
      <c r="C52" s="34"/>
      <c r="E52" s="35">
        <v>46486</v>
      </c>
      <c r="F52" s="35">
        <v>46577</v>
      </c>
      <c r="G52" s="35">
        <f t="shared" si="4"/>
        <v>46579</v>
      </c>
      <c r="H52" s="35">
        <f t="shared" si="5"/>
        <v>46580</v>
      </c>
      <c r="I52" s="36">
        <v>1</v>
      </c>
      <c r="J52" s="36">
        <v>1</v>
      </c>
      <c r="K52" s="37">
        <v>-1</v>
      </c>
      <c r="L52" s="37">
        <v>-1</v>
      </c>
      <c r="M52" s="37">
        <v>2</v>
      </c>
      <c r="N52" s="37">
        <v>2</v>
      </c>
      <c r="O52" s="37">
        <v>0</v>
      </c>
      <c r="P52" s="37">
        <v>0</v>
      </c>
      <c r="Q52" s="37">
        <v>0</v>
      </c>
      <c r="R52" s="37">
        <v>2E-3</v>
      </c>
      <c r="S52" s="37">
        <v>0</v>
      </c>
      <c r="T52" s="37">
        <v>0</v>
      </c>
      <c r="V52" s="35">
        <v>46565</v>
      </c>
      <c r="Z52" s="45"/>
      <c r="AA52" s="43"/>
      <c r="AC52" s="42"/>
      <c r="AD52" s="43"/>
    </row>
    <row r="53" spans="1:30" x14ac:dyDescent="0.4">
      <c r="A53" s="29">
        <f t="shared" si="3"/>
        <v>53</v>
      </c>
      <c r="B53" s="34"/>
      <c r="C53" s="34"/>
      <c r="E53" s="35">
        <v>46577</v>
      </c>
      <c r="F53" s="35">
        <v>46669</v>
      </c>
      <c r="G53" s="35">
        <f t="shared" si="4"/>
        <v>46671</v>
      </c>
      <c r="H53" s="35">
        <f t="shared" si="5"/>
        <v>46672</v>
      </c>
      <c r="I53" s="36">
        <v>1</v>
      </c>
      <c r="J53" s="36">
        <v>1</v>
      </c>
      <c r="K53" s="37">
        <v>-1</v>
      </c>
      <c r="L53" s="37">
        <v>-1</v>
      </c>
      <c r="M53" s="37">
        <v>2</v>
      </c>
      <c r="N53" s="37">
        <v>2</v>
      </c>
      <c r="O53" s="37">
        <v>0</v>
      </c>
      <c r="P53" s="37">
        <v>0</v>
      </c>
      <c r="Q53" s="37">
        <v>0</v>
      </c>
      <c r="R53" s="37">
        <v>2E-3</v>
      </c>
      <c r="S53" s="37">
        <v>0</v>
      </c>
      <c r="T53" s="37">
        <v>0</v>
      </c>
      <c r="V53" s="35">
        <v>46657</v>
      </c>
      <c r="Z53" s="45"/>
      <c r="AA53" s="43"/>
      <c r="AC53" s="42"/>
      <c r="AD53" s="43"/>
    </row>
    <row r="54" spans="1:30" x14ac:dyDescent="0.4">
      <c r="A54" s="29">
        <f t="shared" si="3"/>
        <v>54</v>
      </c>
      <c r="B54" s="34"/>
      <c r="C54" s="34"/>
      <c r="E54" s="35">
        <v>46669</v>
      </c>
      <c r="F54" s="35">
        <v>46761</v>
      </c>
      <c r="G54" s="35">
        <f t="shared" si="4"/>
        <v>46763</v>
      </c>
      <c r="H54" s="35">
        <f t="shared" si="5"/>
        <v>46764</v>
      </c>
      <c r="I54" s="36">
        <v>1</v>
      </c>
      <c r="J54" s="36">
        <v>1</v>
      </c>
      <c r="K54" s="37">
        <v>-1</v>
      </c>
      <c r="L54" s="37">
        <v>-1</v>
      </c>
      <c r="M54" s="37">
        <v>2</v>
      </c>
      <c r="N54" s="37">
        <v>2</v>
      </c>
      <c r="O54" s="37">
        <v>0</v>
      </c>
      <c r="P54" s="37">
        <v>0</v>
      </c>
      <c r="Q54" s="37">
        <v>0</v>
      </c>
      <c r="R54" s="37">
        <v>2E-3</v>
      </c>
      <c r="S54" s="37">
        <v>0</v>
      </c>
      <c r="T54" s="37">
        <v>0</v>
      </c>
      <c r="V54" s="35">
        <v>46749</v>
      </c>
      <c r="Z54" s="45"/>
      <c r="AA54" s="43"/>
      <c r="AC54" s="42"/>
      <c r="AD54" s="43"/>
    </row>
    <row r="55" spans="1:30" x14ac:dyDescent="0.4">
      <c r="A55" s="29">
        <f t="shared" si="3"/>
        <v>55</v>
      </c>
      <c r="B55" s="34"/>
      <c r="C55" s="34"/>
      <c r="Z55" s="45"/>
      <c r="AA55" s="43"/>
      <c r="AC55" s="42"/>
      <c r="AD55" s="43"/>
    </row>
    <row r="56" spans="1:30" x14ac:dyDescent="0.4">
      <c r="A56" s="29">
        <f t="shared" si="3"/>
        <v>56</v>
      </c>
      <c r="B56" s="34"/>
      <c r="C56" s="34"/>
      <c r="Z56" s="45"/>
      <c r="AA56" s="43"/>
      <c r="AC56" s="42"/>
      <c r="AD56" s="43"/>
    </row>
    <row r="57" spans="1:30" x14ac:dyDescent="0.4">
      <c r="A57" s="29">
        <f t="shared" si="3"/>
        <v>57</v>
      </c>
      <c r="B57" s="34"/>
      <c r="C57" s="34"/>
      <c r="Z57" s="45"/>
      <c r="AA57" s="43"/>
      <c r="AC57" s="42"/>
      <c r="AD57" s="43"/>
    </row>
    <row r="58" spans="1:30" x14ac:dyDescent="0.4">
      <c r="A58" s="29">
        <f t="shared" si="3"/>
        <v>58</v>
      </c>
      <c r="B58" s="34"/>
      <c r="C58" s="34"/>
      <c r="Z58" s="45"/>
      <c r="AA58" s="43"/>
      <c r="AC58" s="42"/>
      <c r="AD58" s="43"/>
    </row>
    <row r="59" spans="1:30" x14ac:dyDescent="0.4">
      <c r="A59" s="29">
        <f t="shared" si="3"/>
        <v>59</v>
      </c>
      <c r="B59" s="34"/>
      <c r="C59" s="34"/>
      <c r="Z59" s="45"/>
      <c r="AA59" s="43"/>
      <c r="AC59" s="42"/>
      <c r="AD59" s="43"/>
    </row>
    <row r="60" spans="1:30" x14ac:dyDescent="0.4">
      <c r="A60" s="29">
        <f t="shared" si="3"/>
        <v>60</v>
      </c>
      <c r="B60" s="34"/>
      <c r="C60" s="34"/>
      <c r="Z60" s="45"/>
      <c r="AA60" s="43"/>
      <c r="AC60" s="42"/>
      <c r="AD60" s="43"/>
    </row>
    <row r="61" spans="1:30" x14ac:dyDescent="0.4">
      <c r="A61" s="29">
        <f t="shared" si="3"/>
        <v>61</v>
      </c>
      <c r="B61" s="34"/>
      <c r="C61" s="34"/>
      <c r="Z61" s="45"/>
      <c r="AA61" s="43"/>
      <c r="AC61" s="42"/>
      <c r="AD61" s="43"/>
    </row>
    <row r="62" spans="1:30" x14ac:dyDescent="0.4">
      <c r="A62" s="29">
        <f t="shared" si="3"/>
        <v>62</v>
      </c>
      <c r="Z62" s="45"/>
      <c r="AA62" s="43"/>
      <c r="AC62" s="42"/>
      <c r="AD62" s="43"/>
    </row>
    <row r="63" spans="1:30" x14ac:dyDescent="0.4">
      <c r="A63" s="29">
        <f t="shared" si="3"/>
        <v>63</v>
      </c>
      <c r="Z63" s="45"/>
      <c r="AA63" s="43"/>
      <c r="AC63" s="42"/>
      <c r="AD63" s="43"/>
    </row>
    <row r="64" spans="1:30" x14ac:dyDescent="0.4">
      <c r="A64" s="29">
        <f t="shared" si="3"/>
        <v>64</v>
      </c>
      <c r="Z64" s="45"/>
      <c r="AA64" s="43"/>
      <c r="AC64" s="42"/>
      <c r="AD64" s="43"/>
    </row>
    <row r="65" spans="1:30" x14ac:dyDescent="0.4">
      <c r="A65" s="29">
        <f t="shared" si="3"/>
        <v>65</v>
      </c>
      <c r="Z65" s="45"/>
      <c r="AA65" s="43"/>
      <c r="AC65" s="42"/>
      <c r="AD65" s="43"/>
    </row>
    <row r="66" spans="1:30" x14ac:dyDescent="0.4">
      <c r="A66" s="29">
        <f t="shared" si="3"/>
        <v>66</v>
      </c>
      <c r="Z66" s="45"/>
      <c r="AA66" s="43"/>
      <c r="AC66" s="42"/>
      <c r="AD66" s="43"/>
    </row>
    <row r="67" spans="1:30" x14ac:dyDescent="0.4">
      <c r="A67" s="29">
        <f t="shared" ref="A67:A84" si="6">A66+1</f>
        <v>67</v>
      </c>
      <c r="Z67" s="45"/>
      <c r="AA67" s="43"/>
      <c r="AC67" s="42"/>
      <c r="AD67" s="43"/>
    </row>
    <row r="68" spans="1:30" x14ac:dyDescent="0.4">
      <c r="A68" s="29">
        <f t="shared" si="6"/>
        <v>68</v>
      </c>
      <c r="Z68" s="45"/>
      <c r="AA68" s="43"/>
      <c r="AC68" s="42"/>
      <c r="AD68" s="43"/>
    </row>
    <row r="69" spans="1:30" x14ac:dyDescent="0.4">
      <c r="A69" s="29">
        <f t="shared" si="6"/>
        <v>69</v>
      </c>
      <c r="Z69" s="45"/>
      <c r="AA69" s="43"/>
      <c r="AC69" s="42"/>
      <c r="AD69" s="43"/>
    </row>
    <row r="70" spans="1:30" x14ac:dyDescent="0.4">
      <c r="A70" s="29">
        <f t="shared" si="6"/>
        <v>70</v>
      </c>
    </row>
    <row r="71" spans="1:30" x14ac:dyDescent="0.4">
      <c r="A71" s="29">
        <f t="shared" si="6"/>
        <v>71</v>
      </c>
    </row>
    <row r="72" spans="1:30" x14ac:dyDescent="0.4">
      <c r="A72" s="29">
        <f t="shared" si="6"/>
        <v>72</v>
      </c>
    </row>
    <row r="73" spans="1:30" x14ac:dyDescent="0.4">
      <c r="A73" s="29">
        <f t="shared" si="6"/>
        <v>73</v>
      </c>
    </row>
    <row r="74" spans="1:30" x14ac:dyDescent="0.4">
      <c r="A74" s="29">
        <f t="shared" si="6"/>
        <v>74</v>
      </c>
    </row>
    <row r="75" spans="1:30" x14ac:dyDescent="0.4">
      <c r="A75" s="29">
        <f t="shared" si="6"/>
        <v>75</v>
      </c>
    </row>
    <row r="76" spans="1:30" x14ac:dyDescent="0.4">
      <c r="A76" s="29">
        <f t="shared" si="6"/>
        <v>76</v>
      </c>
    </row>
    <row r="77" spans="1:30" x14ac:dyDescent="0.4">
      <c r="A77" s="29">
        <f t="shared" si="6"/>
        <v>77</v>
      </c>
    </row>
    <row r="78" spans="1:30" x14ac:dyDescent="0.4">
      <c r="A78" s="29">
        <f t="shared" si="6"/>
        <v>78</v>
      </c>
    </row>
    <row r="79" spans="1:30" x14ac:dyDescent="0.4">
      <c r="A79" s="29">
        <f t="shared" si="6"/>
        <v>79</v>
      </c>
    </row>
    <row r="80" spans="1:30" x14ac:dyDescent="0.4">
      <c r="A80" s="29">
        <f t="shared" si="6"/>
        <v>80</v>
      </c>
    </row>
    <row r="81" spans="1:1" x14ac:dyDescent="0.4">
      <c r="A81" s="29">
        <f t="shared" si="6"/>
        <v>81</v>
      </c>
    </row>
    <row r="82" spans="1:1" x14ac:dyDescent="0.4">
      <c r="A82" s="29">
        <f t="shared" si="6"/>
        <v>82</v>
      </c>
    </row>
    <row r="83" spans="1:1" x14ac:dyDescent="0.4">
      <c r="A83" s="29">
        <f t="shared" si="6"/>
        <v>83</v>
      </c>
    </row>
    <row r="84" spans="1:1" x14ac:dyDescent="0.4">
      <c r="A84" s="29">
        <f t="shared" si="6"/>
        <v>84</v>
      </c>
    </row>
  </sheetData>
  <mergeCells count="63">
    <mergeCell ref="J6:K6"/>
    <mergeCell ref="H7:I7"/>
    <mergeCell ref="J7:K7"/>
    <mergeCell ref="L3:M3"/>
    <mergeCell ref="B3:C3"/>
    <mergeCell ref="D3:E3"/>
    <mergeCell ref="F3:G3"/>
    <mergeCell ref="H3:I3"/>
    <mergeCell ref="J3:K3"/>
    <mergeCell ref="S7:T7"/>
    <mergeCell ref="U7:V7"/>
    <mergeCell ref="E13:E14"/>
    <mergeCell ref="F13:F14"/>
    <mergeCell ref="B9:C9"/>
    <mergeCell ref="D9:E9"/>
    <mergeCell ref="B10:C10"/>
    <mergeCell ref="D10:E10"/>
    <mergeCell ref="B12:C12"/>
    <mergeCell ref="E12:H12"/>
    <mergeCell ref="F10:G10"/>
    <mergeCell ref="H10:I10"/>
    <mergeCell ref="G13:H13"/>
    <mergeCell ref="I13:J13"/>
    <mergeCell ref="F6:G7"/>
    <mergeCell ref="H6:I6"/>
    <mergeCell ref="K13:L13"/>
    <mergeCell ref="M13:N13"/>
    <mergeCell ref="O13:P13"/>
    <mergeCell ref="B4:K5"/>
    <mergeCell ref="B6:C6"/>
    <mergeCell ref="D6:E6"/>
    <mergeCell ref="F9:G9"/>
    <mergeCell ref="H9:I9"/>
    <mergeCell ref="J9:K9"/>
    <mergeCell ref="L9:M9"/>
    <mergeCell ref="M4:V5"/>
    <mergeCell ref="M6:N6"/>
    <mergeCell ref="O6:P6"/>
    <mergeCell ref="Q6:R7"/>
    <mergeCell ref="S6:T6"/>
    <mergeCell ref="U6:V6"/>
    <mergeCell ref="Q13:R13"/>
    <mergeCell ref="S13:T13"/>
    <mergeCell ref="V13:V14"/>
    <mergeCell ref="W9:X9"/>
    <mergeCell ref="W10:X10"/>
    <mergeCell ref="N9:Q11"/>
    <mergeCell ref="S12:T12"/>
    <mergeCell ref="Z12:AC12"/>
    <mergeCell ref="Z19:AA20"/>
    <mergeCell ref="Z23:AA23"/>
    <mergeCell ref="AC19:AD20"/>
    <mergeCell ref="AC23:AD23"/>
    <mergeCell ref="AB14:AC14"/>
    <mergeCell ref="Z15:AA15"/>
    <mergeCell ref="AB15:AC15"/>
    <mergeCell ref="Z16:AA16"/>
    <mergeCell ref="AB16:AC16"/>
    <mergeCell ref="Z17:AA17"/>
    <mergeCell ref="AB17:AC17"/>
    <mergeCell ref="Z13:AA13"/>
    <mergeCell ref="AB13:AC13"/>
    <mergeCell ref="Z14:AA14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3" name="Button 8">
              <controlPr defaultSize="0" print="0" autoFill="0" autoPict="0" macro="[0]!Sheet2.cali_Test">
                <anchor moveWithCells="1" sizeWithCells="1">
                  <from>
                    <xdr:col>23</xdr:col>
                    <xdr:colOff>312420</xdr:colOff>
                    <xdr:row>2</xdr:row>
                    <xdr:rowOff>152400</xdr:rowOff>
                  </from>
                  <to>
                    <xdr:col>24</xdr:col>
                    <xdr:colOff>640080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커브정보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2023-03-26T08:29:54Z</dcterms:created>
  <dcterms:modified xsi:type="dcterms:W3CDTF">2023-05-29T14:44:57Z</dcterms:modified>
</cp:coreProperties>
</file>