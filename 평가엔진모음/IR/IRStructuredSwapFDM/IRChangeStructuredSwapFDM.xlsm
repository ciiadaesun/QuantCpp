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N70" i="1" l="1"/>
  <c r="H54" i="2" l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<sst xmlns="http://schemas.openxmlformats.org/spreadsheetml/2006/main" count="121" uniqueCount="85">
  <si>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</si>
  <si>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</si>
  <si>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</si>
  <si>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</si>
  <si>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</si>
  <si>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</si>
  <si>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</si>
  <si>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</si>
  <si>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</si>
  <si>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</si>
  <si>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</si>
  <si>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</si>
  <si>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</si>
  <si>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</si>
  <si>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</si>
  <si>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</si>
  <si>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</si>
  <si>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</si>
  <si>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</si>
  <si>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</si>
  <si>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</si>
  <si>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</si>
  <si>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</si>
  <si>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</si>
  <si>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</si>
  <si>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</si>
  <si>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</si>
  <si>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</si>
  <si>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</si>
  <si>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</si>
  <si>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</si>
  <si>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</si>
  <si>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</si>
  <si>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</si>
  <si>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</si>
  <si>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</si>
  <si>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</si>
  <si>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</si>
  <si>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</si>
  <si>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</si>
  <si>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</si>
  <si>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</si>
  <si>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</si>
  <si>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</si>
  <si>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</si>
  <si>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</si>
  <si>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</si>
  <si>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</si>
  <si>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</si>
  <si>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</si>
  <si>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</si>
  <si>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</si>
  <si>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</si>
  <si>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</si>
  <si>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</si>
  <si>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</si>
  <si>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</si>
  <si>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</si>
  <si>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</si>
  <si>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</si>
  <si>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</si>
  <si>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</si>
  <si>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</si>
  <si>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</si>
  <si>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</si>
  <si>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</si>
  <si>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</si>
  <si>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</si>
  <si>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</si>
  <si>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</si>
  <si>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</si>
  <si>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</si>
  <si>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</si>
  <si>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</si>
  <si>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</si>
  <si>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</si>
  <si>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</si>
  <si>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</si>
  <si>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</si>
  <si>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</si>
  <si>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</si>
  <si>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</si>
  <si>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</si>
  <si>
    <t>VolFlag</t>
    <phoneticPr fontId="2" type="noConversion"/>
  </si>
  <si>
    <t>VolFlag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</si>
</sst>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6" fillId="17" borderId="0" xfId="0" applyNumberFormat="1" applyFont="1" applyFill="1" applyAlignment="1">
      <alignment horizontal="center" vertical="center"/>
    </xf>
    <xf numFmtId="0" fontId="0" fillId="21" borderId="0" xfId="0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topLeftCell="A4" workbookViewId="0">
      <selection activeCell="E19" sqref="E19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45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45" x14ac:dyDescent="0.4">
      <c r="A4" s="1">
        <f>4</f>
        <v>4</v>
      </c>
      <c r="B4" s="50" t="s">
        <v>1</v>
      </c>
      <c r="C4" s="50"/>
      <c r="D4" s="51">
        <v>2</v>
      </c>
      <c r="E4" s="51"/>
    </row>
    <row r="5" spans="1:45" x14ac:dyDescent="0.4">
      <c r="A5" s="1">
        <f>A4+1</f>
        <v>5</v>
      </c>
      <c r="G5" s="57" t="s">
        <v>2</v>
      </c>
      <c r="H5" s="59" t="s">
        <v>46</v>
      </c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45" x14ac:dyDescent="0.4">
      <c r="A6" s="1">
        <f t="shared" ref="A6:A69" si="1">A5+1</f>
        <v>6</v>
      </c>
      <c r="B6" s="50" t="s">
        <v>3</v>
      </c>
      <c r="C6" s="50"/>
      <c r="D6" s="51">
        <v>1</v>
      </c>
      <c r="E6" s="51"/>
      <c r="G6" s="58"/>
      <c r="H6" s="60" t="s">
        <v>4</v>
      </c>
      <c r="I6" s="61"/>
      <c r="L6" s="54" t="s">
        <v>5</v>
      </c>
      <c r="M6" s="54"/>
      <c r="N6" s="54"/>
      <c r="Q6" s="54" t="s">
        <v>6</v>
      </c>
      <c r="R6" s="54"/>
      <c r="S6" s="54"/>
      <c r="V6" s="54" t="s">
        <v>7</v>
      </c>
      <c r="W6" s="54"/>
      <c r="X6" s="54"/>
    </row>
    <row r="7" spans="1:45" x14ac:dyDescent="0.4">
      <c r="A7" s="1">
        <f t="shared" si="1"/>
        <v>7</v>
      </c>
      <c r="B7" s="50" t="s">
        <v>8</v>
      </c>
      <c r="C7" s="50"/>
      <c r="D7" s="51">
        <v>0</v>
      </c>
      <c r="E7" s="51"/>
      <c r="G7" s="58"/>
      <c r="H7" s="62"/>
      <c r="I7" s="63"/>
      <c r="L7" s="54"/>
      <c r="M7" s="54"/>
      <c r="N7" s="54"/>
      <c r="Q7" s="54"/>
      <c r="R7" s="54"/>
      <c r="S7" s="54"/>
      <c r="V7" s="54"/>
      <c r="W7" s="54"/>
      <c r="X7" s="54"/>
    </row>
    <row r="8" spans="1:45" x14ac:dyDescent="0.4">
      <c r="A8" s="1">
        <f t="shared" si="1"/>
        <v>8</v>
      </c>
      <c r="B8" s="50" t="s">
        <v>9</v>
      </c>
      <c r="C8" s="50"/>
      <c r="D8" s="51">
        <v>0.01</v>
      </c>
      <c r="E8" s="51"/>
      <c r="G8" s="58"/>
      <c r="I8" s="2" t="s">
        <v>10</v>
      </c>
      <c r="V8" s="54" t="s">
        <v>11</v>
      </c>
      <c r="W8" s="54"/>
      <c r="X8" s="3">
        <v>3</v>
      </c>
    </row>
    <row r="9" spans="1:45" x14ac:dyDescent="0.4">
      <c r="A9" s="1">
        <f t="shared" si="1"/>
        <v>9</v>
      </c>
      <c r="G9" s="58"/>
      <c r="H9" s="2" t="s">
        <v>12</v>
      </c>
      <c r="I9" s="4">
        <v>2.0072916735082918E-2</v>
      </c>
      <c r="Q9" s="54" t="s">
        <v>13</v>
      </c>
      <c r="R9" s="54"/>
      <c r="S9" s="3">
        <v>3</v>
      </c>
      <c r="V9" s="55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8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56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8"/>
      <c r="H11" s="10">
        <v>1</v>
      </c>
      <c r="I11" s="11">
        <v>1.3932820675580663E-2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8"/>
      <c r="H12" s="10">
        <v>2</v>
      </c>
      <c r="I12" s="11">
        <v>1.2315639755888222E-2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52" t="s">
        <v>23</v>
      </c>
      <c r="E13" s="52"/>
      <c r="G13" s="58"/>
      <c r="H13" s="10">
        <v>3</v>
      </c>
      <c r="I13" s="11">
        <v>1.3144480963603338E-2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52"/>
      <c r="E14" s="52"/>
      <c r="G14" s="58"/>
      <c r="H14" s="10">
        <v>4</v>
      </c>
      <c r="I14" s="11">
        <v>1.2104833350620903E-2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52"/>
      <c r="E15" s="52"/>
      <c r="G15" s="58"/>
      <c r="H15" s="10">
        <v>5</v>
      </c>
      <c r="I15" s="11">
        <v>1.3419779680556951E-2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1.77E-2</v>
      </c>
      <c r="G16" s="58"/>
      <c r="H16" s="10">
        <v>7</v>
      </c>
      <c r="I16" s="11">
        <v>1.2523802742582746E-2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53">
        <v>45202.836388888885</v>
      </c>
      <c r="E17" s="53"/>
      <c r="G17" s="58"/>
      <c r="H17" s="10">
        <v>10</v>
      </c>
      <c r="I17" s="11">
        <v>1.1582553022910298E-2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53">
        <v>45202.836388888885</v>
      </c>
      <c r="E18" s="53"/>
      <c r="G18" s="58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8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8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8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8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B23" s="50" t="s">
        <v>83</v>
      </c>
      <c r="C23" s="50"/>
      <c r="D23" s="51">
        <v>0</v>
      </c>
      <c r="E23" s="51"/>
      <c r="G23" s="58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8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8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8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8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8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8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8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8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8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8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8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8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8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8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8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8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8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7" t="s">
        <v>25</v>
      </c>
      <c r="H55" s="59" t="s">
        <v>47</v>
      </c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</row>
    <row r="56" spans="1:40" x14ac:dyDescent="0.4">
      <c r="A56" s="1">
        <f t="shared" si="1"/>
        <v>56</v>
      </c>
      <c r="B56" s="50" t="s">
        <v>3</v>
      </c>
      <c r="C56" s="50"/>
      <c r="D56" s="51">
        <v>1</v>
      </c>
      <c r="E56" s="51"/>
      <c r="G56" s="58"/>
      <c r="H56" s="60" t="s">
        <v>26</v>
      </c>
      <c r="I56" s="61"/>
      <c r="L56" s="54" t="s">
        <v>27</v>
      </c>
      <c r="M56" s="54"/>
      <c r="N56" s="54"/>
      <c r="Q56" s="54" t="s">
        <v>6</v>
      </c>
      <c r="R56" s="54"/>
      <c r="S56" s="54"/>
      <c r="V56" s="54" t="s">
        <v>28</v>
      </c>
      <c r="W56" s="54"/>
      <c r="X56" s="54"/>
    </row>
    <row r="57" spans="1:40" x14ac:dyDescent="0.4">
      <c r="A57" s="1">
        <f t="shared" si="1"/>
        <v>57</v>
      </c>
      <c r="B57" s="50" t="s">
        <v>29</v>
      </c>
      <c r="C57" s="50"/>
      <c r="D57" s="51">
        <v>1</v>
      </c>
      <c r="E57" s="51"/>
      <c r="G57" s="58"/>
      <c r="H57" s="62"/>
      <c r="I57" s="63"/>
      <c r="L57" s="54"/>
      <c r="M57" s="54"/>
      <c r="N57" s="54"/>
      <c r="Q57" s="54"/>
      <c r="R57" s="54"/>
      <c r="S57" s="54"/>
      <c r="V57" s="54"/>
      <c r="W57" s="54"/>
      <c r="X57" s="54"/>
    </row>
    <row r="58" spans="1:40" x14ac:dyDescent="0.4">
      <c r="A58" s="1">
        <f t="shared" si="1"/>
        <v>58</v>
      </c>
      <c r="B58" s="50" t="s">
        <v>9</v>
      </c>
      <c r="C58" s="50"/>
      <c r="D58" s="51">
        <v>0.01</v>
      </c>
      <c r="E58" s="51"/>
      <c r="G58" s="58"/>
      <c r="I58" s="2" t="s">
        <v>10</v>
      </c>
      <c r="V58" s="54" t="s">
        <v>11</v>
      </c>
      <c r="W58" s="54"/>
      <c r="X58" s="3">
        <v>3</v>
      </c>
    </row>
    <row r="59" spans="1:40" x14ac:dyDescent="0.4">
      <c r="A59" s="1">
        <f t="shared" si="1"/>
        <v>59</v>
      </c>
      <c r="G59" s="58"/>
      <c r="H59" s="2" t="s">
        <v>12</v>
      </c>
      <c r="I59" s="4">
        <v>0.01</v>
      </c>
      <c r="Q59" s="54" t="s">
        <v>30</v>
      </c>
      <c r="R59" s="54"/>
      <c r="S59" s="3">
        <v>3</v>
      </c>
      <c r="V59" s="55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8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56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8"/>
      <c r="H61" s="10">
        <v>1</v>
      </c>
      <c r="I61" s="11">
        <v>1.3179794086105524E-2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0.29711575189940853</v>
      </c>
      <c r="X61" s="16">
        <v>0.30223277511673557</v>
      </c>
      <c r="Y61" s="16">
        <v>0.29785690951842136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8"/>
      <c r="H62" s="10">
        <v>2</v>
      </c>
      <c r="I62" s="11">
        <v>1.2003347093781683E-2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0.29731816815825485</v>
      </c>
      <c r="X62" s="16">
        <v>0.29715000560759469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52" t="s">
        <v>23</v>
      </c>
      <c r="E63" s="52"/>
      <c r="G63" s="58"/>
      <c r="H63" s="10">
        <v>3</v>
      </c>
      <c r="I63" s="11">
        <v>1.1763422778972925E-2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0.29724033204370953</v>
      </c>
      <c r="X63" s="16">
        <v>0.29716249592916422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52"/>
      <c r="E64" s="52"/>
      <c r="G64" s="58"/>
      <c r="H64" s="10">
        <v>4</v>
      </c>
      <c r="I64" s="11">
        <v>1.2245700586856338E-2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52"/>
      <c r="E65" s="52"/>
      <c r="G65" s="58"/>
      <c r="H65" s="10">
        <v>5</v>
      </c>
      <c r="I65" s="11">
        <v>1.2995777704928289E-2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3.3799999999999997E-2</v>
      </c>
      <c r="G66" s="58"/>
      <c r="H66" s="10">
        <v>7</v>
      </c>
      <c r="I66" s="11">
        <v>1.3388249104175196E-2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53">
        <v>45202.836388888885</v>
      </c>
      <c r="E67" s="53"/>
      <c r="G67" s="58"/>
      <c r="H67" s="10">
        <v>10</v>
      </c>
      <c r="I67" s="11">
        <v>1.5966173861409468E-2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0.29168249543038094</v>
      </c>
      <c r="X67" s="16">
        <v>0.29002398274793367</v>
      </c>
      <c r="Y67" s="16">
        <v>0.28841324494216236</v>
      </c>
      <c r="Z67" s="16">
        <v>0.28657200821606188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53">
        <v>45202.836388888885</v>
      </c>
      <c r="E68" s="53"/>
      <c r="G68" s="58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8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8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8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8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B73" s="50" t="s">
        <v>84</v>
      </c>
      <c r="C73" s="50"/>
      <c r="D73" s="51">
        <v>0</v>
      </c>
      <c r="E73" s="51"/>
      <c r="G73" s="58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8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8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8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8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8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8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8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8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8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8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8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8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8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8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8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8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8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43"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  <mergeCell ref="Q9:R9"/>
    <mergeCell ref="V9:V10"/>
    <mergeCell ref="D13:E15"/>
    <mergeCell ref="D17:E17"/>
    <mergeCell ref="D18:E18"/>
    <mergeCell ref="V58:W58"/>
    <mergeCell ref="Q59:R59"/>
    <mergeCell ref="V59:V60"/>
    <mergeCell ref="G55:G90"/>
    <mergeCell ref="H55:X55"/>
    <mergeCell ref="V56:X57"/>
    <mergeCell ref="H56:I57"/>
    <mergeCell ref="L56:N57"/>
    <mergeCell ref="Q56:S57"/>
    <mergeCell ref="B23:C23"/>
    <mergeCell ref="D23:E23"/>
    <mergeCell ref="B73:C73"/>
    <mergeCell ref="D73:E73"/>
    <mergeCell ref="D63:E65"/>
    <mergeCell ref="D67:E67"/>
    <mergeCell ref="D68:E68"/>
    <mergeCell ref="B58:C58"/>
    <mergeCell ref="D58:E58"/>
    <mergeCell ref="B56:C56"/>
    <mergeCell ref="D56:E56"/>
    <mergeCell ref="B57:C57"/>
    <mergeCell ref="D57:E5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M1" zoomScale="85" zoomScaleNormal="85" workbookViewId="0">
      <selection activeCell="D10" sqref="D10:E10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B2" s="87">
        <v>0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83" t="s">
        <v>40</v>
      </c>
      <c r="C3" s="83"/>
      <c r="D3" s="84">
        <v>44848</v>
      </c>
      <c r="E3" s="85"/>
      <c r="F3" s="83" t="s">
        <v>41</v>
      </c>
      <c r="G3" s="83"/>
      <c r="H3" s="86">
        <v>0</v>
      </c>
      <c r="I3" s="86"/>
      <c r="J3" s="83" t="s">
        <v>42</v>
      </c>
      <c r="K3" s="83"/>
      <c r="L3" s="75">
        <v>0</v>
      </c>
      <c r="M3" s="7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8" t="s">
        <v>65</v>
      </c>
      <c r="C4" s="78"/>
      <c r="D4" s="78"/>
      <c r="E4" s="78"/>
      <c r="F4" s="78"/>
      <c r="G4" s="78"/>
      <c r="H4" s="78"/>
      <c r="I4" s="78"/>
      <c r="J4" s="78"/>
      <c r="K4" s="78"/>
      <c r="L4" s="29"/>
      <c r="M4" s="78" t="s">
        <v>66</v>
      </c>
      <c r="N4" s="78"/>
      <c r="O4" s="78"/>
      <c r="P4" s="78"/>
      <c r="Q4" s="78"/>
      <c r="R4" s="78"/>
      <c r="S4" s="78"/>
      <c r="T4" s="78"/>
      <c r="U4" s="78"/>
      <c r="V4" s="78"/>
      <c r="Z4" s="29"/>
      <c r="AA4" s="29"/>
      <c r="AC4" s="29"/>
      <c r="AD4" s="29"/>
    </row>
    <row r="5" spans="1:30" x14ac:dyDescent="0.4">
      <c r="A5" s="29">
        <f t="shared" si="3"/>
        <v>5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29"/>
      <c r="M5" s="78"/>
      <c r="N5" s="78"/>
      <c r="O5" s="78"/>
      <c r="P5" s="78"/>
      <c r="Q5" s="78"/>
      <c r="R5" s="78"/>
      <c r="S5" s="78"/>
      <c r="T5" s="78"/>
      <c r="U5" s="78"/>
      <c r="V5" s="78"/>
      <c r="Z5" s="29"/>
      <c r="AA5" s="29"/>
      <c r="AC5" s="29"/>
      <c r="AD5" s="29"/>
    </row>
    <row r="6" spans="1:30" x14ac:dyDescent="0.4">
      <c r="A6" s="29">
        <f t="shared" si="3"/>
        <v>6</v>
      </c>
      <c r="B6" s="50" t="s">
        <v>43</v>
      </c>
      <c r="C6" s="79"/>
      <c r="D6" s="75">
        <v>1</v>
      </c>
      <c r="E6" s="75"/>
      <c r="F6" s="50" t="s">
        <v>67</v>
      </c>
      <c r="G6" s="50"/>
      <c r="H6" s="50" t="s">
        <v>44</v>
      </c>
      <c r="I6" s="79"/>
      <c r="J6" s="75">
        <v>4</v>
      </c>
      <c r="K6" s="75"/>
      <c r="L6" s="29"/>
      <c r="M6" s="50" t="s">
        <v>43</v>
      </c>
      <c r="N6" s="79"/>
      <c r="O6" s="75">
        <v>1</v>
      </c>
      <c r="P6" s="75"/>
      <c r="Q6" s="50" t="s">
        <v>67</v>
      </c>
      <c r="R6" s="50"/>
      <c r="S6" s="50" t="s">
        <v>44</v>
      </c>
      <c r="T6" s="79"/>
      <c r="U6" s="75">
        <v>4</v>
      </c>
      <c r="V6" s="75"/>
      <c r="Z6" s="29"/>
      <c r="AA6" s="29"/>
      <c r="AC6" s="29"/>
      <c r="AD6" s="29"/>
    </row>
    <row r="7" spans="1:30" x14ac:dyDescent="0.4">
      <c r="A7" s="29">
        <f t="shared" si="3"/>
        <v>7</v>
      </c>
      <c r="D7" s="39">
        <f>D3+87</f>
        <v>44935</v>
      </c>
      <c r="E7" s="29"/>
      <c r="F7" s="50"/>
      <c r="G7" s="50"/>
      <c r="H7" s="50" t="s">
        <v>45</v>
      </c>
      <c r="I7" s="79"/>
      <c r="J7" s="75">
        <v>0.25</v>
      </c>
      <c r="K7" s="75"/>
      <c r="L7" s="29"/>
      <c r="M7" s="29"/>
      <c r="N7" s="29"/>
      <c r="O7" s="29"/>
      <c r="P7" s="29"/>
      <c r="Q7" s="50"/>
      <c r="R7" s="50"/>
      <c r="S7" s="50" t="s">
        <v>45</v>
      </c>
      <c r="T7" s="79"/>
      <c r="U7" s="75">
        <v>0.25</v>
      </c>
      <c r="V7" s="7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0" t="s">
        <v>82</v>
      </c>
      <c r="C9" s="79"/>
      <c r="D9" s="81">
        <v>0</v>
      </c>
      <c r="E9" s="81"/>
      <c r="F9" s="50" t="s">
        <v>69</v>
      </c>
      <c r="G9" s="79"/>
      <c r="H9" s="80">
        <v>1</v>
      </c>
      <c r="I9" s="80"/>
      <c r="J9" s="50" t="s">
        <v>70</v>
      </c>
      <c r="K9" s="79"/>
      <c r="L9" s="80">
        <v>0</v>
      </c>
      <c r="M9" s="80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75">
        <v>1</v>
      </c>
      <c r="X9" s="75"/>
      <c r="Z9" s="29"/>
      <c r="AA9" s="29"/>
      <c r="AC9" s="29"/>
      <c r="AD9" s="29"/>
    </row>
    <row r="10" spans="1:30" x14ac:dyDescent="0.4">
      <c r="A10" s="29">
        <f t="shared" si="3"/>
        <v>10</v>
      </c>
      <c r="B10" s="50" t="s">
        <v>81</v>
      </c>
      <c r="C10" s="79"/>
      <c r="D10" s="81">
        <v>-0.12</v>
      </c>
      <c r="E10" s="81"/>
      <c r="F10" s="50" t="s">
        <v>68</v>
      </c>
      <c r="G10" s="79"/>
      <c r="H10" s="80">
        <v>100</v>
      </c>
      <c r="I10" s="80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75">
        <v>0</v>
      </c>
      <c r="X10" s="7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0" t="s">
        <v>48</v>
      </c>
      <c r="C12" s="79"/>
      <c r="E12" s="82" t="s">
        <v>54</v>
      </c>
      <c r="F12" s="82"/>
      <c r="G12" s="82"/>
      <c r="H12" s="8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>확정된 기초금리 입력</v>
      </c>
      <c r="T12" s="77"/>
      <c r="V12" s="33" t="s">
        <v>64</v>
      </c>
      <c r="Z12" s="65" t="s">
        <v>71</v>
      </c>
      <c r="AA12" s="65"/>
      <c r="AB12" s="65"/>
      <c r="AC12" s="65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4" t="s">
        <v>55</v>
      </c>
      <c r="F13" s="74" t="s">
        <v>49</v>
      </c>
      <c r="G13" s="74" t="s">
        <v>50</v>
      </c>
      <c r="H13" s="74"/>
      <c r="I13" s="74" t="s">
        <v>53</v>
      </c>
      <c r="J13" s="74"/>
      <c r="K13" s="74" t="s">
        <v>58</v>
      </c>
      <c r="L13" s="74"/>
      <c r="M13" s="74" t="s">
        <v>59</v>
      </c>
      <c r="N13" s="74"/>
      <c r="O13" s="74" t="s">
        <v>56</v>
      </c>
      <c r="P13" s="74"/>
      <c r="Q13" s="74" t="s">
        <v>57</v>
      </c>
      <c r="R13" s="74"/>
      <c r="S13" s="74" t="s">
        <v>60</v>
      </c>
      <c r="T13" s="74"/>
      <c r="V13" s="74" t="s">
        <v>63</v>
      </c>
      <c r="Z13" s="71" t="s">
        <v>72</v>
      </c>
      <c r="AA13" s="72"/>
      <c r="AB13" s="73"/>
      <c r="AC13" s="73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4"/>
      <c r="F14" s="74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4"/>
      <c r="Z14" s="71" t="s">
        <v>73</v>
      </c>
      <c r="AA14" s="72"/>
      <c r="AB14" s="69">
        <v>1980.6443448939201</v>
      </c>
      <c r="AC14" s="69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3.9140000000000001E-2</v>
      </c>
      <c r="V15" s="35">
        <v>43187</v>
      </c>
      <c r="W15" s="39"/>
      <c r="Z15" s="70" t="s">
        <v>74</v>
      </c>
      <c r="AA15" s="70"/>
      <c r="AB15" s="69">
        <v>-2263.3572014881893</v>
      </c>
      <c r="AC15" s="69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3.9140000000000001E-2</v>
      </c>
      <c r="V16" s="35">
        <v>43278</v>
      </c>
      <c r="W16" s="39"/>
      <c r="Z16" s="70" t="s">
        <v>76</v>
      </c>
      <c r="AA16" s="70"/>
      <c r="AB16" s="69">
        <v>232.70511116455248</v>
      </c>
      <c r="AC16" s="69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3.9140000000000001E-2</v>
      </c>
      <c r="V17" s="35">
        <v>43370</v>
      </c>
      <c r="W17" s="39"/>
      <c r="Z17" s="70" t="s">
        <v>75</v>
      </c>
      <c r="AA17" s="70"/>
      <c r="AB17" s="69">
        <v>515.41796775882165</v>
      </c>
      <c r="AC17" s="69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3.9140000000000001E-2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3.9140000000000001E-2</v>
      </c>
      <c r="V19" s="35">
        <v>43552</v>
      </c>
      <c r="Z19" s="66" t="s">
        <v>77</v>
      </c>
      <c r="AA19" s="66"/>
      <c r="AC19" s="66" t="s">
        <v>77</v>
      </c>
      <c r="AD19" s="66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3.9140000000000001E-2</v>
      </c>
      <c r="V20" s="35">
        <v>43643</v>
      </c>
      <c r="Z20" s="67"/>
      <c r="AA20" s="67"/>
      <c r="AC20" s="67"/>
      <c r="AD20" s="67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3.9140000000000001E-2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3.9140000000000001E-2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3.9140000000000001E-2</v>
      </c>
      <c r="V23" s="35">
        <v>43918</v>
      </c>
      <c r="Z23" s="68" t="s">
        <v>80</v>
      </c>
      <c r="AA23" s="68"/>
      <c r="AC23" s="68" t="s">
        <v>80</v>
      </c>
      <c r="AD23" s="68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3.9140000000000001E-2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3.9140000000000001E-2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3.9140000000000001E-2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3.9140000000000001E-2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3.9140000000000001E-2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3.9140000000000001E-2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3.9140000000000001E-2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3.9140000000000001E-2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3.9140000000000001E-2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3.9140000000000001E-2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3.9140000000000001E-2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3.9140000000000001E-2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3.9140000000000001E-2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3.9140000000000001E-2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3.9140000000000001E-2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3.9140000000000001E-2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3.9140000000000001E-2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3.9140000000000001E-2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3.9140000000000001E-2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3.9140000000000001E-2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3.9140000000000001E-2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3.9140000000000001E-2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3.9140000000000001E-2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3.9140000000000001E-2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3.9140000000000001E-2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3.9140000000000001E-2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3.9140000000000001E-2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3.9140000000000001E-2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3.9140000000000001E-2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3.9140000000000001E-2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3.9140000000000001E-2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J6:K6"/>
    <mergeCell ref="H7:I7"/>
    <mergeCell ref="J7:K7"/>
    <mergeCell ref="L3:M3"/>
    <mergeCell ref="B3:C3"/>
    <mergeCell ref="D3:E3"/>
    <mergeCell ref="F3:G3"/>
    <mergeCell ref="H3:I3"/>
    <mergeCell ref="J3:K3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Q13:R13"/>
    <mergeCell ref="S13:T13"/>
    <mergeCell ref="V13:V14"/>
    <mergeCell ref="W9:X9"/>
    <mergeCell ref="W10:X10"/>
    <mergeCell ref="N9:Q11"/>
    <mergeCell ref="S12:T12"/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2023-10-03T11:23:31Z</dcterms:modified>
</cp:coreProperties>
</file>