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IR\BSCapFloo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D4" i="1"/>
  <c r="F12" i="1" l="1"/>
  <c r="I11" i="1"/>
  <c r="F6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</calcChain>
</file>

<file path=xl/comments1.xml><?xml version="1.0" encoding="utf-8"?>
<comments xmlns="http://schemas.openxmlformats.org/spreadsheetml/2006/main">
  <authors>
    <author>DAESUN IM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sharedStrings.xml><?xml version="1.0" encoding="utf-8"?>
<sst xmlns="http://schemas.openxmlformats.org/spreadsheetml/2006/main" count="23" uniqueCount="23">
  <si>
    <t>가격평가일</t>
    <phoneticPr fontId="2" type="noConversion"/>
  </si>
  <si>
    <t>GreekFlag</t>
    <phoneticPr fontId="2" type="noConversion"/>
  </si>
  <si>
    <t>TextFlag</t>
    <phoneticPr fontId="2" type="noConversion"/>
  </si>
  <si>
    <t>HolidayAutoFlag</t>
    <phoneticPr fontId="2" type="noConversion"/>
  </si>
  <si>
    <t>DayCount</t>
    <phoneticPr fontId="2" type="noConversion"/>
  </si>
  <si>
    <t>시작시간</t>
    <phoneticPr fontId="2" type="noConversion"/>
  </si>
  <si>
    <t>연 지급횟수</t>
    <phoneticPr fontId="2" type="noConversion"/>
  </si>
  <si>
    <t>Price or Value Flag</t>
    <phoneticPr fontId="2" type="noConversion"/>
  </si>
  <si>
    <t>종료시간</t>
    <phoneticPr fontId="2" type="noConversion"/>
  </si>
  <si>
    <t>행사금리</t>
    <phoneticPr fontId="2" type="noConversion"/>
  </si>
  <si>
    <t>변동성Flag</t>
    <phoneticPr fontId="2" type="noConversion"/>
  </si>
  <si>
    <t>명목원금</t>
    <phoneticPr fontId="2" type="noConversion"/>
  </si>
  <si>
    <t>Price</t>
    <phoneticPr fontId="2" type="noConversion"/>
  </si>
  <si>
    <t>ZeroRate</t>
    <phoneticPr fontId="2" type="noConversion"/>
  </si>
  <si>
    <t>Cap/Floor 시작일</t>
    <phoneticPr fontId="2" type="noConversion"/>
  </si>
  <si>
    <t>Cap/Floor 만기일</t>
    <phoneticPr fontId="2" type="noConversion"/>
  </si>
  <si>
    <t>Cap/Floor Flag</t>
    <phoneticPr fontId="2" type="noConversion"/>
  </si>
  <si>
    <t>Volatility</t>
    <phoneticPr fontId="2" type="noConversion"/>
  </si>
  <si>
    <t>첫 Fixing금리(존재할경우)</t>
    <phoneticPr fontId="2" type="noConversion"/>
  </si>
  <si>
    <t>행사금리를 Forward Average</t>
    <phoneticPr fontId="2" type="noConversion"/>
  </si>
  <si>
    <t>기초금리를 AverageFlag</t>
    <phoneticPr fontId="2" type="noConversion"/>
  </si>
  <si>
    <t>모든행사금리를 ATM으로Flag</t>
    <phoneticPr fontId="2" type="noConversion"/>
  </si>
  <si>
    <t>ForwardSwapRate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</si>
</sst>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[$-F400]h:mm:ss\ AM/PM"/>
    <numFmt numFmtId="177" formatCode="0.0000%"/>
    <numFmt numFmtId="178" formatCode="0.0_);[Red]\(0.0\)"/>
    <numFmt numFmtId="179" formatCode="0.0000000_);[Red]\(0.0000000\)"/>
    <numFmt numFmtId="180" formatCode="0.00_);[Red]\(0.00\)"/>
    <numFmt numFmtId="181" formatCode="0.000_);[Red]\(0.000\)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1"/>
      <color theme="2" tint="-0.249977111117893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4" fontId="10" fillId="8" borderId="0" xfId="0" applyNumberFormat="1" applyFont="1" applyFill="1" applyAlignment="1">
      <alignment horizontal="center" vertical="center"/>
    </xf>
    <xf numFmtId="14" fontId="0" fillId="8" borderId="0" xfId="0" applyNumberFormat="1" applyFill="1">
      <alignment vertical="center"/>
    </xf>
    <xf numFmtId="180" fontId="7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80" fontId="0" fillId="2" borderId="0" xfId="0" applyNumberFormat="1" applyFill="1">
      <alignment vertical="center"/>
    </xf>
    <xf numFmtId="181" fontId="8" fillId="8" borderId="0" xfId="0" applyNumberFormat="1" applyFont="1" applyFill="1" applyBorder="1" applyAlignment="1">
      <alignment vertical="center"/>
    </xf>
    <xf numFmtId="181" fontId="9" fillId="8" borderId="0" xfId="0" applyNumberFormat="1" applyFont="1" applyFill="1" applyBorder="1" applyAlignment="1"/>
    <xf numFmtId="181" fontId="7" fillId="8" borderId="0" xfId="0" applyNumberFormat="1" applyFont="1" applyFill="1">
      <alignment vertical="center"/>
    </xf>
    <xf numFmtId="181" fontId="0" fillId="8" borderId="0" xfId="1" applyNumberFormat="1" applyFont="1" applyFill="1">
      <alignment vertical="center"/>
    </xf>
    <xf numFmtId="177" fontId="9" fillId="8" borderId="0" xfId="1" applyNumberFormat="1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79" fontId="0" fillId="6" borderId="0" xfId="1" applyNumberFormat="1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77" fontId="5" fillId="4" borderId="0" xfId="0" applyNumberFormat="1" applyFont="1" applyFill="1" applyAlignment="1">
      <alignment horizontal="center" vertical="center"/>
    </xf>
    <xf numFmtId="178" fontId="5" fillId="4" borderId="0" xfId="0" applyNumberFormat="1" applyFont="1" applyFill="1" applyAlignment="1">
      <alignment horizontal="center" vertical="center"/>
    </xf>
    <xf numFmtId="176" fontId="0" fillId="6" borderId="0" xfId="0" applyNumberForma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  <xf numFmtId="0" fontId="14" fillId="2" borderId="0" xfId="0" applyFont="1" applyFill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784860</xdr:colOff>
          <xdr:row>5</xdr:row>
          <xdr:rowOff>30480</xdr:rowOff>
        </xdr:from>
        <xdr:to>
          <xdr:col>12</xdr:col>
          <xdr:colOff>60960</xdr:colOff>
          <xdr:row>10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Price계산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5"/>
  <sheetViews>
    <sheetView tabSelected="1" workbookViewId="0">
      <selection activeCell="H17" sqref="H17"/>
    </sheetView>
  </sheetViews>
  <sheetFormatPr defaultColWidth="10.8984375" defaultRowHeight="17.399999999999999" x14ac:dyDescent="0.4"/>
  <cols>
    <col min="1" max="1" width="10.8984375" style="1"/>
    <col min="2" max="2" width="10.8984375" style="10"/>
    <col min="3" max="3" width="10.8984375" style="11"/>
    <col min="4" max="5" width="10.8984375" style="1"/>
    <col min="6" max="6" width="10.8984375" style="5"/>
    <col min="7" max="7" width="10.8984375" style="6"/>
    <col min="8" max="8" width="10.8984375" style="1"/>
    <col min="9" max="9" width="10.8984375" style="4"/>
    <col min="10" max="10" width="10.8984375" style="1"/>
    <col min="11" max="11" width="12.59765625" style="1" customWidth="1"/>
    <col min="12" max="13" width="10.8984375" style="1"/>
    <col min="14" max="15" width="10.8984375" style="7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/>
      <c r="D2" s="25">
        <v>1</v>
      </c>
      <c r="F2" s="1"/>
      <c r="G2" s="1"/>
      <c r="I2" s="1"/>
      <c r="N2" s="1"/>
      <c r="O2" s="1"/>
    </row>
    <row r="3" spans="1:17" x14ac:dyDescent="0.4">
      <c r="B3" s="14" t="s">
        <v>0</v>
      </c>
      <c r="C3" s="14"/>
      <c r="D3" s="24">
        <v>45205</v>
      </c>
      <c r="E3" s="20"/>
      <c r="F3" s="14" t="s">
        <v>1</v>
      </c>
      <c r="G3" s="14"/>
      <c r="H3" s="15">
        <v>0</v>
      </c>
      <c r="I3" s="15"/>
      <c r="J3" s="18" t="s">
        <v>18</v>
      </c>
      <c r="K3" s="19"/>
      <c r="L3" s="21">
        <v>0</v>
      </c>
      <c r="M3" s="21"/>
      <c r="N3" s="1"/>
      <c r="O3" s="1"/>
    </row>
    <row r="4" spans="1:17" x14ac:dyDescent="0.4">
      <c r="B4" s="14" t="s">
        <v>14</v>
      </c>
      <c r="C4" s="14"/>
      <c r="D4" s="24">
        <f>D3+1</f>
        <v>45206</v>
      </c>
      <c r="E4" s="20"/>
      <c r="F4" s="14" t="s">
        <v>2</v>
      </c>
      <c r="G4" s="14"/>
      <c r="H4" s="20">
        <v>0</v>
      </c>
      <c r="I4" s="20"/>
      <c r="J4" s="14" t="s">
        <v>19</v>
      </c>
      <c r="K4" s="14"/>
      <c r="L4" s="20">
        <v>0</v>
      </c>
      <c r="M4" s="20"/>
      <c r="N4" s="1"/>
      <c r="O4" s="1"/>
    </row>
    <row r="5" spans="1:17" x14ac:dyDescent="0.4">
      <c r="B5" s="14" t="s">
        <v>15</v>
      </c>
      <c r="C5" s="14"/>
      <c r="D5" s="24">
        <f>EDATE(D4,24)</f>
        <v>45937</v>
      </c>
      <c r="E5" s="20"/>
      <c r="F5" s="14" t="s">
        <v>3</v>
      </c>
      <c r="G5" s="14"/>
      <c r="H5" s="15">
        <v>1</v>
      </c>
      <c r="I5" s="15"/>
      <c r="J5" s="14" t="s">
        <v>21</v>
      </c>
      <c r="K5" s="14"/>
      <c r="L5" s="20">
        <v>1</v>
      </c>
      <c r="M5" s="20"/>
      <c r="N5" s="1"/>
      <c r="O5" s="1"/>
    </row>
    <row r="6" spans="1:17" x14ac:dyDescent="0.4">
      <c r="B6" s="18" t="s">
        <v>4</v>
      </c>
      <c r="C6" s="19"/>
      <c r="D6" s="20">
        <v>0</v>
      </c>
      <c r="E6" s="20"/>
      <c r="F6" s="14" t="str">
        <f>IF(H5 = 1, "HolidayNation","Not Used")</f>
        <v>HolidayNation</v>
      </c>
      <c r="G6" s="14"/>
      <c r="H6" s="15">
        <v>0</v>
      </c>
      <c r="I6" s="15"/>
      <c r="N6" s="16" t="s">
        <v>5</v>
      </c>
      <c r="O6" s="16"/>
      <c r="P6" s="23">
        <v>45292.723576388889</v>
      </c>
      <c r="Q6" s="23"/>
    </row>
    <row r="7" spans="1:17" x14ac:dyDescent="0.4">
      <c r="B7" s="18" t="s">
        <v>6</v>
      </c>
      <c r="C7" s="19"/>
      <c r="D7" s="20">
        <v>4</v>
      </c>
      <c r="E7" s="20"/>
      <c r="F7" s="14" t="s">
        <v>7</v>
      </c>
      <c r="G7" s="14"/>
      <c r="H7" s="15">
        <v>0</v>
      </c>
      <c r="I7" s="15"/>
      <c r="N7" s="16" t="s">
        <v>8</v>
      </c>
      <c r="O7" s="16"/>
      <c r="P7" s="23">
        <v>45292.723576388889</v>
      </c>
      <c r="Q7" s="23"/>
    </row>
    <row r="8" spans="1:17" x14ac:dyDescent="0.4">
      <c r="B8" s="1"/>
      <c r="C8" s="1"/>
      <c r="F8" s="18" t="s">
        <v>9</v>
      </c>
      <c r="G8" s="19"/>
      <c r="H8" s="21">
        <v>4.03617E-2</v>
      </c>
      <c r="I8" s="21"/>
      <c r="N8" s="1"/>
      <c r="O8" s="1"/>
    </row>
    <row r="9" spans="1:17" x14ac:dyDescent="0.4">
      <c r="B9" s="18" t="s">
        <v>10</v>
      </c>
      <c r="C9" s="19"/>
      <c r="D9" s="20">
        <v>1</v>
      </c>
      <c r="E9" s="20"/>
      <c r="F9" s="18" t="s">
        <v>11</v>
      </c>
      <c r="G9" s="19"/>
      <c r="H9" s="22">
        <v>1</v>
      </c>
      <c r="I9" s="22"/>
      <c r="N9" s="16" t="s">
        <v>12</v>
      </c>
      <c r="O9" s="16"/>
      <c r="P9" s="17">
        <v>5.5019900394654292E-3</v>
      </c>
      <c r="Q9" s="17"/>
    </row>
    <row r="10" spans="1:17" x14ac:dyDescent="0.4">
      <c r="B10" s="18" t="s">
        <v>16</v>
      </c>
      <c r="C10" s="19"/>
      <c r="D10" s="20">
        <v>0</v>
      </c>
      <c r="E10" s="20"/>
      <c r="F10" s="14" t="s">
        <v>20</v>
      </c>
      <c r="G10" s="14"/>
      <c r="H10" s="15">
        <v>0</v>
      </c>
      <c r="I10" s="15"/>
      <c r="N10" s="16" t="s">
        <v>22</v>
      </c>
      <c r="O10" s="16"/>
      <c r="P10" s="17">
        <v>3.9464949780675822E-2</v>
      </c>
      <c r="Q10" s="17"/>
    </row>
    <row r="11" spans="1:17" x14ac:dyDescent="0.4">
      <c r="B11" s="13" t="s">
        <v>13</v>
      </c>
      <c r="C11" s="13"/>
      <c r="F11" s="13" t="s">
        <v>17</v>
      </c>
      <c r="G11" s="13"/>
      <c r="I11" s="13" t="str">
        <f>IF(H5=1,"NotUsed","Holiday")</f>
        <v>NotUsed</v>
      </c>
      <c r="N11" s="1"/>
      <c r="O11" s="1"/>
    </row>
    <row r="12" spans="1:17" x14ac:dyDescent="0.4">
      <c r="B12" s="13"/>
      <c r="C12" s="13"/>
      <c r="F12" s="13" t="str">
        <f>"볼 "&amp;IF(D9=0,"BS","Normal")</f>
        <v>볼 Normal</v>
      </c>
      <c r="G12" s="13"/>
      <c r="I12" s="13"/>
      <c r="N12" s="1"/>
      <c r="O12" s="1"/>
    </row>
    <row r="13" spans="1:17" x14ac:dyDescent="0.35">
      <c r="A13" s="2"/>
      <c r="B13" s="8">
        <v>1.0958904109589041E-2</v>
      </c>
      <c r="C13" s="9">
        <v>3.5263000000000003E-2</v>
      </c>
      <c r="E13" s="2"/>
      <c r="F13" s="12">
        <v>8.5000000000000006E-3</v>
      </c>
      <c r="G13" s="12"/>
      <c r="I13" s="3">
        <v>43101</v>
      </c>
      <c r="N13" s="1"/>
      <c r="O13" s="1"/>
    </row>
    <row r="14" spans="1:17" x14ac:dyDescent="0.35">
      <c r="A14" s="2"/>
      <c r="B14" s="8">
        <v>1.3698630136986301E-2</v>
      </c>
      <c r="C14" s="9">
        <v>3.5270999999999997E-2</v>
      </c>
      <c r="E14" s="2"/>
      <c r="F14" s="1"/>
      <c r="G14" s="1"/>
      <c r="I14" s="3">
        <v>43146</v>
      </c>
      <c r="N14" s="1"/>
      <c r="O14" s="1"/>
    </row>
    <row r="15" spans="1:17" x14ac:dyDescent="0.35">
      <c r="A15" s="2"/>
      <c r="B15" s="8">
        <v>0.26301369863013696</v>
      </c>
      <c r="C15" s="9">
        <v>3.7902999999999999E-2</v>
      </c>
      <c r="E15" s="2"/>
      <c r="F15" s="1"/>
      <c r="G15" s="1"/>
      <c r="I15" s="3">
        <v>43147</v>
      </c>
      <c r="N15" s="1"/>
      <c r="O15" s="1"/>
    </row>
    <row r="16" spans="1:17" x14ac:dyDescent="0.35">
      <c r="A16" s="2"/>
      <c r="B16" s="8">
        <v>0.51506849315068493</v>
      </c>
      <c r="C16" s="9">
        <v>3.8933000000000002E-2</v>
      </c>
      <c r="E16" s="2"/>
      <c r="F16" s="1"/>
      <c r="G16" s="1"/>
      <c r="I16" s="3">
        <v>43148</v>
      </c>
      <c r="N16" s="1"/>
      <c r="O16" s="1"/>
    </row>
    <row r="17" spans="1:15" x14ac:dyDescent="0.35">
      <c r="A17" s="2"/>
      <c r="B17" s="8">
        <v>0.76164383561643834</v>
      </c>
      <c r="C17" s="9">
        <v>3.9302999999999998E-2</v>
      </c>
      <c r="E17" s="2"/>
      <c r="F17" s="1"/>
      <c r="G17" s="1"/>
      <c r="I17" s="3">
        <v>43160</v>
      </c>
      <c r="N17" s="1"/>
      <c r="O17" s="1"/>
    </row>
    <row r="18" spans="1:15" x14ac:dyDescent="0.35">
      <c r="A18" s="2"/>
      <c r="B18" s="8">
        <v>1.0136986301369864</v>
      </c>
      <c r="C18" s="9">
        <v>3.9365999999999998E-2</v>
      </c>
      <c r="E18" s="2"/>
      <c r="F18" s="1"/>
      <c r="G18" s="1"/>
      <c r="I18" s="3">
        <v>43221</v>
      </c>
      <c r="N18" s="1"/>
      <c r="O18" s="1"/>
    </row>
    <row r="19" spans="1:15" x14ac:dyDescent="0.35">
      <c r="A19" s="2"/>
      <c r="B19" s="8">
        <v>1.5123287671232877</v>
      </c>
      <c r="C19" s="9">
        <v>3.9529000000000002E-2</v>
      </c>
      <c r="E19" s="2"/>
      <c r="F19" s="1"/>
      <c r="G19" s="1"/>
      <c r="I19" s="3">
        <v>43227</v>
      </c>
      <c r="N19" s="1"/>
      <c r="O19" s="1"/>
    </row>
    <row r="20" spans="1:15" x14ac:dyDescent="0.35">
      <c r="A20" s="2"/>
      <c r="B20" s="8">
        <v>2.0136986301369864</v>
      </c>
      <c r="C20" s="9">
        <v>3.9586000000000003E-2</v>
      </c>
      <c r="E20" s="2"/>
      <c r="F20" s="1"/>
      <c r="G20" s="1"/>
      <c r="I20" s="3">
        <v>43242</v>
      </c>
      <c r="N20" s="1"/>
      <c r="O20" s="1"/>
    </row>
    <row r="21" spans="1:15" x14ac:dyDescent="0.35">
      <c r="A21" s="2"/>
      <c r="B21" s="8">
        <v>3.0191780821917806</v>
      </c>
      <c r="C21" s="9">
        <v>3.9591000000000001E-2</v>
      </c>
      <c r="E21" s="2"/>
      <c r="F21" s="1"/>
      <c r="G21" s="1"/>
      <c r="I21" s="3">
        <v>43257</v>
      </c>
      <c r="N21" s="1"/>
      <c r="O21" s="1"/>
    </row>
    <row r="22" spans="1:15" x14ac:dyDescent="0.35">
      <c r="A22" s="2"/>
      <c r="B22" s="8">
        <v>4.0164383561643833</v>
      </c>
      <c r="C22" s="9">
        <v>3.9673E-2</v>
      </c>
      <c r="E22" s="2"/>
      <c r="F22" s="1"/>
      <c r="G22" s="1"/>
      <c r="N22" s="1"/>
      <c r="O22" s="1"/>
    </row>
    <row r="23" spans="1:15" x14ac:dyDescent="0.35">
      <c r="A23" s="2"/>
      <c r="B23" s="8">
        <v>5.0164383561643833</v>
      </c>
      <c r="C23" s="9">
        <v>3.9701E-2</v>
      </c>
      <c r="E23" s="2"/>
      <c r="F23" s="1"/>
      <c r="G23" s="1"/>
    </row>
    <row r="24" spans="1:15" x14ac:dyDescent="0.35">
      <c r="A24" s="2"/>
      <c r="B24" s="8">
        <v>6.0164383561643833</v>
      </c>
      <c r="C24" s="9">
        <v>3.9782999999999999E-2</v>
      </c>
      <c r="E24" s="2"/>
      <c r="F24" s="1"/>
      <c r="G24" s="1"/>
    </row>
    <row r="25" spans="1:15" x14ac:dyDescent="0.35">
      <c r="A25" s="2"/>
      <c r="B25" s="8">
        <v>7.0164383561643833</v>
      </c>
      <c r="C25" s="9">
        <v>3.9837999999999998E-2</v>
      </c>
      <c r="E25" s="2"/>
      <c r="F25" s="1"/>
      <c r="G25" s="1"/>
    </row>
    <row r="26" spans="1:15" x14ac:dyDescent="0.35">
      <c r="A26" s="2"/>
      <c r="B26" s="8">
        <v>8.0164383561643842</v>
      </c>
      <c r="C26" s="9">
        <v>3.9923E-2</v>
      </c>
      <c r="F26" s="1"/>
      <c r="G26" s="1"/>
    </row>
    <row r="27" spans="1:15" x14ac:dyDescent="0.35">
      <c r="A27" s="2"/>
      <c r="B27" s="8">
        <v>9.0219178082191789</v>
      </c>
      <c r="C27" s="9">
        <v>4.0037000000000003E-2</v>
      </c>
      <c r="F27" s="1"/>
      <c r="G27" s="1"/>
    </row>
    <row r="28" spans="1:15" x14ac:dyDescent="0.35">
      <c r="A28" s="2"/>
      <c r="B28" s="8">
        <v>10.019178082191781</v>
      </c>
      <c r="C28" s="9">
        <v>4.0153000000000001E-2</v>
      </c>
      <c r="F28" s="1"/>
      <c r="G28" s="1"/>
    </row>
    <row r="29" spans="1:15" x14ac:dyDescent="0.35">
      <c r="A29" s="2"/>
      <c r="B29" s="8">
        <v>12.019178082191781</v>
      </c>
      <c r="C29" s="9">
        <v>4.0266000000000003E-2</v>
      </c>
      <c r="F29" s="1"/>
      <c r="G29" s="1"/>
    </row>
    <row r="30" spans="1:15" x14ac:dyDescent="0.35">
      <c r="A30" s="2"/>
      <c r="B30" s="8">
        <v>15.024657534246575</v>
      </c>
      <c r="C30" s="9">
        <v>4.0155999999999997E-2</v>
      </c>
      <c r="F30" s="1"/>
      <c r="G30" s="1"/>
    </row>
    <row r="31" spans="1:15" x14ac:dyDescent="0.35">
      <c r="A31" s="2"/>
      <c r="B31" s="8">
        <v>20.030136986301368</v>
      </c>
      <c r="C31" s="9">
        <v>3.8306E-2</v>
      </c>
      <c r="F31" s="1"/>
      <c r="G31" s="1"/>
    </row>
    <row r="32" spans="1:15" x14ac:dyDescent="0.35">
      <c r="A32" s="2"/>
      <c r="B32" s="8">
        <v>25.035616438356165</v>
      </c>
      <c r="C32" s="9">
        <v>3.6707000000000004E-2</v>
      </c>
      <c r="F32" s="1"/>
      <c r="G32" s="1"/>
    </row>
    <row r="33" spans="1:7" x14ac:dyDescent="0.35">
      <c r="A33" s="2"/>
      <c r="B33" s="8">
        <v>30.032876712328768</v>
      </c>
      <c r="C33" s="9">
        <v>3.5825000000000003E-2</v>
      </c>
      <c r="F33" s="1"/>
      <c r="G33" s="1"/>
    </row>
    <row r="34" spans="1:7" x14ac:dyDescent="0.4">
      <c r="F34" s="1"/>
      <c r="G34" s="1"/>
    </row>
    <row r="35" spans="1:7" x14ac:dyDescent="0.4">
      <c r="F35" s="1"/>
      <c r="G35" s="1"/>
    </row>
  </sheetData>
  <mergeCells count="49">
    <mergeCell ref="J5:K5"/>
    <mergeCell ref="L5:M5"/>
    <mergeCell ref="J3:K3"/>
    <mergeCell ref="L3:M3"/>
    <mergeCell ref="B4:C4"/>
    <mergeCell ref="D4:E4"/>
    <mergeCell ref="F4:G4"/>
    <mergeCell ref="H4:I4"/>
    <mergeCell ref="B3:C3"/>
    <mergeCell ref="D3:E3"/>
    <mergeCell ref="F3:G3"/>
    <mergeCell ref="H3:I3"/>
    <mergeCell ref="J4:K4"/>
    <mergeCell ref="L4:M4"/>
    <mergeCell ref="B5:C5"/>
    <mergeCell ref="D5:E5"/>
    <mergeCell ref="F5:G5"/>
    <mergeCell ref="H5:I5"/>
    <mergeCell ref="B6:C6"/>
    <mergeCell ref="D6:E6"/>
    <mergeCell ref="F6:G6"/>
    <mergeCell ref="H6:I6"/>
    <mergeCell ref="N6:O6"/>
    <mergeCell ref="P6:Q6"/>
    <mergeCell ref="B7:C7"/>
    <mergeCell ref="D7:E7"/>
    <mergeCell ref="F7:G7"/>
    <mergeCell ref="H7:I7"/>
    <mergeCell ref="N7:O7"/>
    <mergeCell ref="P7:Q7"/>
    <mergeCell ref="N9:O9"/>
    <mergeCell ref="P9:Q9"/>
    <mergeCell ref="B10:C10"/>
    <mergeCell ref="D10:E10"/>
    <mergeCell ref="F8:G8"/>
    <mergeCell ref="H8:I8"/>
    <mergeCell ref="B9:C9"/>
    <mergeCell ref="D9:E9"/>
    <mergeCell ref="F9:G9"/>
    <mergeCell ref="H9:I9"/>
    <mergeCell ref="N10:O10"/>
    <mergeCell ref="P10:Q10"/>
    <mergeCell ref="F13:G13"/>
    <mergeCell ref="F12:G12"/>
    <mergeCell ref="F10:G10"/>
    <mergeCell ref="H10:I10"/>
    <mergeCell ref="B11:C12"/>
    <mergeCell ref="F11:G11"/>
    <mergeCell ref="I11:I12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Sheet1.BSCapFloor">
                <anchor moveWithCells="1" sizeWithCells="1">
                  <from>
                    <xdr:col>9</xdr:col>
                    <xdr:colOff>784860</xdr:colOff>
                    <xdr:row>5</xdr:row>
                    <xdr:rowOff>30480</xdr:rowOff>
                  </from>
                  <to>
                    <xdr:col>12</xdr:col>
                    <xdr:colOff>60960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2023-12-12T03:19:45Z</dcterms:created>
  <dcterms:modified xsi:type="dcterms:W3CDTF">2024-01-01T08:21:59Z</dcterms:modified>
</cp:coreProperties>
</file>