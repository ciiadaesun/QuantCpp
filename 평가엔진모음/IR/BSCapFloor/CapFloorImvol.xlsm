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BSCapFloor\"/>
    </mc:Choice>
  </mc:AlternateContent>
  <bookViews>
    <workbookView xWindow="0" yWindow="0" windowWidth="23040" windowHeight="9108" activeTab="1"/>
  </bookViews>
  <sheets>
    <sheet name="Sheet1" sheetId="1" r:id="rId1"/>
    <sheet name="ImvolConvert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2" l="1"/>
  <c r="N23" i="2"/>
  <c r="N22" i="2"/>
  <c r="N21" i="2"/>
  <c r="N20" i="2"/>
  <c r="N19" i="2"/>
  <c r="N18" i="2"/>
  <c r="N17" i="2"/>
  <c r="N16" i="2"/>
  <c r="N15" i="2"/>
  <c r="F8" i="2" l="1"/>
  <c r="N13" i="2" l="1"/>
  <c r="I11" i="2"/>
  <c r="F6" i="2"/>
  <c r="C1" i="2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B1" i="2"/>
  <c r="D5" i="1" l="1"/>
  <c r="D4" i="1"/>
  <c r="C33" i="1" l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<sst xmlns="http://schemas.openxmlformats.org/spreadsheetml/2006/main" count="46" uniqueCount="27">
  <si>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</si>
  <si>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</si>
  <si>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</si>
  <si>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</si>
  <si>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</si>
  <si>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</si>
  <si>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</si>
  <si>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</si>
  <si>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</si>
  <si>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</si>
  <si>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</si>
  <si>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</si>
  <si>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</si>
  <si>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</si>
  <si>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</si>
  <si>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첫 Fixing금리(존재할경우)</t>
    <phoneticPr fontId="2" type="noConversion"/>
  </si>
  <si>
    <t>Price</t>
    <phoneticPr fontId="2" type="noConversion"/>
  </si>
  <si>
    <t>Implied Volatility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</si>
  <si>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</si>
  <si>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</si>
  <si>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</si>
  <si>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Term(Month)</t>
    <phoneticPr fontId="2" type="noConversion"/>
  </si>
  <si>
    <t>Price(BID)</t>
    <phoneticPr fontId="2" type="noConversion"/>
  </si>
  <si>
    <t>Price(ASK)</t>
    <phoneticPr fontId="2" type="noConversion"/>
  </si>
  <si>
    <t>Output</t>
    <phoneticPr fontId="2" type="noConversion"/>
  </si>
  <si>
    <t>Imvol(BID)</t>
    <phoneticPr fontId="2" type="noConversion"/>
  </si>
  <si>
    <t>Imvol(ASK)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</si>
</sst>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[$-F400]h:mm:ss\ AM/PM"/>
    <numFmt numFmtId="177" formatCode="0.0000%"/>
    <numFmt numFmtId="178" formatCode="0.0_);[Red]\(0.0\)"/>
    <numFmt numFmtId="179" formatCode="0.00_);[Red]\(0.00\)"/>
    <numFmt numFmtId="180" formatCode="0.000000_);[Red]\(0.000000\)"/>
    <numFmt numFmtId="181" formatCode="0.000%"/>
    <numFmt numFmtId="182" formatCode="0_);[Red]\(0\)"/>
    <numFmt numFmtId="183" formatCode="0.0000000_);[Red]\(0.000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79" fontId="8" fillId="8" borderId="0" xfId="0" applyNumberFormat="1" applyFont="1" applyFill="1" applyBorder="1" applyAlignment="1">
      <alignment vertical="center"/>
    </xf>
    <xf numFmtId="177" fontId="9" fillId="8" borderId="0" xfId="0" applyNumberFormat="1" applyFont="1" applyFill="1" applyBorder="1" applyAlignment="1"/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79" fontId="7" fillId="8" borderId="0" xfId="0" applyNumberFormat="1" applyFont="1" applyFill="1">
      <alignment vertical="center"/>
    </xf>
    <xf numFmtId="177" fontId="0" fillId="8" borderId="0" xfId="1" applyNumberFormat="1" applyFont="1" applyFill="1">
      <alignment vertical="center"/>
    </xf>
    <xf numFmtId="179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9" fontId="0" fillId="2" borderId="0" xfId="0" applyNumberFormat="1" applyFill="1">
      <alignment vertical="center"/>
    </xf>
    <xf numFmtId="0" fontId="3" fillId="7" borderId="0" xfId="0" applyFont="1" applyFill="1" applyBorder="1" applyAlignment="1">
      <alignment vertical="center"/>
    </xf>
    <xf numFmtId="182" fontId="9" fillId="8" borderId="0" xfId="0" applyNumberFormat="1" applyFont="1" applyFill="1" applyBorder="1" applyAlignment="1"/>
    <xf numFmtId="183" fontId="9" fillId="8" borderId="0" xfId="0" applyNumberFormat="1" applyFont="1" applyFill="1" applyBorder="1" applyAlignment="1"/>
    <xf numFmtId="0" fontId="3" fillId="5" borderId="0" xfId="0" applyFont="1" applyFill="1" applyBorder="1" applyAlignment="1">
      <alignment vertical="center"/>
    </xf>
    <xf numFmtId="182" fontId="9" fillId="9" borderId="0" xfId="0" applyNumberFormat="1" applyFont="1" applyFill="1" applyBorder="1" applyAlignment="1"/>
    <xf numFmtId="177" fontId="9" fillId="9" borderId="0" xfId="1" applyNumberFormat="1" applyFont="1" applyFill="1" applyBorder="1" applyAlignment="1"/>
    <xf numFmtId="180" fontId="9" fillId="8" borderId="0" xfId="1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81" fontId="0" fillId="6" borderId="0" xfId="1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160020</xdr:colOff>
          <xdr:row>5</xdr:row>
          <xdr:rowOff>152400</xdr:rowOff>
        </xdr:from>
        <xdr:to>
          <xdr:col>12</xdr:col>
          <xdr:colOff>114300</xdr:colOff>
          <xdr:row>11</xdr:row>
          <xdr:rowOff>167640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Implied Vol 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5</xdr:row>
          <xdr:rowOff>198120</xdr:rowOff>
        </xdr:from>
        <xdr:to>
          <xdr:col>11</xdr:col>
          <xdr:colOff>411480</xdr:colOff>
          <xdr:row>8</xdr:row>
          <xdr:rowOff>68580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Imvol계산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0"/>
  <sheetViews>
    <sheetView topLeftCell="B1" workbookViewId="0">
      <selection activeCell="O18" sqref="O18"/>
    </sheetView>
  </sheetViews>
  <sheetFormatPr defaultColWidth="11.5" defaultRowHeight="17.399999999999999" x14ac:dyDescent="0.4"/>
  <cols>
    <col min="1" max="1" width="11.5" style="1"/>
    <col min="2" max="2" width="11.5" style="7"/>
    <col min="3" max="3" width="11.5" style="8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F2" s="1"/>
      <c r="G2" s="1"/>
      <c r="I2" s="1"/>
      <c r="N2" s="1"/>
      <c r="O2" s="1"/>
    </row>
    <row r="3" spans="1:17" x14ac:dyDescent="0.4">
      <c r="B3" s="20" t="s">
        <v>0</v>
      </c>
      <c r="C3" s="20"/>
      <c r="D3" s="30">
        <v>45205</v>
      </c>
      <c r="E3" s="27"/>
      <c r="F3" s="20" t="s">
        <v>1</v>
      </c>
      <c r="G3" s="20"/>
      <c r="H3" s="21">
        <v>0</v>
      </c>
      <c r="I3" s="21"/>
      <c r="J3" s="22" t="s">
        <v>15</v>
      </c>
      <c r="K3" s="23"/>
      <c r="L3" s="24">
        <v>0</v>
      </c>
      <c r="M3" s="24"/>
      <c r="N3" s="1"/>
      <c r="O3" s="1"/>
    </row>
    <row r="4" spans="1:17" x14ac:dyDescent="0.4">
      <c r="B4" s="20" t="s">
        <v>12</v>
      </c>
      <c r="C4" s="20"/>
      <c r="D4" s="30">
        <f>D3</f>
        <v>45205</v>
      </c>
      <c r="E4" s="27"/>
      <c r="F4" s="20" t="s">
        <v>2</v>
      </c>
      <c r="G4" s="20"/>
      <c r="H4" s="27">
        <v>0</v>
      </c>
      <c r="I4" s="27"/>
      <c r="J4" s="20" t="s">
        <v>18</v>
      </c>
      <c r="K4" s="20"/>
      <c r="L4" s="27">
        <v>0</v>
      </c>
      <c r="M4" s="27"/>
      <c r="N4" s="1"/>
      <c r="O4" s="1"/>
    </row>
    <row r="5" spans="1:17" x14ac:dyDescent="0.4">
      <c r="B5" s="20" t="s">
        <v>13</v>
      </c>
      <c r="C5" s="20"/>
      <c r="D5" s="30">
        <f>EDATE(D4,12)</f>
        <v>45571</v>
      </c>
      <c r="E5" s="27"/>
      <c r="F5" s="20" t="s">
        <v>3</v>
      </c>
      <c r="G5" s="20"/>
      <c r="H5" s="21">
        <v>1</v>
      </c>
      <c r="I5" s="21"/>
      <c r="J5" s="20" t="s">
        <v>20</v>
      </c>
      <c r="K5" s="20"/>
      <c r="L5" s="27">
        <v>1</v>
      </c>
      <c r="M5" s="27"/>
      <c r="N5" s="1"/>
      <c r="O5" s="1"/>
    </row>
    <row r="6" spans="1:17" x14ac:dyDescent="0.4">
      <c r="B6" s="22" t="s">
        <v>4</v>
      </c>
      <c r="C6" s="23"/>
      <c r="D6" s="27">
        <v>0</v>
      </c>
      <c r="E6" s="27"/>
      <c r="F6" s="20" t="str">
        <f>IF(H5 = 1, "HolidayNation","Not Used")</f>
        <v>HolidayNation</v>
      </c>
      <c r="G6" s="20"/>
      <c r="H6" s="21">
        <v>0</v>
      </c>
      <c r="I6" s="21"/>
      <c r="N6" s="25" t="s">
        <v>5</v>
      </c>
      <c r="O6" s="25"/>
      <c r="P6" s="29">
        <v>45273.94394675926</v>
      </c>
      <c r="Q6" s="29"/>
    </row>
    <row r="7" spans="1:17" x14ac:dyDescent="0.4">
      <c r="B7" s="22" t="s">
        <v>6</v>
      </c>
      <c r="C7" s="23"/>
      <c r="D7" s="27">
        <v>4</v>
      </c>
      <c r="E7" s="27"/>
      <c r="F7" s="1"/>
      <c r="G7" s="1"/>
      <c r="I7" s="1"/>
      <c r="N7" s="25" t="s">
        <v>7</v>
      </c>
      <c r="O7" s="25"/>
      <c r="P7" s="29">
        <v>45273.94394675926</v>
      </c>
      <c r="Q7" s="29"/>
    </row>
    <row r="8" spans="1:17" x14ac:dyDescent="0.4">
      <c r="B8" s="1"/>
      <c r="C8" s="1"/>
      <c r="F8" s="22" t="s">
        <v>8</v>
      </c>
      <c r="G8" s="23"/>
      <c r="H8" s="24">
        <v>3.9967291747879802E-2</v>
      </c>
      <c r="I8" s="24"/>
      <c r="N8" s="1"/>
      <c r="O8" s="1"/>
    </row>
    <row r="9" spans="1:17" x14ac:dyDescent="0.4">
      <c r="B9" s="22" t="s">
        <v>9</v>
      </c>
      <c r="C9" s="23"/>
      <c r="D9" s="27">
        <v>1</v>
      </c>
      <c r="E9" s="27"/>
      <c r="F9" s="22" t="s">
        <v>10</v>
      </c>
      <c r="G9" s="23"/>
      <c r="H9" s="28">
        <v>1</v>
      </c>
      <c r="I9" s="28"/>
      <c r="N9" s="25" t="s">
        <v>17</v>
      </c>
      <c r="O9" s="25"/>
      <c r="P9" s="26">
        <v>2.135476214885712E-2</v>
      </c>
      <c r="Q9" s="26"/>
    </row>
    <row r="10" spans="1:17" x14ac:dyDescent="0.4">
      <c r="B10" s="22" t="s">
        <v>14</v>
      </c>
      <c r="C10" s="23"/>
      <c r="D10" s="27">
        <v>0</v>
      </c>
      <c r="E10" s="27"/>
      <c r="F10" s="20" t="s">
        <v>19</v>
      </c>
      <c r="G10" s="20"/>
      <c r="H10" s="21">
        <v>0</v>
      </c>
      <c r="I10" s="21"/>
      <c r="N10" s="1"/>
      <c r="O10" s="1"/>
    </row>
    <row r="11" spans="1:17" x14ac:dyDescent="0.4">
      <c r="B11" s="19" t="s">
        <v>11</v>
      </c>
      <c r="C11" s="19"/>
      <c r="F11" s="19"/>
      <c r="G11" s="19"/>
      <c r="I11" s="19" t="str">
        <f>IF(H5=1,"NotUsed","Holiday")</f>
        <v>NotUsed</v>
      </c>
      <c r="N11" s="1"/>
      <c r="O11" s="1"/>
    </row>
    <row r="12" spans="1:17" x14ac:dyDescent="0.4">
      <c r="B12" s="19"/>
      <c r="C12" s="19"/>
      <c r="F12" s="19" t="s">
        <v>16</v>
      </c>
      <c r="G12" s="19"/>
      <c r="I12" s="19"/>
      <c r="N12" s="1"/>
      <c r="O12" s="1"/>
    </row>
    <row r="13" spans="1:17" x14ac:dyDescent="0.35">
      <c r="A13" s="2">
        <v>45209</v>
      </c>
      <c r="B13" s="3">
        <f>(A13-$D$3)/365</f>
        <v>1.0958904109589041E-2</v>
      </c>
      <c r="C13" s="4">
        <f>D13/100</f>
        <v>3.5263000000000003E-2</v>
      </c>
      <c r="D13" s="1">
        <v>3.5263</v>
      </c>
      <c r="E13" s="2">
        <v>45236</v>
      </c>
      <c r="F13" s="18">
        <v>4.3E-3</v>
      </c>
      <c r="G13" s="18"/>
      <c r="I13" s="5">
        <v>43101</v>
      </c>
      <c r="N13" s="1"/>
      <c r="O13" s="1"/>
    </row>
    <row r="14" spans="1:17" x14ac:dyDescent="0.35">
      <c r="A14" s="2">
        <v>45210</v>
      </c>
      <c r="B14" s="3">
        <f t="shared" ref="B14:B33" si="1">(A14-$D$3)/365</f>
        <v>1.3698630136986301E-2</v>
      </c>
      <c r="C14" s="4">
        <f t="shared" ref="C14:C33" si="2">D14/100</f>
        <v>3.5270999999999997E-2</v>
      </c>
      <c r="D14" s="1">
        <v>3.5270999999999999</v>
      </c>
      <c r="E14" s="2">
        <v>45297</v>
      </c>
      <c r="F14" s="1"/>
      <c r="G14" s="1"/>
      <c r="I14" s="5">
        <v>43146</v>
      </c>
      <c r="N14" s="1"/>
      <c r="O14" s="1"/>
    </row>
    <row r="15" spans="1:17" x14ac:dyDescent="0.35">
      <c r="A15" s="2">
        <v>45301</v>
      </c>
      <c r="B15" s="3">
        <f t="shared" si="1"/>
        <v>0.26301369863013696</v>
      </c>
      <c r="C15" s="4">
        <f t="shared" si="2"/>
        <v>3.7902999999999999E-2</v>
      </c>
      <c r="D15" s="1">
        <v>3.7902999999999998</v>
      </c>
      <c r="E15" s="2">
        <v>45390</v>
      </c>
      <c r="F15" s="1"/>
      <c r="G15" s="1"/>
      <c r="I15" s="5">
        <v>43147</v>
      </c>
      <c r="N15" s="1"/>
      <c r="O15" s="1"/>
    </row>
    <row r="16" spans="1:17" x14ac:dyDescent="0.35">
      <c r="A16" s="2">
        <v>45393</v>
      </c>
      <c r="B16" s="3">
        <f t="shared" si="1"/>
        <v>0.51506849315068493</v>
      </c>
      <c r="C16" s="4">
        <f t="shared" si="2"/>
        <v>3.8933000000000002E-2</v>
      </c>
      <c r="D16" s="1">
        <v>3.8933</v>
      </c>
      <c r="E16" s="2">
        <v>45481</v>
      </c>
      <c r="F16" s="1"/>
      <c r="G16" s="1"/>
      <c r="I16" s="5">
        <v>43148</v>
      </c>
      <c r="N16" s="1"/>
      <c r="O16" s="1"/>
    </row>
    <row r="17" spans="1:15" x14ac:dyDescent="0.35">
      <c r="A17" s="2">
        <v>45483</v>
      </c>
      <c r="B17" s="3">
        <f t="shared" si="1"/>
        <v>0.76164383561643834</v>
      </c>
      <c r="C17" s="4">
        <f t="shared" si="2"/>
        <v>3.9302999999999998E-2</v>
      </c>
      <c r="D17" s="1">
        <v>3.9302999999999999</v>
      </c>
      <c r="E17" s="2">
        <v>45572</v>
      </c>
      <c r="F17" s="1"/>
      <c r="G17" s="1"/>
      <c r="I17" s="5">
        <v>43160</v>
      </c>
      <c r="N17" s="1"/>
      <c r="O17" s="1"/>
    </row>
    <row r="18" spans="1:15" x14ac:dyDescent="0.35">
      <c r="A18" s="2">
        <v>45575</v>
      </c>
      <c r="B18" s="3">
        <f t="shared" si="1"/>
        <v>1.0136986301369864</v>
      </c>
      <c r="C18" s="4">
        <f t="shared" si="2"/>
        <v>3.9365999999999998E-2</v>
      </c>
      <c r="D18" s="1">
        <v>3.9365999999999999</v>
      </c>
      <c r="E18" s="2">
        <v>45754</v>
      </c>
      <c r="F18" s="1"/>
      <c r="G18" s="1"/>
      <c r="I18" s="5">
        <v>43221</v>
      </c>
      <c r="N18" s="1"/>
      <c r="O18" s="1"/>
    </row>
    <row r="19" spans="1:15" x14ac:dyDescent="0.35">
      <c r="A19" s="2">
        <v>45757</v>
      </c>
      <c r="B19" s="3">
        <f t="shared" si="1"/>
        <v>1.5123287671232877</v>
      </c>
      <c r="C19" s="4">
        <f t="shared" si="2"/>
        <v>3.9529000000000002E-2</v>
      </c>
      <c r="D19" s="1">
        <v>3.9529000000000001</v>
      </c>
      <c r="E19" s="2">
        <v>45940</v>
      </c>
      <c r="F19" s="1"/>
      <c r="G19" s="1"/>
      <c r="I19" s="5">
        <v>43227</v>
      </c>
      <c r="N19" s="1"/>
      <c r="O19" s="1"/>
    </row>
    <row r="20" spans="1:15" x14ac:dyDescent="0.35">
      <c r="A20" s="2">
        <v>45940</v>
      </c>
      <c r="B20" s="3">
        <f t="shared" si="1"/>
        <v>2.0136986301369864</v>
      </c>
      <c r="C20" s="4">
        <f t="shared" si="2"/>
        <v>3.9586000000000003E-2</v>
      </c>
      <c r="D20" s="1">
        <v>3.9586000000000001</v>
      </c>
      <c r="E20" s="2">
        <v>46301</v>
      </c>
      <c r="F20" s="1"/>
      <c r="G20" s="1"/>
      <c r="I20" s="5">
        <v>43242</v>
      </c>
      <c r="N20" s="1"/>
      <c r="O20" s="1"/>
    </row>
    <row r="21" spans="1:15" x14ac:dyDescent="0.35">
      <c r="A21" s="2">
        <v>46307</v>
      </c>
      <c r="B21" s="3">
        <f t="shared" si="1"/>
        <v>3.0191780821917806</v>
      </c>
      <c r="C21" s="4">
        <f t="shared" si="2"/>
        <v>3.9591000000000001E-2</v>
      </c>
      <c r="D21" s="1">
        <v>3.9590999999999998</v>
      </c>
      <c r="E21" s="2">
        <v>46666</v>
      </c>
      <c r="F21" s="1"/>
      <c r="G21" s="1"/>
      <c r="I21" s="5">
        <v>43257</v>
      </c>
      <c r="N21" s="1"/>
      <c r="O21" s="1"/>
    </row>
    <row r="22" spans="1:15" x14ac:dyDescent="0.35">
      <c r="A22" s="2">
        <v>46671</v>
      </c>
      <c r="B22" s="3">
        <f t="shared" si="1"/>
        <v>4.0164383561643833</v>
      </c>
      <c r="C22" s="4">
        <f t="shared" si="2"/>
        <v>3.9673E-2</v>
      </c>
      <c r="D22" s="1">
        <v>3.9672999999999998</v>
      </c>
      <c r="E22" s="2">
        <v>47032</v>
      </c>
      <c r="F22" s="1"/>
      <c r="G22" s="1"/>
      <c r="N22" s="1"/>
      <c r="O22" s="1"/>
    </row>
    <row r="23" spans="1:15" x14ac:dyDescent="0.35">
      <c r="A23" s="2">
        <v>47036</v>
      </c>
      <c r="B23" s="3">
        <f t="shared" si="1"/>
        <v>5.0164383561643833</v>
      </c>
      <c r="C23" s="4">
        <f t="shared" si="2"/>
        <v>3.9701E-2</v>
      </c>
      <c r="D23" s="1">
        <v>3.9701</v>
      </c>
      <c r="E23" s="2">
        <v>47763</v>
      </c>
      <c r="F23" s="1"/>
      <c r="G23" s="1"/>
      <c r="N23" s="1"/>
      <c r="O23" s="1"/>
    </row>
    <row r="24" spans="1:15" x14ac:dyDescent="0.35">
      <c r="A24" s="2">
        <v>47401</v>
      </c>
      <c r="B24" s="3">
        <f t="shared" si="1"/>
        <v>6.0164383561643833</v>
      </c>
      <c r="C24" s="4">
        <f t="shared" si="2"/>
        <v>3.9782999999999999E-2</v>
      </c>
      <c r="D24" s="1">
        <v>3.9782999999999999</v>
      </c>
      <c r="E24" s="2">
        <v>48858</v>
      </c>
      <c r="F24" s="1"/>
      <c r="G24" s="1"/>
      <c r="N24" s="1"/>
      <c r="O24" s="1"/>
    </row>
    <row r="25" spans="1:15" x14ac:dyDescent="0.35">
      <c r="A25" s="2">
        <v>47766</v>
      </c>
      <c r="B25" s="3">
        <f t="shared" si="1"/>
        <v>7.0164383561643833</v>
      </c>
      <c r="C25" s="4">
        <f t="shared" si="2"/>
        <v>3.9837999999999998E-2</v>
      </c>
      <c r="D25" s="1">
        <v>3.9838</v>
      </c>
      <c r="E25" s="2">
        <v>50791</v>
      </c>
      <c r="F25" s="1"/>
      <c r="G25" s="1"/>
      <c r="N25" s="1"/>
      <c r="O25" s="1"/>
    </row>
    <row r="26" spans="1:15" x14ac:dyDescent="0.35">
      <c r="A26" s="2">
        <v>48131</v>
      </c>
      <c r="B26" s="3">
        <f t="shared" si="1"/>
        <v>8.0164383561643842</v>
      </c>
      <c r="C26" s="4">
        <f t="shared" si="2"/>
        <v>3.9923E-2</v>
      </c>
      <c r="D26" s="1">
        <v>3.9923000000000002</v>
      </c>
      <c r="F26" s="1"/>
      <c r="G26" s="1"/>
      <c r="N26" s="1"/>
      <c r="O26" s="1"/>
    </row>
    <row r="27" spans="1:15" x14ac:dyDescent="0.35">
      <c r="A27" s="2">
        <v>48498</v>
      </c>
      <c r="B27" s="3">
        <f t="shared" si="1"/>
        <v>9.0219178082191789</v>
      </c>
      <c r="C27" s="4">
        <f t="shared" si="2"/>
        <v>4.0037000000000003E-2</v>
      </c>
      <c r="D27" s="1">
        <v>4.0037000000000003</v>
      </c>
      <c r="F27" s="1"/>
      <c r="G27" s="1"/>
      <c r="N27" s="1"/>
      <c r="O27" s="1"/>
    </row>
    <row r="28" spans="1:15" x14ac:dyDescent="0.35">
      <c r="A28" s="2">
        <v>48862</v>
      </c>
      <c r="B28" s="3">
        <f t="shared" si="1"/>
        <v>10.019178082191781</v>
      </c>
      <c r="C28" s="4">
        <f t="shared" si="2"/>
        <v>4.0153000000000001E-2</v>
      </c>
      <c r="D28" s="1">
        <v>4.0152999999999999</v>
      </c>
      <c r="F28" s="1"/>
      <c r="G28" s="1"/>
      <c r="N28" s="1"/>
      <c r="O28" s="1"/>
    </row>
    <row r="29" spans="1:15" x14ac:dyDescent="0.35">
      <c r="A29" s="2">
        <v>49592</v>
      </c>
      <c r="B29" s="3">
        <f t="shared" si="1"/>
        <v>12.019178082191781</v>
      </c>
      <c r="C29" s="4">
        <f t="shared" si="2"/>
        <v>4.0266000000000003E-2</v>
      </c>
      <c r="D29" s="1">
        <v>4.0266000000000002</v>
      </c>
      <c r="F29" s="1"/>
      <c r="G29" s="1"/>
      <c r="N29" s="1"/>
      <c r="O29" s="1"/>
    </row>
    <row r="30" spans="1:15" x14ac:dyDescent="0.35">
      <c r="A30" s="2">
        <v>50689</v>
      </c>
      <c r="B30" s="3">
        <f t="shared" si="1"/>
        <v>15.024657534246575</v>
      </c>
      <c r="C30" s="4">
        <f t="shared" si="2"/>
        <v>4.0155999999999997E-2</v>
      </c>
      <c r="D30" s="1">
        <v>4.0156000000000001</v>
      </c>
      <c r="F30" s="1"/>
      <c r="G30" s="1"/>
      <c r="N30" s="1"/>
      <c r="O30" s="1"/>
    </row>
    <row r="31" spans="1:15" x14ac:dyDescent="0.35">
      <c r="A31" s="2">
        <v>52516</v>
      </c>
      <c r="B31" s="3">
        <f t="shared" si="1"/>
        <v>20.030136986301368</v>
      </c>
      <c r="C31" s="4">
        <f t="shared" si="2"/>
        <v>3.8306E-2</v>
      </c>
      <c r="D31" s="1">
        <v>3.8306</v>
      </c>
      <c r="F31" s="1"/>
      <c r="G31" s="1"/>
      <c r="N31" s="1"/>
      <c r="O31" s="1"/>
    </row>
    <row r="32" spans="1:15" x14ac:dyDescent="0.35">
      <c r="A32" s="2">
        <v>54343</v>
      </c>
      <c r="B32" s="3">
        <f t="shared" si="1"/>
        <v>25.035616438356165</v>
      </c>
      <c r="C32" s="4">
        <f t="shared" si="2"/>
        <v>3.6707000000000004E-2</v>
      </c>
      <c r="D32" s="1">
        <v>3.6707000000000001</v>
      </c>
      <c r="F32" s="1"/>
      <c r="G32" s="1"/>
      <c r="N32" s="1"/>
      <c r="O32" s="1"/>
    </row>
    <row r="33" spans="1:15" x14ac:dyDescent="0.35">
      <c r="A33" s="2">
        <v>56167</v>
      </c>
      <c r="B33" s="3">
        <f t="shared" si="1"/>
        <v>30.032876712328768</v>
      </c>
      <c r="C33" s="4">
        <f t="shared" si="2"/>
        <v>3.5825000000000003E-2</v>
      </c>
      <c r="D33" s="1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  <row r="40" spans="1:15" x14ac:dyDescent="0.4">
      <c r="N40" s="1"/>
      <c r="O40" s="1"/>
    </row>
  </sheetData>
  <mergeCells count="45"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L4:M4"/>
    <mergeCell ref="B5:C5"/>
    <mergeCell ref="D5:E5"/>
    <mergeCell ref="F5:G5"/>
    <mergeCell ref="H5:I5"/>
    <mergeCell ref="P6:Q6"/>
    <mergeCell ref="B7:C7"/>
    <mergeCell ref="D7:E7"/>
    <mergeCell ref="N7:O7"/>
    <mergeCell ref="P7:Q7"/>
    <mergeCell ref="B6:C6"/>
    <mergeCell ref="D6:E6"/>
    <mergeCell ref="F6:G6"/>
    <mergeCell ref="H6:I6"/>
    <mergeCell ref="N6:O6"/>
    <mergeCell ref="N9:O9"/>
    <mergeCell ref="P9:Q9"/>
    <mergeCell ref="B10:C10"/>
    <mergeCell ref="D10:E10"/>
    <mergeCell ref="B11:C12"/>
    <mergeCell ref="F11:G11"/>
    <mergeCell ref="I11:I12"/>
    <mergeCell ref="B9:C9"/>
    <mergeCell ref="D9:E9"/>
    <mergeCell ref="F9:G9"/>
    <mergeCell ref="H9:I9"/>
    <mergeCell ref="F13:G13"/>
    <mergeCell ref="F12:G12"/>
    <mergeCell ref="F10:G10"/>
    <mergeCell ref="H10:I10"/>
    <mergeCell ref="J4:K4"/>
    <mergeCell ref="F8:G8"/>
    <mergeCell ref="H8:I8"/>
    <mergeCell ref="J5:K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BSCapFloor">
                <anchor moveWithCells="1" sizeWithCells="1">
                  <from>
                    <xdr:col>10</xdr:col>
                    <xdr:colOff>160020</xdr:colOff>
                    <xdr:row>5</xdr:row>
                    <xdr:rowOff>152400</xdr:rowOff>
                  </from>
                  <to>
                    <xdr:col>12</xdr:col>
                    <xdr:colOff>114300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40"/>
  <sheetViews>
    <sheetView tabSelected="1" topLeftCell="C1" workbookViewId="0">
      <selection activeCell="L14" sqref="L14"/>
    </sheetView>
  </sheetViews>
  <sheetFormatPr defaultColWidth="11.5" defaultRowHeight="17.399999999999999" x14ac:dyDescent="0.4"/>
  <cols>
    <col min="1" max="1" width="11.5" style="1"/>
    <col min="2" max="2" width="11.5" style="7"/>
    <col min="3" max="3" width="11.5" style="8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8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8" x14ac:dyDescent="0.4">
      <c r="B2" s="1"/>
      <c r="C2" s="1"/>
      <c r="D2" s="1">
        <v>1</v>
      </c>
      <c r="F2" s="1"/>
      <c r="G2" s="1"/>
      <c r="I2" s="1"/>
      <c r="N2" s="1"/>
      <c r="O2" s="1"/>
    </row>
    <row r="3" spans="1:18" x14ac:dyDescent="0.4">
      <c r="B3" s="20" t="s">
        <v>0</v>
      </c>
      <c r="C3" s="20"/>
      <c r="D3" s="30">
        <v>45205</v>
      </c>
      <c r="E3" s="27"/>
      <c r="F3" s="20" t="s">
        <v>1</v>
      </c>
      <c r="G3" s="20"/>
      <c r="H3" s="21">
        <v>0</v>
      </c>
      <c r="I3" s="21"/>
      <c r="J3" s="22" t="s">
        <v>15</v>
      </c>
      <c r="K3" s="23"/>
      <c r="L3" s="24">
        <v>0</v>
      </c>
      <c r="M3" s="24"/>
      <c r="N3" s="1"/>
      <c r="O3" s="1"/>
    </row>
    <row r="4" spans="1:18" x14ac:dyDescent="0.4">
      <c r="B4" s="1"/>
      <c r="C4" s="1"/>
      <c r="F4" s="20" t="s">
        <v>2</v>
      </c>
      <c r="G4" s="20"/>
      <c r="H4" s="27">
        <v>0</v>
      </c>
      <c r="I4" s="27"/>
      <c r="J4" s="20" t="s">
        <v>18</v>
      </c>
      <c r="K4" s="20"/>
      <c r="L4" s="27">
        <v>0</v>
      </c>
      <c r="M4" s="27"/>
      <c r="N4" s="1"/>
      <c r="O4" s="1"/>
    </row>
    <row r="5" spans="1:18" x14ac:dyDescent="0.4">
      <c r="B5" s="1"/>
      <c r="C5" s="1"/>
      <c r="F5" s="20" t="s">
        <v>3</v>
      </c>
      <c r="G5" s="20"/>
      <c r="H5" s="21">
        <v>1</v>
      </c>
      <c r="I5" s="21"/>
      <c r="J5" s="20" t="s">
        <v>20</v>
      </c>
      <c r="K5" s="20"/>
      <c r="L5" s="27">
        <v>2</v>
      </c>
      <c r="M5" s="27"/>
      <c r="N5" s="1"/>
      <c r="O5" s="1"/>
    </row>
    <row r="6" spans="1:18" x14ac:dyDescent="0.4">
      <c r="B6" s="22" t="s">
        <v>4</v>
      </c>
      <c r="C6" s="23"/>
      <c r="D6" s="27">
        <v>0</v>
      </c>
      <c r="E6" s="27"/>
      <c r="F6" s="20" t="str">
        <f>IF(H5 = 1, "HolidayNation","Not Used")</f>
        <v>HolidayNation</v>
      </c>
      <c r="G6" s="20"/>
      <c r="H6" s="21">
        <v>0</v>
      </c>
      <c r="I6" s="21"/>
      <c r="N6" s="25" t="s">
        <v>5</v>
      </c>
      <c r="O6" s="25"/>
      <c r="P6" s="29">
        <v>45292.724050925928</v>
      </c>
      <c r="Q6" s="29"/>
    </row>
    <row r="7" spans="1:18" x14ac:dyDescent="0.4">
      <c r="B7" s="22" t="s">
        <v>6</v>
      </c>
      <c r="C7" s="23"/>
      <c r="D7" s="27">
        <v>4</v>
      </c>
      <c r="E7" s="27"/>
      <c r="F7" s="1"/>
      <c r="G7" s="1"/>
      <c r="I7" s="1"/>
      <c r="N7" s="25" t="s">
        <v>7</v>
      </c>
      <c r="O7" s="25"/>
      <c r="P7" s="29">
        <v>45292.724050925928</v>
      </c>
      <c r="Q7" s="29"/>
    </row>
    <row r="8" spans="1:18" x14ac:dyDescent="0.4">
      <c r="B8" s="1"/>
      <c r="C8" s="1"/>
      <c r="F8" s="22" t="str">
        <f>IF(L5&gt;0, "사용X","행사금리")</f>
        <v>사용X</v>
      </c>
      <c r="G8" s="23"/>
      <c r="H8" s="24">
        <v>3.9967291747879802E-2</v>
      </c>
      <c r="I8" s="24"/>
      <c r="N8" s="1"/>
      <c r="O8" s="1"/>
    </row>
    <row r="9" spans="1:18" x14ac:dyDescent="0.4">
      <c r="B9" s="22" t="s">
        <v>9</v>
      </c>
      <c r="C9" s="23"/>
      <c r="D9" s="27">
        <v>1</v>
      </c>
      <c r="E9" s="27"/>
      <c r="F9" s="22" t="s">
        <v>10</v>
      </c>
      <c r="G9" s="23"/>
      <c r="H9" s="28">
        <v>1</v>
      </c>
      <c r="I9" s="28"/>
      <c r="N9" s="25" t="s">
        <v>17</v>
      </c>
      <c r="O9" s="25"/>
      <c r="P9" s="26"/>
      <c r="Q9" s="26"/>
    </row>
    <row r="10" spans="1:18" x14ac:dyDescent="0.4">
      <c r="B10" s="22" t="s">
        <v>14</v>
      </c>
      <c r="C10" s="23"/>
      <c r="D10" s="27">
        <v>0</v>
      </c>
      <c r="E10" s="27"/>
      <c r="F10" s="20" t="s">
        <v>19</v>
      </c>
      <c r="G10" s="20"/>
      <c r="H10" s="21">
        <v>0</v>
      </c>
      <c r="I10" s="21"/>
      <c r="N10" s="1"/>
      <c r="O10" s="1"/>
    </row>
    <row r="11" spans="1:18" x14ac:dyDescent="0.4">
      <c r="B11" s="19" t="s">
        <v>11</v>
      </c>
      <c r="C11" s="19"/>
      <c r="F11" s="1"/>
      <c r="G11" s="1"/>
      <c r="I11" s="19" t="str">
        <f>IF(H5=1,"NotUsed","Holiday")</f>
        <v>NotUsed</v>
      </c>
      <c r="N11" s="1"/>
      <c r="O11" s="1"/>
    </row>
    <row r="12" spans="1:18" x14ac:dyDescent="0.4">
      <c r="B12" s="19"/>
      <c r="C12" s="19"/>
      <c r="F12" s="1"/>
      <c r="G12" s="1"/>
      <c r="I12" s="19"/>
      <c r="N12" s="1"/>
      <c r="O12" s="1"/>
    </row>
    <row r="13" spans="1:18" x14ac:dyDescent="0.35">
      <c r="A13" s="2"/>
      <c r="B13" s="3">
        <v>1.0958904109589041E-2</v>
      </c>
      <c r="C13" s="4">
        <v>3.5263000000000003E-2</v>
      </c>
      <c r="E13" s="2"/>
      <c r="F13" s="1"/>
      <c r="G13" s="1"/>
      <c r="I13" s="5">
        <v>43101</v>
      </c>
      <c r="L13" s="19" t="s">
        <v>16</v>
      </c>
      <c r="M13" s="19"/>
      <c r="N13" s="12">
        <f>COUNT(L15:L1048576)</f>
        <v>10</v>
      </c>
      <c r="O13" s="1"/>
      <c r="P13" s="31" t="s">
        <v>24</v>
      </c>
      <c r="Q13" s="31"/>
      <c r="R13" s="15"/>
    </row>
    <row r="14" spans="1:18" x14ac:dyDescent="0.35">
      <c r="A14" s="2"/>
      <c r="B14" s="3">
        <v>1.3698630136986301E-2</v>
      </c>
      <c r="C14" s="4">
        <v>3.5270999999999997E-2</v>
      </c>
      <c r="E14" s="2"/>
      <c r="F14" s="1"/>
      <c r="G14" s="1"/>
      <c r="I14" s="5">
        <v>43146</v>
      </c>
      <c r="L14" s="12" t="s">
        <v>21</v>
      </c>
      <c r="M14" s="12" t="s">
        <v>22</v>
      </c>
      <c r="N14" s="12" t="s">
        <v>23</v>
      </c>
      <c r="O14" s="1"/>
      <c r="P14" s="15" t="s">
        <v>21</v>
      </c>
      <c r="Q14" s="15" t="s">
        <v>25</v>
      </c>
      <c r="R14" s="15" t="s">
        <v>26</v>
      </c>
    </row>
    <row r="15" spans="1:18" x14ac:dyDescent="0.35">
      <c r="A15" s="2"/>
      <c r="B15" s="3">
        <v>0.26301369863013696</v>
      </c>
      <c r="C15" s="4">
        <v>3.7902999999999999E-2</v>
      </c>
      <c r="E15" s="2"/>
      <c r="F15" s="1"/>
      <c r="G15" s="1"/>
      <c r="I15" s="5">
        <v>43147</v>
      </c>
      <c r="L15" s="13">
        <v>12</v>
      </c>
      <c r="M15" s="14">
        <v>4.3499999999999997E-3</v>
      </c>
      <c r="N15" s="14">
        <f>M15*1.035</f>
        <v>4.5022499999999993E-3</v>
      </c>
      <c r="O15" s="1"/>
      <c r="P15" s="16">
        <v>12</v>
      </c>
      <c r="Q15" s="17">
        <v>2.024437203407288E-2</v>
      </c>
      <c r="R15" s="17">
        <v>2.0992380404472356E-2</v>
      </c>
    </row>
    <row r="16" spans="1:18" x14ac:dyDescent="0.35">
      <c r="A16" s="2"/>
      <c r="B16" s="3">
        <v>0.51506849315068493</v>
      </c>
      <c r="C16" s="4">
        <v>3.8933000000000002E-2</v>
      </c>
      <c r="E16" s="2"/>
      <c r="F16" s="1"/>
      <c r="G16" s="1"/>
      <c r="I16" s="5">
        <v>43148</v>
      </c>
      <c r="L16" s="13">
        <v>24</v>
      </c>
      <c r="M16" s="14">
        <v>1.3299999999999999E-2</v>
      </c>
      <c r="N16" s="14">
        <f t="shared" ref="N16:N24" si="1">M16*1.035</f>
        <v>1.3765499999999998E-2</v>
      </c>
      <c r="O16" s="1"/>
      <c r="P16" s="16">
        <v>24</v>
      </c>
      <c r="Q16" s="17">
        <v>1.9935334312915803E-2</v>
      </c>
      <c r="R16" s="17">
        <v>2.0658309733867647E-2</v>
      </c>
    </row>
    <row r="17" spans="1:18" x14ac:dyDescent="0.35">
      <c r="A17" s="2"/>
      <c r="B17" s="3">
        <v>0.76164383561643834</v>
      </c>
      <c r="C17" s="4">
        <v>3.9302999999999998E-2</v>
      </c>
      <c r="E17" s="2"/>
      <c r="F17" s="1"/>
      <c r="G17" s="1"/>
      <c r="I17" s="5">
        <v>43160</v>
      </c>
      <c r="L17" s="13">
        <v>36</v>
      </c>
      <c r="M17" s="14">
        <v>2.41E-2</v>
      </c>
      <c r="N17" s="14">
        <f t="shared" si="1"/>
        <v>2.4943499999999997E-2</v>
      </c>
      <c r="O17" s="1"/>
      <c r="P17" s="16">
        <v>36</v>
      </c>
      <c r="Q17" s="17">
        <v>1.9684706807136534E-2</v>
      </c>
      <c r="R17" s="17">
        <v>2.0391589617729196E-2</v>
      </c>
    </row>
    <row r="18" spans="1:18" x14ac:dyDescent="0.35">
      <c r="A18" s="2"/>
      <c r="B18" s="3">
        <v>1.0136986301369864</v>
      </c>
      <c r="C18" s="4">
        <v>3.9365999999999998E-2</v>
      </c>
      <c r="E18" s="2"/>
      <c r="F18" s="1"/>
      <c r="G18" s="1"/>
      <c r="I18" s="5">
        <v>43221</v>
      </c>
      <c r="L18" s="13">
        <v>48</v>
      </c>
      <c r="M18" s="14">
        <v>3.5700000000000003E-2</v>
      </c>
      <c r="N18" s="14">
        <f t="shared" si="1"/>
        <v>3.6949500000000003E-2</v>
      </c>
      <c r="O18" s="1"/>
      <c r="P18" s="16">
        <v>48</v>
      </c>
      <c r="Q18" s="17">
        <v>1.9043982505798338E-2</v>
      </c>
      <c r="R18" s="17">
        <v>1.9727769440412522E-2</v>
      </c>
    </row>
    <row r="19" spans="1:18" x14ac:dyDescent="0.35">
      <c r="A19" s="2"/>
      <c r="B19" s="3">
        <v>1.5123287671232877</v>
      </c>
      <c r="C19" s="4">
        <v>3.9529000000000002E-2</v>
      </c>
      <c r="E19" s="2"/>
      <c r="F19" s="1"/>
      <c r="G19" s="1"/>
      <c r="I19" s="5">
        <v>43227</v>
      </c>
      <c r="L19" s="13">
        <v>60</v>
      </c>
      <c r="M19" s="14">
        <v>4.8099999999999997E-2</v>
      </c>
      <c r="N19" s="14">
        <f t="shared" si="1"/>
        <v>4.9783499999999994E-2</v>
      </c>
      <c r="O19" s="1"/>
      <c r="P19" s="16">
        <v>60</v>
      </c>
      <c r="Q19" s="17">
        <v>1.8569101494550707E-2</v>
      </c>
      <c r="R19" s="17">
        <v>1.9234709739685059E-2</v>
      </c>
    </row>
    <row r="20" spans="1:18" x14ac:dyDescent="0.35">
      <c r="A20" s="2"/>
      <c r="B20" s="3">
        <v>2.0136986301369864</v>
      </c>
      <c r="C20" s="4">
        <v>3.9586000000000003E-2</v>
      </c>
      <c r="E20" s="2"/>
      <c r="F20" s="1"/>
      <c r="G20" s="1"/>
      <c r="I20" s="5">
        <v>43242</v>
      </c>
      <c r="L20" s="13">
        <v>84</v>
      </c>
      <c r="M20" s="14">
        <v>7.4099999999999999E-2</v>
      </c>
      <c r="N20" s="14">
        <f t="shared" si="1"/>
        <v>7.6693499999999998E-2</v>
      </c>
      <c r="O20" s="1"/>
      <c r="P20" s="16">
        <v>84</v>
      </c>
      <c r="Q20" s="17">
        <v>1.7897346766293051E-2</v>
      </c>
      <c r="R20" s="17">
        <v>1.8539970889687542E-2</v>
      </c>
    </row>
    <row r="21" spans="1:18" x14ac:dyDescent="0.35">
      <c r="A21" s="2"/>
      <c r="B21" s="3">
        <v>3.0191780821917806</v>
      </c>
      <c r="C21" s="4">
        <v>3.9591000000000001E-2</v>
      </c>
      <c r="E21" s="2"/>
      <c r="F21" s="1"/>
      <c r="G21" s="1"/>
      <c r="I21" s="5">
        <v>43257</v>
      </c>
      <c r="L21" s="13">
        <v>120</v>
      </c>
      <c r="M21" s="14">
        <v>0.114</v>
      </c>
      <c r="N21" s="14">
        <f t="shared" si="1"/>
        <v>0.11799</v>
      </c>
      <c r="O21" s="1"/>
      <c r="P21" s="16">
        <v>120</v>
      </c>
      <c r="Q21" s="17">
        <v>1.7021249412745236E-2</v>
      </c>
      <c r="R21" s="17">
        <v>1.7636661379039284E-2</v>
      </c>
    </row>
    <row r="22" spans="1:18" x14ac:dyDescent="0.35">
      <c r="A22" s="2"/>
      <c r="B22" s="3">
        <v>4.0164383561643833</v>
      </c>
      <c r="C22" s="4">
        <v>3.9673E-2</v>
      </c>
      <c r="E22" s="2"/>
      <c r="F22" s="1"/>
      <c r="G22" s="1"/>
      <c r="L22" s="13">
        <v>144</v>
      </c>
      <c r="M22" s="14">
        <v>0.1265</v>
      </c>
      <c r="N22" s="14">
        <f t="shared" si="1"/>
        <v>0.1309275</v>
      </c>
      <c r="O22" s="1"/>
      <c r="P22" s="16">
        <v>144</v>
      </c>
      <c r="Q22" s="17">
        <v>1.4918239524960519E-2</v>
      </c>
      <c r="R22" s="17">
        <v>1.5460526967793703E-2</v>
      </c>
    </row>
    <row r="23" spans="1:18" x14ac:dyDescent="0.35">
      <c r="A23" s="2"/>
      <c r="B23" s="3">
        <v>5.0164383561643833</v>
      </c>
      <c r="C23" s="4">
        <v>3.9701E-2</v>
      </c>
      <c r="E23" s="2"/>
      <c r="F23" s="1"/>
      <c r="G23" s="1"/>
      <c r="L23" s="13">
        <v>180</v>
      </c>
      <c r="M23" s="14">
        <v>0.16</v>
      </c>
      <c r="N23" s="14">
        <f t="shared" si="1"/>
        <v>0.1656</v>
      </c>
      <c r="O23" s="1"/>
      <c r="P23" s="16">
        <v>180</v>
      </c>
      <c r="Q23" s="17">
        <v>1.4487073046714068E-2</v>
      </c>
      <c r="R23" s="17">
        <v>1.5010809285938741E-2</v>
      </c>
    </row>
    <row r="24" spans="1:18" x14ac:dyDescent="0.35">
      <c r="A24" s="2"/>
      <c r="B24" s="3">
        <v>6.0164383561643833</v>
      </c>
      <c r="C24" s="4">
        <v>3.9782999999999999E-2</v>
      </c>
      <c r="E24" s="2"/>
      <c r="F24" s="1"/>
      <c r="G24" s="1"/>
      <c r="L24" s="13">
        <v>240</v>
      </c>
      <c r="M24" s="14">
        <v>0.2112</v>
      </c>
      <c r="N24" s="14">
        <f t="shared" si="1"/>
        <v>0.21859199999999998</v>
      </c>
      <c r="O24" s="1"/>
      <c r="P24" s="16">
        <v>240</v>
      </c>
      <c r="Q24" s="17">
        <v>1.4397427521646022E-2</v>
      </c>
      <c r="R24" s="17">
        <v>1.4895767610147596E-2</v>
      </c>
    </row>
    <row r="25" spans="1:18" x14ac:dyDescent="0.35">
      <c r="A25" s="2"/>
      <c r="B25" s="3">
        <v>7.0164383561643833</v>
      </c>
      <c r="C25" s="4">
        <v>3.9837999999999998E-2</v>
      </c>
      <c r="E25" s="2"/>
      <c r="F25" s="1"/>
      <c r="G25" s="1"/>
      <c r="L25" s="13"/>
      <c r="M25" s="14"/>
      <c r="N25" s="14"/>
      <c r="O25" s="1"/>
      <c r="P25" s="16"/>
      <c r="Q25" s="17"/>
      <c r="R25" s="17"/>
    </row>
    <row r="26" spans="1:18" x14ac:dyDescent="0.35">
      <c r="A26" s="2"/>
      <c r="B26" s="3">
        <v>8.0164383561643842</v>
      </c>
      <c r="C26" s="4">
        <v>3.9923E-2</v>
      </c>
      <c r="F26" s="1"/>
      <c r="G26" s="1"/>
      <c r="L26" s="13"/>
      <c r="M26" s="14"/>
      <c r="N26" s="14"/>
      <c r="O26" s="1"/>
      <c r="P26" s="16"/>
      <c r="Q26" s="17"/>
      <c r="R26" s="17"/>
    </row>
    <row r="27" spans="1:18" x14ac:dyDescent="0.35">
      <c r="A27" s="2"/>
      <c r="B27" s="3">
        <v>9.0219178082191789</v>
      </c>
      <c r="C27" s="4">
        <v>4.0037000000000003E-2</v>
      </c>
      <c r="F27" s="1"/>
      <c r="G27" s="1"/>
      <c r="L27" s="13"/>
      <c r="M27" s="14"/>
      <c r="N27" s="14"/>
      <c r="O27" s="1"/>
      <c r="P27" s="16"/>
      <c r="Q27" s="17"/>
      <c r="R27" s="17"/>
    </row>
    <row r="28" spans="1:18" x14ac:dyDescent="0.35">
      <c r="A28" s="2"/>
      <c r="B28" s="3">
        <v>10.019178082191781</v>
      </c>
      <c r="C28" s="4">
        <v>4.0153000000000001E-2</v>
      </c>
      <c r="F28" s="1"/>
      <c r="G28" s="1"/>
      <c r="L28" s="13"/>
      <c r="M28" s="14"/>
      <c r="N28" s="14"/>
      <c r="O28" s="1"/>
      <c r="P28" s="16"/>
      <c r="Q28" s="17"/>
      <c r="R28" s="17"/>
    </row>
    <row r="29" spans="1:18" x14ac:dyDescent="0.35">
      <c r="A29" s="2"/>
      <c r="B29" s="3">
        <v>12.019178082191781</v>
      </c>
      <c r="C29" s="4">
        <v>4.0266000000000003E-2</v>
      </c>
      <c r="F29" s="1"/>
      <c r="G29" s="1"/>
      <c r="L29" s="13"/>
      <c r="M29" s="14"/>
      <c r="N29" s="14"/>
      <c r="O29" s="1"/>
      <c r="P29" s="16"/>
      <c r="Q29" s="17"/>
      <c r="R29" s="17"/>
    </row>
    <row r="30" spans="1:18" x14ac:dyDescent="0.35">
      <c r="A30" s="2"/>
      <c r="B30" s="3">
        <v>15.024657534246575</v>
      </c>
      <c r="C30" s="4">
        <v>4.0155999999999997E-2</v>
      </c>
      <c r="F30" s="1"/>
      <c r="G30" s="1"/>
      <c r="L30" s="13"/>
      <c r="M30" s="14"/>
      <c r="N30" s="14"/>
      <c r="O30" s="1"/>
      <c r="P30" s="16"/>
      <c r="Q30" s="17"/>
      <c r="R30" s="17"/>
    </row>
    <row r="31" spans="1:18" x14ac:dyDescent="0.35">
      <c r="A31" s="2"/>
      <c r="B31" s="3">
        <v>20.030136986301368</v>
      </c>
      <c r="C31" s="4">
        <v>3.8306E-2</v>
      </c>
      <c r="F31" s="1"/>
      <c r="G31" s="1"/>
      <c r="L31" s="13"/>
      <c r="M31" s="14"/>
      <c r="N31" s="14"/>
      <c r="O31" s="1"/>
      <c r="P31" s="16"/>
      <c r="Q31" s="17"/>
      <c r="R31" s="17"/>
    </row>
    <row r="32" spans="1:18" x14ac:dyDescent="0.35">
      <c r="A32" s="2"/>
      <c r="B32" s="3">
        <v>25.035616438356165</v>
      </c>
      <c r="C32" s="4">
        <v>3.6707000000000004E-2</v>
      </c>
      <c r="F32" s="1"/>
      <c r="G32" s="1"/>
      <c r="L32" s="13"/>
      <c r="M32" s="14"/>
      <c r="N32" s="14"/>
      <c r="O32" s="1"/>
      <c r="P32" s="16"/>
      <c r="Q32" s="17"/>
      <c r="R32" s="17"/>
    </row>
    <row r="33" spans="1:18" x14ac:dyDescent="0.35">
      <c r="A33" s="2"/>
      <c r="B33" s="3">
        <v>30.032876712328768</v>
      </c>
      <c r="C33" s="4">
        <v>3.5825000000000003E-2</v>
      </c>
      <c r="F33" s="1"/>
      <c r="G33" s="1"/>
      <c r="L33" s="13"/>
      <c r="M33" s="14"/>
      <c r="N33" s="14"/>
      <c r="O33" s="1"/>
      <c r="P33" s="16"/>
      <c r="Q33" s="17"/>
      <c r="R33" s="17"/>
    </row>
    <row r="34" spans="1:18" x14ac:dyDescent="0.35">
      <c r="F34" s="1"/>
      <c r="G34" s="1"/>
      <c r="L34" s="13"/>
      <c r="M34" s="14"/>
      <c r="N34" s="14"/>
      <c r="O34" s="1"/>
      <c r="P34" s="16"/>
      <c r="Q34" s="17"/>
      <c r="R34" s="17"/>
    </row>
    <row r="35" spans="1:18" x14ac:dyDescent="0.35">
      <c r="F35" s="1"/>
      <c r="G35" s="1"/>
      <c r="L35" s="13"/>
      <c r="M35" s="14"/>
      <c r="N35" s="14"/>
      <c r="O35" s="1"/>
      <c r="P35" s="16"/>
      <c r="Q35" s="17"/>
      <c r="R35" s="17"/>
    </row>
    <row r="36" spans="1:18" x14ac:dyDescent="0.4">
      <c r="N36" s="1"/>
      <c r="O36" s="1"/>
    </row>
    <row r="37" spans="1:18" x14ac:dyDescent="0.4">
      <c r="N37" s="1"/>
      <c r="O37" s="1"/>
    </row>
    <row r="38" spans="1:18" x14ac:dyDescent="0.4">
      <c r="N38" s="1"/>
      <c r="O38" s="1"/>
    </row>
    <row r="39" spans="1:18" x14ac:dyDescent="0.4">
      <c r="N39" s="1"/>
      <c r="O39" s="1"/>
    </row>
    <row r="40" spans="1:18" x14ac:dyDescent="0.4">
      <c r="N40" s="1"/>
      <c r="O40" s="1"/>
    </row>
  </sheetData>
  <mergeCells count="40">
    <mergeCell ref="P13:Q13"/>
    <mergeCell ref="L4:M4"/>
    <mergeCell ref="B3:C3"/>
    <mergeCell ref="D3:E3"/>
    <mergeCell ref="F3:G3"/>
    <mergeCell ref="H3:I3"/>
    <mergeCell ref="J3:K3"/>
    <mergeCell ref="L3:M3"/>
    <mergeCell ref="F4:G4"/>
    <mergeCell ref="H4:I4"/>
    <mergeCell ref="J4:K4"/>
    <mergeCell ref="P6:Q6"/>
    <mergeCell ref="F5:G5"/>
    <mergeCell ref="H5:I5"/>
    <mergeCell ref="J5:K5"/>
    <mergeCell ref="L5:M5"/>
    <mergeCell ref="L13:M13"/>
    <mergeCell ref="B6:C6"/>
    <mergeCell ref="D6:E6"/>
    <mergeCell ref="F6:G6"/>
    <mergeCell ref="H6:I6"/>
    <mergeCell ref="B10:C10"/>
    <mergeCell ref="D10:E10"/>
    <mergeCell ref="F10:G10"/>
    <mergeCell ref="H10:I10"/>
    <mergeCell ref="B11:C12"/>
    <mergeCell ref="I11:I12"/>
    <mergeCell ref="N6:O6"/>
    <mergeCell ref="P9:Q9"/>
    <mergeCell ref="B7:C7"/>
    <mergeCell ref="D7:E7"/>
    <mergeCell ref="N7:O7"/>
    <mergeCell ref="P7:Q7"/>
    <mergeCell ref="F8:G8"/>
    <mergeCell ref="H8:I8"/>
    <mergeCell ref="B9:C9"/>
    <mergeCell ref="D9:E9"/>
    <mergeCell ref="F9:G9"/>
    <mergeCell ref="H9:I9"/>
    <mergeCell ref="N9:O9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3" name="Button 18">
              <controlPr defaultSize="0" print="0" autoFill="0" autoPict="0" macro="[0]!Sheet2.BSCapFloorSet">
                <anchor moveWithCells="1" sizeWithCells="1">
                  <from>
                    <xdr:col>10</xdr:col>
                    <xdr:colOff>83820</xdr:colOff>
                    <xdr:row>5</xdr:row>
                    <xdr:rowOff>198120</xdr:rowOff>
                  </from>
                  <to>
                    <xdr:col>11</xdr:col>
                    <xdr:colOff>411480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ImvolConvert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2023-12-12T03:19:45Z</dcterms:created>
  <dcterms:modified xsi:type="dcterms:W3CDTF">2024-01-01T08:22:39Z</dcterms:modified>
</cp:coreProperties>
</file>