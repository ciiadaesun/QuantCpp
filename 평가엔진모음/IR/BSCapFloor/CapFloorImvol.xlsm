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<sst xmlns="http://schemas.openxmlformats.org/spreadsheetml/2006/main" count="47" uniqueCount="28">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</sst>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Border="1" applyAlignment="1"/>
    <xf numFmtId="184" fontId="0" fillId="8" borderId="0" xfId="1" applyNumberFormat="1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80" fontId="9" fillId="8" borderId="0" xfId="1" applyNumberFormat="1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9">
        <v>0</v>
      </c>
      <c r="I3" s="29"/>
      <c r="J3" s="24" t="s">
        <v>15</v>
      </c>
      <c r="K3" s="25"/>
      <c r="L3" s="26">
        <v>0</v>
      </c>
      <c r="M3" s="26"/>
      <c r="N3" s="1"/>
      <c r="O3" s="1"/>
    </row>
    <row r="4" spans="1:17" x14ac:dyDescent="0.4">
      <c r="B4" s="27" t="s">
        <v>12</v>
      </c>
      <c r="C4" s="27"/>
      <c r="D4" s="28">
        <f>D3</f>
        <v>45205</v>
      </c>
      <c r="E4" s="23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7" x14ac:dyDescent="0.4">
      <c r="B5" s="27" t="s">
        <v>13</v>
      </c>
      <c r="C5" s="27"/>
      <c r="D5" s="28">
        <f>EDATE(D4,12)</f>
        <v>45571</v>
      </c>
      <c r="E5" s="23"/>
      <c r="F5" s="27" t="s">
        <v>3</v>
      </c>
      <c r="G5" s="27"/>
      <c r="H5" s="29">
        <v>1</v>
      </c>
      <c r="I5" s="29"/>
      <c r="J5" s="27" t="s">
        <v>20</v>
      </c>
      <c r="K5" s="27"/>
      <c r="L5" s="23">
        <v>1</v>
      </c>
      <c r="M5" s="23"/>
      <c r="N5" s="1"/>
      <c r="O5" s="1"/>
    </row>
    <row r="6" spans="1:17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9">
        <v>0</v>
      </c>
      <c r="I6" s="29"/>
      <c r="N6" s="31" t="s">
        <v>5</v>
      </c>
      <c r="O6" s="31"/>
      <c r="P6" s="30">
        <v>45273.94394675926</v>
      </c>
      <c r="Q6" s="30"/>
    </row>
    <row r="7" spans="1:17" x14ac:dyDescent="0.4">
      <c r="B7" s="24" t="s">
        <v>6</v>
      </c>
      <c r="C7" s="25"/>
      <c r="D7" s="23">
        <v>4</v>
      </c>
      <c r="E7" s="23"/>
      <c r="F7" s="1"/>
      <c r="G7" s="1"/>
      <c r="I7" s="1"/>
      <c r="N7" s="31" t="s">
        <v>7</v>
      </c>
      <c r="O7" s="31"/>
      <c r="P7" s="30">
        <v>45273.94394675926</v>
      </c>
      <c r="Q7" s="30"/>
    </row>
    <row r="8" spans="1:17" x14ac:dyDescent="0.4">
      <c r="B8" s="1"/>
      <c r="C8" s="1"/>
      <c r="F8" s="24" t="s">
        <v>8</v>
      </c>
      <c r="G8" s="25"/>
      <c r="H8" s="26">
        <v>3.9967291747879802E-2</v>
      </c>
      <c r="I8" s="26"/>
      <c r="N8" s="1"/>
      <c r="O8" s="1"/>
    </row>
    <row r="9" spans="1:17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4">
        <v>1</v>
      </c>
      <c r="I9" s="34"/>
      <c r="N9" s="31" t="s">
        <v>17</v>
      </c>
      <c r="O9" s="31"/>
      <c r="P9" s="32">
        <v>2.135476214885712E-2</v>
      </c>
      <c r="Q9" s="32"/>
    </row>
    <row r="10" spans="1:17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9">
        <v>0</v>
      </c>
      <c r="I10" s="29"/>
      <c r="N10" s="1"/>
      <c r="O10" s="1"/>
    </row>
    <row r="11" spans="1:17" x14ac:dyDescent="0.4">
      <c r="B11" s="33" t="s">
        <v>11</v>
      </c>
      <c r="C11" s="33"/>
      <c r="F11" s="33"/>
      <c r="G11" s="33"/>
      <c r="I11" s="33" t="str">
        <f>IF(H5=1,"NotUsed","Holiday")</f>
        <v>NotUsed</v>
      </c>
      <c r="N11" s="1"/>
      <c r="O11" s="1"/>
    </row>
    <row r="12" spans="1:17" x14ac:dyDescent="0.4">
      <c r="B12" s="33"/>
      <c r="C12" s="33"/>
      <c r="F12" s="33" t="s">
        <v>16</v>
      </c>
      <c r="G12" s="33"/>
      <c r="I12" s="33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35">
        <v>4.3E-3</v>
      </c>
      <c r="G13" s="35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F13:G13"/>
    <mergeCell ref="F12:G12"/>
    <mergeCell ref="F10:G10"/>
    <mergeCell ref="H10:I10"/>
    <mergeCell ref="J4:K4"/>
    <mergeCell ref="F8:G8"/>
    <mergeCell ref="H8:I8"/>
    <mergeCell ref="J5:K5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workbookViewId="0">
      <selection activeCell="D5" sqref="D5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9">
        <v>0</v>
      </c>
      <c r="I3" s="29"/>
      <c r="J3" s="24" t="s">
        <v>15</v>
      </c>
      <c r="K3" s="25"/>
      <c r="L3" s="26">
        <v>0</v>
      </c>
      <c r="M3" s="26"/>
      <c r="N3" s="1"/>
      <c r="O3" s="1"/>
    </row>
    <row r="4" spans="1:18" x14ac:dyDescent="0.4">
      <c r="B4" s="1"/>
      <c r="C4" s="1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8" x14ac:dyDescent="0.4">
      <c r="B5" s="1"/>
      <c r="C5" s="1"/>
      <c r="F5" s="27" t="s">
        <v>3</v>
      </c>
      <c r="G5" s="27"/>
      <c r="H5" s="29">
        <v>1</v>
      </c>
      <c r="I5" s="29"/>
      <c r="J5" s="27" t="s">
        <v>20</v>
      </c>
      <c r="K5" s="27"/>
      <c r="L5" s="23">
        <v>2</v>
      </c>
      <c r="M5" s="23"/>
      <c r="N5" s="1"/>
      <c r="O5" s="1"/>
    </row>
    <row r="6" spans="1:18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9">
        <v>0</v>
      </c>
      <c r="I6" s="29"/>
      <c r="N6" s="31" t="s">
        <v>5</v>
      </c>
      <c r="O6" s="31"/>
      <c r="P6" s="30">
        <v>45613.939675925925</v>
      </c>
      <c r="Q6" s="30"/>
    </row>
    <row r="7" spans="1:18" x14ac:dyDescent="0.4">
      <c r="B7" s="24" t="s">
        <v>6</v>
      </c>
      <c r="C7" s="25"/>
      <c r="D7" s="23">
        <v>4</v>
      </c>
      <c r="E7" s="23"/>
      <c r="F7" s="1"/>
      <c r="G7" s="1"/>
      <c r="I7" s="1"/>
      <c r="N7" s="31" t="s">
        <v>7</v>
      </c>
      <c r="O7" s="31"/>
      <c r="P7" s="30">
        <v>45613.939675925925</v>
      </c>
      <c r="Q7" s="30"/>
    </row>
    <row r="8" spans="1:18" x14ac:dyDescent="0.4">
      <c r="B8" s="1"/>
      <c r="C8" s="1"/>
      <c r="F8" s="24" t="str">
        <f>IF(L5&gt;0, "사용X","행사금리")</f>
        <v>사용X</v>
      </c>
      <c r="G8" s="25"/>
      <c r="H8" s="26">
        <v>3.9967291747879802E-2</v>
      </c>
      <c r="I8" s="26"/>
      <c r="N8" s="1"/>
      <c r="O8" s="1"/>
    </row>
    <row r="9" spans="1:18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4">
        <v>1</v>
      </c>
      <c r="I9" s="34"/>
      <c r="N9" s="31" t="s">
        <v>17</v>
      </c>
      <c r="O9" s="31"/>
      <c r="P9" s="32"/>
      <c r="Q9" s="32"/>
    </row>
    <row r="10" spans="1:18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9">
        <v>0</v>
      </c>
      <c r="I10" s="29"/>
      <c r="N10" s="1"/>
      <c r="O10" s="1"/>
    </row>
    <row r="11" spans="1:18" x14ac:dyDescent="0.4">
      <c r="B11" s="33" t="s">
        <v>11</v>
      </c>
      <c r="C11" s="33"/>
      <c r="F11" s="1"/>
      <c r="G11" s="1"/>
      <c r="I11" s="33" t="str">
        <f>IF(H5=1,"NotUsed","Holiday")</f>
        <v>NotUsed</v>
      </c>
      <c r="N11" s="1"/>
      <c r="O11" s="1"/>
    </row>
    <row r="12" spans="1:18" x14ac:dyDescent="0.4">
      <c r="B12" s="33"/>
      <c r="C12" s="33"/>
      <c r="F12" s="1"/>
      <c r="G12" s="1"/>
      <c r="I12" s="33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33" t="s">
        <v>16</v>
      </c>
      <c r="M13" s="33"/>
      <c r="N13" s="12">
        <f>COUNT(L15:L1048576)</f>
        <v>10</v>
      </c>
      <c r="O13" s="1"/>
      <c r="P13" s="36" t="s">
        <v>24</v>
      </c>
      <c r="Q13" s="36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2.024437203407288E-2</v>
      </c>
      <c r="R15" s="17">
        <v>2.0992380404472356E-2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1.9935334312915803E-2</v>
      </c>
      <c r="R16" s="17">
        <v>2.0658309733867647E-2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1.9684706807136534E-2</v>
      </c>
      <c r="R17" s="17">
        <v>2.0391589617729196E-2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1.9043982505798338E-2</v>
      </c>
      <c r="R18" s="17">
        <v>1.9727769440412522E-2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1.8569101494550707E-2</v>
      </c>
      <c r="R19" s="17">
        <v>1.9234709739685059E-2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1.7897346766293051E-2</v>
      </c>
      <c r="R20" s="17">
        <v>1.8539970889687542E-2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1.7021249412745236E-2</v>
      </c>
      <c r="R21" s="17">
        <v>1.7636661379039284E-2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1.4918239524960519E-2</v>
      </c>
      <c r="R22" s="17">
        <v>1.5460526967793703E-2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1.4487073046714068E-2</v>
      </c>
      <c r="R23" s="17">
        <v>1.5010809285938741E-2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1.4397427521646022E-2</v>
      </c>
      <c r="R24" s="17">
        <v>1.4895767610147596E-2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2024-11-17T13:35:04Z</dcterms:modified>
</cp:coreProperties>
</file>