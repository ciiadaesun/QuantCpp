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AO3" i="1"/>
  <c r="L7" i="1"/>
  <c r="J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<sst xmlns="http://schemas.openxmlformats.org/spreadsheetml/2006/main" count="57" uniqueCount="31">
  <si>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</si>
  <si>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</si>
  <si>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</si>
  <si>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</si>
  <si>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</si>
  <si>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</si>
  <si>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</si>
  <si>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</si>
  <si>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</si>
  <si>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</si>
  <si>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</si>
  <si>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</si>
  <si>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</si>
  <si>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</si>
  <si>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</si>
  <si>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</si>
  <si>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</si>
  <si>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</si>
  <si>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</si>
  <si>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</si>
  <si>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</si>
  <si>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</si>
  <si>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</si>
  <si>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</si>
  <si>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</si>
  <si>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</si>
  <si>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</si>
  <si>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</si>
  <si>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2: SwapPoint(FX선도)</t>
  </si>
  <si>
    <t>3: CRS</t>
  </si>
  <si>
    <t>Holidays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</si>
</sst>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0" fillId="3" borderId="0" xfId="0" applyNumberFormat="1" applyFill="1">
      <alignment vertical="center"/>
    </xf>
    <xf numFmtId="176" fontId="0" fillId="3" borderId="0" xfId="0" applyNumberFormat="1" applyFill="1">
      <alignment vertical="center"/>
    </xf>
    <xf numFmtId="14" fontId="8" fillId="7" borderId="0" xfId="0" applyNumberFormat="1" applyFont="1" applyFill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1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B605"/>
  <sheetViews>
    <sheetView tabSelected="1" topLeftCell="D1" zoomScale="85" zoomScaleNormal="85" workbookViewId="0">
      <selection activeCell="AG9" sqref="AG9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20"/>
    <col min="34" max="34" width="15.69921875" style="1" bestFit="1" customWidth="1"/>
    <col min="35" max="37" width="10.69921875" style="1" bestFit="1" customWidth="1"/>
    <col min="38" max="38" width="18.3984375" style="1" bestFit="1" customWidth="1"/>
    <col min="39" max="39" width="10.69921875" style="1" bestFit="1" customWidth="1"/>
    <col min="40" max="40" width="10.796875" style="1" bestFit="1" customWidth="1"/>
    <col min="41" max="41" width="34.59765625" style="1" bestFit="1" customWidth="1"/>
    <col min="42" max="54" width="15.69921875" style="1" bestFit="1" customWidth="1"/>
    <col min="55" max="16384" width="15.59765625" style="1"/>
  </cols>
  <sheetData>
    <row r="1" spans="1:54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54" ht="18.600000000000001" thickTop="1" thickBot="1" x14ac:dyDescent="0.45">
      <c r="A2" s="1">
        <v>0</v>
      </c>
      <c r="B2" s="29" t="s">
        <v>25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54" ht="18.600000000000001" thickTop="1" thickBot="1" x14ac:dyDescent="0.45"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54" ht="18.600000000000001" thickTop="1" thickBot="1" x14ac:dyDescent="0.45">
      <c r="B4" s="3" t="s">
        <v>0</v>
      </c>
      <c r="C4" s="4">
        <v>45636</v>
      </c>
      <c r="D4" s="3" t="s">
        <v>1</v>
      </c>
      <c r="E4" s="2">
        <v>0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54" ht="18" thickTop="1" x14ac:dyDescent="0.4">
      <c r="B5" s="3" t="s">
        <v>2</v>
      </c>
      <c r="C5" s="2">
        <v>0</v>
      </c>
      <c r="D5" s="3" t="str">
        <f>IFERROR(IF(MATCH($AL$3,B9:B1048576,0)&gt;0, "환율"), "사용안함")</f>
        <v>환율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"/>
      <c r="S5" s="23" t="s">
        <v>24</v>
      </c>
      <c r="T5" s="24"/>
      <c r="U5" s="24"/>
      <c r="V5" s="24"/>
      <c r="W5" s="24"/>
      <c r="X5" s="25"/>
      <c r="Y5" s="23" t="s">
        <v>26</v>
      </c>
      <c r="Z5" s="24"/>
      <c r="AA5" s="24"/>
      <c r="AB5" s="24"/>
      <c r="AC5" s="24"/>
      <c r="AD5" s="25"/>
      <c r="AF5" s="19"/>
      <c r="AG5" s="1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</row>
    <row r="6" spans="1:54" ht="18" thickBot="1" x14ac:dyDescent="0.45">
      <c r="B6" s="3" t="s">
        <v>12</v>
      </c>
      <c r="C6" s="2">
        <v>0</v>
      </c>
      <c r="D6" s="6" t="str">
        <f>IF(D5="사용안함","사용안함","SwapPointUnit")</f>
        <v>SwapPointUnit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1"/>
      <c r="S6" s="26"/>
      <c r="T6" s="27"/>
      <c r="U6" s="27"/>
      <c r="V6" s="27"/>
      <c r="W6" s="27"/>
      <c r="X6" s="28"/>
      <c r="Y6" s="26"/>
      <c r="Z6" s="27"/>
      <c r="AA6" s="27"/>
      <c r="AB6" s="27"/>
      <c r="AC6" s="27"/>
      <c r="AD6" s="28"/>
      <c r="AF6" s="19"/>
      <c r="AG6" s="1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</row>
    <row r="7" spans="1:54" ht="18" thickTop="1" x14ac:dyDescent="0.4">
      <c r="B7" s="30" t="s">
        <v>3</v>
      </c>
      <c r="C7" s="30" t="s">
        <v>4</v>
      </c>
      <c r="D7" s="30" t="s">
        <v>5</v>
      </c>
      <c r="E7" s="30" t="s">
        <v>6</v>
      </c>
      <c r="F7" s="30" t="s">
        <v>7</v>
      </c>
      <c r="H7" s="30" t="s">
        <v>8</v>
      </c>
      <c r="J7" s="30" t="str">
        <f>IF(OR(IFERROR(MATCH($AM$3,B9:B1048576,0)&gt;0,FALSE),IFERROR(MATCH($AN$3,B9:B1048376,0)&gt;0,FALSE)), "USD ZeroCurve(CRS경우 입력)","사용안함")</f>
        <v>USD ZeroCurve(CRS경우 입력)</v>
      </c>
      <c r="K7" s="30"/>
      <c r="L7" s="30" t="str">
        <f>IF(OR(IFERROR(MATCH($AN$3,B9:B1048576,0)&gt;0,FALSE),IFERROR(MATCH($AO$3,B9:B1048376,0)&gt;0,FALSE)), "Estimation ZeroCurve","사용안함")</f>
        <v>사용안함</v>
      </c>
      <c r="M7" s="30"/>
      <c r="O7" s="31" t="s">
        <v>11</v>
      </c>
      <c r="P7" s="31"/>
      <c r="R7" s="21" t="s">
        <v>13</v>
      </c>
      <c r="S7" s="22" t="s">
        <v>4</v>
      </c>
      <c r="T7" s="22" t="s">
        <v>14</v>
      </c>
      <c r="U7" s="22" t="s">
        <v>5</v>
      </c>
      <c r="V7" s="22" t="s">
        <v>18</v>
      </c>
      <c r="W7" s="22" t="s">
        <v>19</v>
      </c>
      <c r="X7" s="22" t="s">
        <v>20</v>
      </c>
      <c r="Y7" s="21" t="s">
        <v>15</v>
      </c>
      <c r="Z7" s="21" t="s">
        <v>16</v>
      </c>
      <c r="AA7" s="21" t="s">
        <v>17</v>
      </c>
      <c r="AB7" s="21" t="s">
        <v>21</v>
      </c>
      <c r="AC7" s="21" t="s">
        <v>22</v>
      </c>
      <c r="AD7" s="21" t="s">
        <v>23</v>
      </c>
      <c r="AF7" s="19"/>
      <c r="AG7" s="21" t="s">
        <v>30</v>
      </c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</row>
    <row r="8" spans="1:54" x14ac:dyDescent="0.4">
      <c r="B8" s="30"/>
      <c r="C8" s="30"/>
      <c r="D8" s="30"/>
      <c r="E8" s="30"/>
      <c r="F8" s="30"/>
      <c r="H8" s="30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F8" s="19"/>
      <c r="AG8" s="21"/>
    </row>
    <row r="9" spans="1:54" x14ac:dyDescent="0.4">
      <c r="B9" s="9" t="s">
        <v>28</v>
      </c>
      <c r="C9" s="10">
        <v>45636</v>
      </c>
      <c r="D9" s="10">
        <v>45637</v>
      </c>
      <c r="E9" s="11">
        <v>0</v>
      </c>
      <c r="F9" s="9">
        <v>1</v>
      </c>
      <c r="H9" s="10">
        <v>45292</v>
      </c>
      <c r="J9" s="10">
        <v>45637</v>
      </c>
      <c r="K9" s="12">
        <v>4.6635910000000003</v>
      </c>
      <c r="L9" s="10">
        <v>45637</v>
      </c>
      <c r="M9" s="12">
        <v>4.6996969999999996</v>
      </c>
      <c r="O9" s="7">
        <v>2.7397260273972603E-3</v>
      </c>
      <c r="P9" s="8">
        <v>4.6635910000000003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4.6638889453033405E-2</v>
      </c>
      <c r="W9" s="14">
        <v>1.2777777932337919E-2</v>
      </c>
      <c r="X9" s="14">
        <v>0.99987223854575147</v>
      </c>
      <c r="Y9" s="14">
        <v>20241210</v>
      </c>
      <c r="Z9" s="14">
        <v>20241211</v>
      </c>
      <c r="AA9" s="14">
        <v>20241211</v>
      </c>
      <c r="AB9" s="14">
        <v>4.6638889453033405E-2</v>
      </c>
      <c r="AC9" s="14">
        <v>1.2777777932337919E-2</v>
      </c>
      <c r="AD9" s="14">
        <v>0.99987223854575147</v>
      </c>
      <c r="AF9" s="19"/>
      <c r="AG9" s="20">
        <v>45292</v>
      </c>
    </row>
    <row r="10" spans="1:54" x14ac:dyDescent="0.4">
      <c r="B10" s="9" t="s">
        <v>28</v>
      </c>
      <c r="C10" s="10">
        <v>45637</v>
      </c>
      <c r="D10" s="10">
        <v>45638</v>
      </c>
      <c r="E10" s="11">
        <v>0</v>
      </c>
      <c r="F10" s="9">
        <v>1</v>
      </c>
      <c r="J10" s="10">
        <v>45649</v>
      </c>
      <c r="K10" s="12">
        <v>4.6523300000000001</v>
      </c>
      <c r="L10" s="10">
        <v>45643</v>
      </c>
      <c r="M10" s="12">
        <v>4.6998810000000004</v>
      </c>
      <c r="O10" s="7">
        <v>5.4794520547945206E-3</v>
      </c>
      <c r="P10" s="8">
        <v>4.6626525833333332</v>
      </c>
      <c r="R10" s="15">
        <v>2</v>
      </c>
      <c r="S10" s="14">
        <v>20241211</v>
      </c>
      <c r="T10" s="14">
        <v>20241212</v>
      </c>
      <c r="U10" s="14">
        <v>20241212</v>
      </c>
      <c r="V10" s="14">
        <v>9.3264965190336113E-2</v>
      </c>
      <c r="W10" s="14">
        <v>2.5552045257626332E-2</v>
      </c>
      <c r="X10" s="14">
        <v>0.99974454482144659</v>
      </c>
      <c r="Y10" s="14">
        <v>20241211</v>
      </c>
      <c r="Z10" s="14">
        <v>20241212</v>
      </c>
      <c r="AA10" s="14">
        <v>20241212</v>
      </c>
      <c r="AB10" s="14">
        <v>9.3264965190336113E-2</v>
      </c>
      <c r="AC10" s="14">
        <v>2.5552045257626332E-2</v>
      </c>
      <c r="AD10" s="14">
        <v>0.99974454482144659</v>
      </c>
      <c r="AF10" s="19"/>
      <c r="AG10" s="20">
        <v>45331</v>
      </c>
    </row>
    <row r="11" spans="1:54" x14ac:dyDescent="0.4">
      <c r="B11" s="9" t="s">
        <v>28</v>
      </c>
      <c r="C11" s="10">
        <v>45638</v>
      </c>
      <c r="D11" s="10">
        <v>45645</v>
      </c>
      <c r="E11" s="11">
        <v>-35</v>
      </c>
      <c r="F11" s="9">
        <v>1</v>
      </c>
      <c r="J11" s="10">
        <v>45672</v>
      </c>
      <c r="K11" s="12">
        <v>4.5046919999999995</v>
      </c>
      <c r="L11" s="10">
        <v>45667</v>
      </c>
      <c r="M11" s="12">
        <v>4.689648</v>
      </c>
      <c r="O11" s="7">
        <v>2.4657534246575342E-2</v>
      </c>
      <c r="P11" s="8">
        <v>3.66122151141307</v>
      </c>
      <c r="R11" s="15">
        <v>3</v>
      </c>
      <c r="S11" s="14">
        <v>20241212</v>
      </c>
      <c r="T11" s="14">
        <v>20241219</v>
      </c>
      <c r="U11" s="14">
        <v>20241219</v>
      </c>
      <c r="V11" s="14">
        <v>4.7094102304953298E-2</v>
      </c>
      <c r="W11" s="14">
        <v>9.0317456475252911E-2</v>
      </c>
      <c r="X11" s="14">
        <v>0.99909764042346527</v>
      </c>
      <c r="Y11" s="14">
        <v>20241212</v>
      </c>
      <c r="Z11" s="14">
        <v>20241219</v>
      </c>
      <c r="AA11" s="14">
        <v>20241219</v>
      </c>
      <c r="AB11" s="14">
        <v>4.7094102304953298E-2</v>
      </c>
      <c r="AC11" s="14">
        <v>9.0317456475252911E-2</v>
      </c>
      <c r="AD11" s="14">
        <v>0.99909764042346527</v>
      </c>
      <c r="AF11" s="19"/>
      <c r="AG11" s="20">
        <v>45332</v>
      </c>
    </row>
    <row r="12" spans="1:54" x14ac:dyDescent="0.4">
      <c r="B12" s="9" t="s">
        <v>28</v>
      </c>
      <c r="C12" s="10">
        <v>45638</v>
      </c>
      <c r="D12" s="10">
        <v>45670</v>
      </c>
      <c r="E12" s="11">
        <v>-175</v>
      </c>
      <c r="F12" s="9">
        <v>1</v>
      </c>
      <c r="J12" s="10">
        <v>45702</v>
      </c>
      <c r="K12" s="12">
        <v>4.4619119999999999</v>
      </c>
      <c r="L12" s="10">
        <v>45698</v>
      </c>
      <c r="M12" s="12">
        <v>4.6743930000000002</v>
      </c>
      <c r="O12" s="7">
        <v>9.3150684931506855E-2</v>
      </c>
      <c r="P12" s="8">
        <v>3.2001542782901642</v>
      </c>
      <c r="R12" s="15">
        <v>4</v>
      </c>
      <c r="S12" s="14">
        <v>20241212</v>
      </c>
      <c r="T12" s="14">
        <v>20250113</v>
      </c>
      <c r="U12" s="14">
        <v>20250113</v>
      </c>
      <c r="V12" s="14">
        <v>3.4052368460599849E-2</v>
      </c>
      <c r="W12" s="14">
        <v>0.29854131253128635</v>
      </c>
      <c r="X12" s="14">
        <v>0.99702347303734928</v>
      </c>
      <c r="Y12" s="14">
        <v>20241212</v>
      </c>
      <c r="Z12" s="14">
        <v>20250113</v>
      </c>
      <c r="AA12" s="14">
        <v>20250113</v>
      </c>
      <c r="AB12" s="14">
        <v>3.4052368460599849E-2</v>
      </c>
      <c r="AC12" s="14">
        <v>0.29854131253128635</v>
      </c>
      <c r="AD12" s="14">
        <v>0.99702347303734928</v>
      </c>
      <c r="AF12" s="19"/>
      <c r="AG12" s="20">
        <v>45334</v>
      </c>
    </row>
    <row r="13" spans="1:54" x14ac:dyDescent="0.4">
      <c r="B13" s="9" t="s">
        <v>28</v>
      </c>
      <c r="C13" s="10">
        <v>45638</v>
      </c>
      <c r="D13" s="10">
        <v>45700</v>
      </c>
      <c r="E13" s="11">
        <v>-370</v>
      </c>
      <c r="F13" s="9">
        <v>1</v>
      </c>
      <c r="J13" s="10">
        <v>45730</v>
      </c>
      <c r="K13" s="12">
        <v>4.435352</v>
      </c>
      <c r="L13" s="10">
        <v>45726</v>
      </c>
      <c r="M13" s="12">
        <v>4.6156350000000002</v>
      </c>
      <c r="O13" s="7">
        <v>0.17534246575342466</v>
      </c>
      <c r="P13" s="8">
        <v>2.9840556740229203</v>
      </c>
      <c r="R13" s="15">
        <v>5</v>
      </c>
      <c r="S13" s="14">
        <v>20241212</v>
      </c>
      <c r="T13" s="14">
        <v>20250212</v>
      </c>
      <c r="U13" s="14">
        <v>20250212</v>
      </c>
      <c r="V13" s="14">
        <v>3.0883882012748973E-2</v>
      </c>
      <c r="W13" s="14">
        <v>0.52460292733984559</v>
      </c>
      <c r="X13" s="14">
        <v>0.99478134792813822</v>
      </c>
      <c r="Y13" s="14">
        <v>20241212</v>
      </c>
      <c r="Z13" s="14">
        <v>20250212</v>
      </c>
      <c r="AA13" s="14">
        <v>20250212</v>
      </c>
      <c r="AB13" s="14">
        <v>3.0883882012748973E-2</v>
      </c>
      <c r="AC13" s="14">
        <v>0.52460292733984559</v>
      </c>
      <c r="AD13" s="14">
        <v>0.99478134792813822</v>
      </c>
      <c r="AF13" s="19"/>
      <c r="AG13" s="20">
        <v>45352</v>
      </c>
    </row>
    <row r="14" spans="1:54" x14ac:dyDescent="0.4">
      <c r="B14" s="9" t="s">
        <v>28</v>
      </c>
      <c r="C14" s="10">
        <v>45638</v>
      </c>
      <c r="D14" s="10">
        <v>45728</v>
      </c>
      <c r="E14" s="11">
        <v>-570</v>
      </c>
      <c r="F14" s="9">
        <v>1</v>
      </c>
      <c r="J14" s="10">
        <v>45824</v>
      </c>
      <c r="K14" s="12">
        <v>4.2982149999999999</v>
      </c>
      <c r="L14" s="10">
        <v>45818</v>
      </c>
      <c r="M14" s="12">
        <v>4.4815519999999998</v>
      </c>
      <c r="O14" s="7">
        <v>0.25205479452054796</v>
      </c>
      <c r="P14" s="8">
        <v>2.8492875794028629</v>
      </c>
      <c r="R14" s="15">
        <v>6</v>
      </c>
      <c r="S14" s="14">
        <v>20241212</v>
      </c>
      <c r="T14" s="14">
        <v>20250312</v>
      </c>
      <c r="U14" s="14">
        <v>20250312</v>
      </c>
      <c r="V14" s="14">
        <v>2.9230889877983751E-2</v>
      </c>
      <c r="W14" s="14">
        <v>0.7207616682242568</v>
      </c>
      <c r="X14" s="14">
        <v>0.99284396130165842</v>
      </c>
      <c r="Y14" s="14">
        <v>20241212</v>
      </c>
      <c r="Z14" s="14">
        <v>20250312</v>
      </c>
      <c r="AA14" s="14">
        <v>20250312</v>
      </c>
      <c r="AB14" s="14">
        <v>2.9230889877983751E-2</v>
      </c>
      <c r="AC14" s="14">
        <v>0.7207616682242568</v>
      </c>
      <c r="AD14" s="14">
        <v>0.99284396130165842</v>
      </c>
      <c r="AF14" s="19"/>
      <c r="AG14" s="20">
        <v>45392</v>
      </c>
    </row>
    <row r="15" spans="1:54" x14ac:dyDescent="0.4">
      <c r="B15" s="9" t="s">
        <v>28</v>
      </c>
      <c r="C15" s="10">
        <v>45638</v>
      </c>
      <c r="D15" s="10">
        <v>45820</v>
      </c>
      <c r="E15" s="11">
        <v>-1300</v>
      </c>
      <c r="F15" s="9">
        <v>1</v>
      </c>
      <c r="J15" s="10">
        <v>45916</v>
      </c>
      <c r="K15" s="12">
        <v>4.1863339999999996</v>
      </c>
      <c r="L15" s="10">
        <v>45910</v>
      </c>
      <c r="M15" s="12">
        <v>4.3521260000000002</v>
      </c>
      <c r="O15" s="7">
        <v>0.50410958904109593</v>
      </c>
      <c r="P15" s="8">
        <v>2.4885538744191105</v>
      </c>
      <c r="R15" s="15">
        <v>7</v>
      </c>
      <c r="S15" s="14">
        <v>20241212</v>
      </c>
      <c r="T15" s="14">
        <v>20250612</v>
      </c>
      <c r="U15" s="14">
        <v>20250612</v>
      </c>
      <c r="V15" s="14">
        <v>2.5317478543462044E-2</v>
      </c>
      <c r="W15" s="14">
        <v>1.2624057794274224</v>
      </c>
      <c r="X15" s="14">
        <v>0.98753332226594304</v>
      </c>
      <c r="Y15" s="14">
        <v>20241212</v>
      </c>
      <c r="Z15" s="14">
        <v>20250612</v>
      </c>
      <c r="AA15" s="14">
        <v>20250612</v>
      </c>
      <c r="AB15" s="14">
        <v>2.5317478543462044E-2</v>
      </c>
      <c r="AC15" s="14">
        <v>1.2624057794274224</v>
      </c>
      <c r="AD15" s="14">
        <v>0.98753332226594304</v>
      </c>
      <c r="AF15" s="19"/>
      <c r="AG15" s="20">
        <v>45413</v>
      </c>
    </row>
    <row r="16" spans="1:54" x14ac:dyDescent="0.4">
      <c r="B16" s="9" t="s">
        <v>28</v>
      </c>
      <c r="C16" s="10">
        <v>45638</v>
      </c>
      <c r="D16" s="10">
        <v>46003</v>
      </c>
      <c r="E16" s="11">
        <v>-2790</v>
      </c>
      <c r="F16" s="9">
        <v>1</v>
      </c>
      <c r="J16" s="10">
        <v>46007</v>
      </c>
      <c r="K16" s="12">
        <v>4.1018910000000002</v>
      </c>
      <c r="L16" s="10">
        <v>46001</v>
      </c>
      <c r="M16" s="12">
        <v>4.2513360000000002</v>
      </c>
      <c r="O16" s="7">
        <v>1.0054794520547945</v>
      </c>
      <c r="P16" s="8">
        <v>2.1417770213501219</v>
      </c>
      <c r="R16" s="15">
        <v>8</v>
      </c>
      <c r="S16" s="14">
        <v>20241212</v>
      </c>
      <c r="T16" s="14">
        <v>20251212</v>
      </c>
      <c r="U16" s="14">
        <v>20251212</v>
      </c>
      <c r="V16" s="14">
        <v>2.1768682252672145E-2</v>
      </c>
      <c r="W16" s="14">
        <v>2.1768682252672145</v>
      </c>
      <c r="X16" s="14">
        <v>0.97869509740239924</v>
      </c>
      <c r="Y16" s="14">
        <v>20241212</v>
      </c>
      <c r="Z16" s="14">
        <v>20251212</v>
      </c>
      <c r="AA16" s="14">
        <v>20251212</v>
      </c>
      <c r="AB16" s="14">
        <v>2.1768682252672145E-2</v>
      </c>
      <c r="AC16" s="14">
        <v>2.1768682252672145</v>
      </c>
      <c r="AD16" s="14">
        <v>0.97869509740239924</v>
      </c>
      <c r="AF16" s="19"/>
      <c r="AG16" s="20">
        <v>45418</v>
      </c>
    </row>
    <row r="17" spans="2:33" x14ac:dyDescent="0.4">
      <c r="B17" s="9" t="s">
        <v>29</v>
      </c>
      <c r="C17" s="10">
        <v>45638</v>
      </c>
      <c r="D17" s="10">
        <v>46189</v>
      </c>
      <c r="E17" s="11">
        <v>2.0350000000000001</v>
      </c>
      <c r="F17" s="9">
        <v>4</v>
      </c>
      <c r="J17" s="10">
        <v>46189</v>
      </c>
      <c r="K17" s="12">
        <v>3.9821469999999999</v>
      </c>
      <c r="L17" s="10">
        <v>46183</v>
      </c>
      <c r="M17" s="12">
        <v>4.1085430000000001</v>
      </c>
      <c r="O17" s="7">
        <v>1.515068493150685</v>
      </c>
      <c r="P17" s="8">
        <v>2.0356437301635761</v>
      </c>
      <c r="R17" s="15">
        <v>9</v>
      </c>
      <c r="S17" s="14">
        <v>20241212</v>
      </c>
      <c r="T17" s="14">
        <v>20250312</v>
      </c>
      <c r="U17" s="14">
        <v>20250314</v>
      </c>
      <c r="V17" s="14">
        <v>2.035E-2</v>
      </c>
      <c r="W17" s="14">
        <v>0.50178082191780826</v>
      </c>
      <c r="X17" s="14">
        <v>0.99270901377394938</v>
      </c>
      <c r="Y17" s="14">
        <v>20241212</v>
      </c>
      <c r="Z17" s="14">
        <v>20250312</v>
      </c>
      <c r="AA17" s="14">
        <v>20250314</v>
      </c>
      <c r="AB17" s="14">
        <v>4.3954996023273907E-2</v>
      </c>
      <c r="AC17" s="14">
        <v>1.0988749005818477</v>
      </c>
      <c r="AD17" s="14">
        <v>0.9886424392876334</v>
      </c>
      <c r="AF17" s="19"/>
      <c r="AG17" s="20">
        <v>45427</v>
      </c>
    </row>
    <row r="18" spans="2:33" x14ac:dyDescent="0.4">
      <c r="B18" s="9" t="s">
        <v>29</v>
      </c>
      <c r="C18" s="10">
        <v>45638</v>
      </c>
      <c r="D18" s="10">
        <v>46372</v>
      </c>
      <c r="E18" s="11">
        <v>1.9650000000000001</v>
      </c>
      <c r="F18" s="9">
        <v>4</v>
      </c>
      <c r="J18" s="10">
        <v>46372</v>
      </c>
      <c r="K18" s="12">
        <v>3.90238</v>
      </c>
      <c r="L18" s="10">
        <v>46366</v>
      </c>
      <c r="M18" s="12">
        <v>4.0114470000000004</v>
      </c>
      <c r="O18" s="7">
        <v>2.0164383561643837</v>
      </c>
      <c r="P18" s="8">
        <v>1.9647925758361828</v>
      </c>
      <c r="R18" s="15">
        <v>9</v>
      </c>
      <c r="S18" s="14">
        <v>20250312</v>
      </c>
      <c r="T18" s="14">
        <v>20250612</v>
      </c>
      <c r="U18" s="14">
        <v>20250616</v>
      </c>
      <c r="V18" s="14">
        <v>2.035E-2</v>
      </c>
      <c r="W18" s="14">
        <v>0.5129315068493151</v>
      </c>
      <c r="X18" s="14">
        <v>0.98730258544302441</v>
      </c>
      <c r="Y18" s="14">
        <v>20250312</v>
      </c>
      <c r="Z18" s="14">
        <v>20250612</v>
      </c>
      <c r="AA18" s="14">
        <v>20250616</v>
      </c>
      <c r="AB18" s="14">
        <v>4.1354165149545943E-2</v>
      </c>
      <c r="AC18" s="14">
        <v>1.0568286649328407</v>
      </c>
      <c r="AD18" s="14">
        <v>0.97810451242860541</v>
      </c>
      <c r="AF18" s="19"/>
      <c r="AG18" s="20">
        <v>45449</v>
      </c>
    </row>
    <row r="19" spans="2:33" x14ac:dyDescent="0.4">
      <c r="B19" s="9" t="s">
        <v>29</v>
      </c>
      <c r="C19" s="10">
        <v>45638</v>
      </c>
      <c r="D19" s="10">
        <v>46736</v>
      </c>
      <c r="E19" s="11">
        <v>1.925</v>
      </c>
      <c r="F19" s="9">
        <v>4</v>
      </c>
      <c r="J19" s="10">
        <v>46736</v>
      </c>
      <c r="K19" s="12">
        <v>3.805355</v>
      </c>
      <c r="L19" s="10">
        <v>46731</v>
      </c>
      <c r="M19" s="12">
        <v>3.8751959999999999</v>
      </c>
      <c r="O19" s="7">
        <v>3.0136986301369864</v>
      </c>
      <c r="P19" s="8">
        <v>1.9233572959899903</v>
      </c>
      <c r="R19" s="15">
        <v>9</v>
      </c>
      <c r="S19" s="14">
        <v>20250612</v>
      </c>
      <c r="T19" s="14">
        <v>20250912</v>
      </c>
      <c r="U19" s="14">
        <v>20250916</v>
      </c>
      <c r="V19" s="14">
        <v>2.035E-2</v>
      </c>
      <c r="W19" s="14">
        <v>0.5129315068493151</v>
      </c>
      <c r="X19" s="14">
        <v>0.9824608745257547</v>
      </c>
      <c r="Y19" s="14">
        <v>20250612</v>
      </c>
      <c r="Z19" s="14">
        <v>20250912</v>
      </c>
      <c r="AA19" s="14">
        <v>20250916</v>
      </c>
      <c r="AB19" s="14">
        <v>3.9307839001370047E-2</v>
      </c>
      <c r="AC19" s="14">
        <v>1.0045336633683455</v>
      </c>
      <c r="AD19" s="14">
        <v>0.96839584644885923</v>
      </c>
      <c r="AF19" s="19"/>
      <c r="AG19" s="20">
        <v>45519</v>
      </c>
    </row>
    <row r="20" spans="2:33" x14ac:dyDescent="0.4">
      <c r="B20" s="9" t="s">
        <v>29</v>
      </c>
      <c r="C20" s="10">
        <v>45638</v>
      </c>
      <c r="D20" s="10">
        <v>47101</v>
      </c>
      <c r="E20" s="11">
        <v>1.89</v>
      </c>
      <c r="F20" s="9">
        <v>4</v>
      </c>
      <c r="J20" s="10">
        <v>47101</v>
      </c>
      <c r="K20" s="12">
        <v>3.7423060000000001</v>
      </c>
      <c r="L20" s="10">
        <v>47098</v>
      </c>
      <c r="M20" s="12">
        <v>3.7886299999999999</v>
      </c>
      <c r="O20" s="7">
        <v>4.0136986301369859</v>
      </c>
      <c r="P20" s="8">
        <v>1.8869261884689343</v>
      </c>
      <c r="R20" s="15">
        <v>9</v>
      </c>
      <c r="S20" s="14">
        <v>20250912</v>
      </c>
      <c r="T20" s="14">
        <v>20251212</v>
      </c>
      <c r="U20" s="14">
        <v>20251216</v>
      </c>
      <c r="V20" s="14">
        <v>2.035E-2</v>
      </c>
      <c r="W20" s="14">
        <v>0.50735616438356168</v>
      </c>
      <c r="X20" s="14">
        <v>0.97848810988448698</v>
      </c>
      <c r="Y20" s="14">
        <v>20250912</v>
      </c>
      <c r="Z20" s="14">
        <v>20251212</v>
      </c>
      <c r="AA20" s="14">
        <v>20251216</v>
      </c>
      <c r="AB20" s="14">
        <v>3.8115538737094092E-2</v>
      </c>
      <c r="AC20" s="14">
        <v>0.96347611807654499</v>
      </c>
      <c r="AD20" s="14">
        <v>0.95916401323373646</v>
      </c>
      <c r="AF20" s="19"/>
      <c r="AG20" s="20">
        <v>45551</v>
      </c>
    </row>
    <row r="21" spans="2:33" x14ac:dyDescent="0.4">
      <c r="B21" s="9" t="s">
        <v>29</v>
      </c>
      <c r="C21" s="10">
        <v>45638</v>
      </c>
      <c r="D21" s="10">
        <v>47466</v>
      </c>
      <c r="E21" s="11">
        <v>1.875</v>
      </c>
      <c r="F21" s="9">
        <v>4</v>
      </c>
      <c r="J21" s="10">
        <v>47466</v>
      </c>
      <c r="K21" s="12">
        <v>3.7039269999999997</v>
      </c>
      <c r="L21" s="10">
        <v>47462</v>
      </c>
      <c r="M21" s="12">
        <v>3.7339159999999998</v>
      </c>
      <c r="O21" s="7">
        <v>5.0136986301369859</v>
      </c>
      <c r="P21" s="8">
        <v>1.8713420629501345</v>
      </c>
      <c r="R21" s="15">
        <v>9</v>
      </c>
      <c r="S21" s="14">
        <v>20251212</v>
      </c>
      <c r="T21" s="14">
        <v>20260312</v>
      </c>
      <c r="U21" s="14">
        <v>20260316</v>
      </c>
      <c r="V21" s="14">
        <v>2.035E-2</v>
      </c>
      <c r="W21" s="14">
        <v>0.50178082191780826</v>
      </c>
      <c r="X21" s="14">
        <v>0.97397125187931066</v>
      </c>
      <c r="Y21" s="14">
        <v>20251212</v>
      </c>
      <c r="Z21" s="14">
        <v>20260312</v>
      </c>
      <c r="AA21" s="14">
        <v>20260316</v>
      </c>
      <c r="AB21" s="14">
        <v>3.7650041912233867E-2</v>
      </c>
      <c r="AC21" s="14">
        <v>0.94125104780584667</v>
      </c>
      <c r="AD21" s="14">
        <v>0.95022207032432959</v>
      </c>
      <c r="AF21" s="19"/>
      <c r="AG21" s="20">
        <v>45552</v>
      </c>
    </row>
    <row r="22" spans="2:33" x14ac:dyDescent="0.4">
      <c r="B22" s="9" t="s">
        <v>29</v>
      </c>
      <c r="C22" s="10">
        <v>45638</v>
      </c>
      <c r="D22" s="10">
        <v>47833</v>
      </c>
      <c r="E22" s="11">
        <v>1.88</v>
      </c>
      <c r="F22" s="9">
        <v>4</v>
      </c>
      <c r="J22" s="10">
        <v>47833</v>
      </c>
      <c r="K22" s="12">
        <v>3.6871590000000003</v>
      </c>
      <c r="L22" s="10">
        <v>47827</v>
      </c>
      <c r="M22" s="12">
        <v>3.7001840000000001</v>
      </c>
      <c r="O22" s="7">
        <v>6.0191780821917806</v>
      </c>
      <c r="P22" s="8">
        <v>1.8766487288475049</v>
      </c>
      <c r="R22" s="15">
        <v>9</v>
      </c>
      <c r="S22" s="14">
        <v>20260312</v>
      </c>
      <c r="T22" s="14">
        <v>20260612</v>
      </c>
      <c r="U22" s="14">
        <v>20260616</v>
      </c>
      <c r="V22" s="14">
        <v>2.035E-2</v>
      </c>
      <c r="W22" s="14">
        <v>0.5129315068493151</v>
      </c>
      <c r="X22" s="14">
        <v>0.96962934720959448</v>
      </c>
      <c r="Y22" s="14">
        <v>20260312</v>
      </c>
      <c r="Z22" s="14">
        <v>20260612</v>
      </c>
      <c r="AA22" s="14">
        <v>20260616</v>
      </c>
      <c r="AB22" s="14">
        <v>3.6505589419326689E-2</v>
      </c>
      <c r="AC22" s="14">
        <v>0.93292061849390429</v>
      </c>
      <c r="AD22" s="14">
        <v>0.94145168001126112</v>
      </c>
      <c r="AF22" s="19"/>
      <c r="AG22" s="20">
        <v>45553</v>
      </c>
    </row>
    <row r="23" spans="2:33" x14ac:dyDescent="0.4">
      <c r="B23" s="9" t="s">
        <v>29</v>
      </c>
      <c r="C23" s="10">
        <v>45638</v>
      </c>
      <c r="D23" s="10">
        <v>48198</v>
      </c>
      <c r="E23" s="11">
        <v>1.885</v>
      </c>
      <c r="F23" s="9">
        <v>4</v>
      </c>
      <c r="J23" s="10">
        <v>48198</v>
      </c>
      <c r="K23" s="12">
        <v>3.6786560000000001</v>
      </c>
      <c r="L23" s="10">
        <v>48192</v>
      </c>
      <c r="M23" s="12">
        <v>3.6871200000000002</v>
      </c>
      <c r="O23" s="7">
        <v>7.0191780821917806</v>
      </c>
      <c r="P23" s="8">
        <v>1.8818761205673236</v>
      </c>
      <c r="R23" s="15">
        <v>10</v>
      </c>
      <c r="S23" s="14">
        <v>20241212</v>
      </c>
      <c r="T23" s="14">
        <v>20250312</v>
      </c>
      <c r="U23" s="14">
        <v>20250314</v>
      </c>
      <c r="V23" s="14">
        <v>1.9650000000000001E-2</v>
      </c>
      <c r="W23" s="14">
        <v>0.48452054794520549</v>
      </c>
      <c r="X23" s="14">
        <v>0.99270901377394938</v>
      </c>
      <c r="Y23" s="14">
        <v>20241212</v>
      </c>
      <c r="Z23" s="14">
        <v>20250312</v>
      </c>
      <c r="AA23" s="14">
        <v>20250314</v>
      </c>
      <c r="AB23" s="14">
        <v>4.3954996023273907E-2</v>
      </c>
      <c r="AC23" s="14">
        <v>1.0988749005818477</v>
      </c>
      <c r="AD23" s="14">
        <v>0.9886424392876334</v>
      </c>
      <c r="AF23" s="19"/>
      <c r="AG23" s="20">
        <v>45566</v>
      </c>
    </row>
    <row r="24" spans="2:33" x14ac:dyDescent="0.4">
      <c r="B24" s="9" t="s">
        <v>29</v>
      </c>
      <c r="C24" s="10">
        <v>45638</v>
      </c>
      <c r="D24" s="10">
        <v>48563</v>
      </c>
      <c r="E24" s="11">
        <v>1.885</v>
      </c>
      <c r="F24" s="9">
        <v>4</v>
      </c>
      <c r="J24" s="10">
        <v>48563</v>
      </c>
      <c r="K24" s="12">
        <v>3.677524</v>
      </c>
      <c r="L24" s="10">
        <v>48558</v>
      </c>
      <c r="M24" s="12">
        <v>3.6887940000000001</v>
      </c>
      <c r="O24" s="7">
        <v>8.0191780821917806</v>
      </c>
      <c r="P24" s="8">
        <v>1.8817300891876234</v>
      </c>
      <c r="R24" s="15">
        <v>10</v>
      </c>
      <c r="S24" s="14">
        <v>20250312</v>
      </c>
      <c r="T24" s="14">
        <v>20250612</v>
      </c>
      <c r="U24" s="14">
        <v>20250616</v>
      </c>
      <c r="V24" s="14">
        <v>1.9650000000000001E-2</v>
      </c>
      <c r="W24" s="14">
        <v>0.49528767123287676</v>
      </c>
      <c r="X24" s="14">
        <v>0.98730258544302441</v>
      </c>
      <c r="Y24" s="14">
        <v>20250312</v>
      </c>
      <c r="Z24" s="14">
        <v>20250612</v>
      </c>
      <c r="AA24" s="14">
        <v>20250616</v>
      </c>
      <c r="AB24" s="14">
        <v>4.1354165149545943E-2</v>
      </c>
      <c r="AC24" s="14">
        <v>1.0568286649328407</v>
      </c>
      <c r="AD24" s="14">
        <v>0.97810451242860541</v>
      </c>
      <c r="AF24" s="19"/>
      <c r="AG24" s="20">
        <v>45568</v>
      </c>
    </row>
    <row r="25" spans="2:33" x14ac:dyDescent="0.4">
      <c r="B25" s="9" t="s">
        <v>29</v>
      </c>
      <c r="C25" s="10">
        <v>45638</v>
      </c>
      <c r="D25" s="10">
        <v>48927</v>
      </c>
      <c r="E25" s="11">
        <v>1.88</v>
      </c>
      <c r="F25" s="9">
        <v>4</v>
      </c>
      <c r="J25" s="10">
        <v>48927</v>
      </c>
      <c r="K25" s="12">
        <v>3.6806839999999998</v>
      </c>
      <c r="L25" s="10">
        <v>48925</v>
      </c>
      <c r="M25" s="12">
        <v>3.7023899999999998</v>
      </c>
      <c r="O25" s="7">
        <v>9.0164383561643842</v>
      </c>
      <c r="P25" s="8">
        <v>1.8762586164474497</v>
      </c>
      <c r="R25" s="15">
        <v>10</v>
      </c>
      <c r="S25" s="14">
        <v>20250612</v>
      </c>
      <c r="T25" s="14">
        <v>20250912</v>
      </c>
      <c r="U25" s="14">
        <v>20250916</v>
      </c>
      <c r="V25" s="14">
        <v>1.9650000000000001E-2</v>
      </c>
      <c r="W25" s="14">
        <v>0.49528767123287676</v>
      </c>
      <c r="X25" s="14">
        <v>0.9824608745257547</v>
      </c>
      <c r="Y25" s="14">
        <v>20250612</v>
      </c>
      <c r="Z25" s="14">
        <v>20250912</v>
      </c>
      <c r="AA25" s="14">
        <v>20250916</v>
      </c>
      <c r="AB25" s="14">
        <v>3.9307839001370047E-2</v>
      </c>
      <c r="AC25" s="14">
        <v>1.0045336633683455</v>
      </c>
      <c r="AD25" s="14">
        <v>0.96839584644885923</v>
      </c>
      <c r="AF25" s="19"/>
      <c r="AG25" s="20">
        <v>45574</v>
      </c>
    </row>
    <row r="26" spans="2:33" x14ac:dyDescent="0.4">
      <c r="B26" s="9" t="s">
        <v>29</v>
      </c>
      <c r="C26" s="10">
        <v>45638</v>
      </c>
      <c r="D26" s="10">
        <v>49292</v>
      </c>
      <c r="E26" s="11">
        <v>1.9</v>
      </c>
      <c r="F26" s="9">
        <v>4</v>
      </c>
      <c r="J26" s="10">
        <v>49292</v>
      </c>
      <c r="K26" s="12">
        <v>3.6882989999999998</v>
      </c>
      <c r="L26" s="10">
        <v>49289</v>
      </c>
      <c r="M26" s="12">
        <v>3.7227329999999998</v>
      </c>
      <c r="O26" s="7">
        <v>10.016438356164384</v>
      </c>
      <c r="P26" s="8">
        <v>1.8980694055557257</v>
      </c>
      <c r="R26" s="15">
        <v>10</v>
      </c>
      <c r="S26" s="14">
        <v>20250912</v>
      </c>
      <c r="T26" s="14">
        <v>20251212</v>
      </c>
      <c r="U26" s="14">
        <v>20251216</v>
      </c>
      <c r="V26" s="14">
        <v>1.9650000000000001E-2</v>
      </c>
      <c r="W26" s="14">
        <v>0.48990410958904113</v>
      </c>
      <c r="X26" s="14">
        <v>0.97848810988448698</v>
      </c>
      <c r="Y26" s="14">
        <v>20250912</v>
      </c>
      <c r="Z26" s="14">
        <v>20251212</v>
      </c>
      <c r="AA26" s="14">
        <v>20251216</v>
      </c>
      <c r="AB26" s="14">
        <v>3.8115538737094092E-2</v>
      </c>
      <c r="AC26" s="14">
        <v>0.96347611807654499</v>
      </c>
      <c r="AD26" s="14">
        <v>0.95916401323373646</v>
      </c>
      <c r="AF26" s="19"/>
      <c r="AG26" s="20">
        <v>45651</v>
      </c>
    </row>
    <row r="27" spans="2:33" x14ac:dyDescent="0.4">
      <c r="B27" s="9" t="s">
        <v>29</v>
      </c>
      <c r="C27" s="10">
        <v>45638</v>
      </c>
      <c r="D27" s="10">
        <v>49657</v>
      </c>
      <c r="E27" s="11">
        <v>1.9</v>
      </c>
      <c r="F27" s="9">
        <v>4</v>
      </c>
      <c r="J27" s="10">
        <v>50025</v>
      </c>
      <c r="K27" s="12">
        <v>3.7116870000000004</v>
      </c>
      <c r="L27" s="10">
        <v>50019</v>
      </c>
      <c r="M27" s="12">
        <v>3.781072</v>
      </c>
      <c r="O27" s="7">
        <v>11.016438356164384</v>
      </c>
      <c r="P27" s="8">
        <v>1.8977669119834901</v>
      </c>
      <c r="R27" s="15">
        <v>10</v>
      </c>
      <c r="S27" s="14">
        <v>20251212</v>
      </c>
      <c r="T27" s="14">
        <v>20260312</v>
      </c>
      <c r="U27" s="14">
        <v>20260316</v>
      </c>
      <c r="V27" s="14">
        <v>1.9650000000000001E-2</v>
      </c>
      <c r="W27" s="14">
        <v>0.48452054794520549</v>
      </c>
      <c r="X27" s="14">
        <v>0.97397125187931066</v>
      </c>
      <c r="Y27" s="14">
        <v>20251212</v>
      </c>
      <c r="Z27" s="14">
        <v>20260312</v>
      </c>
      <c r="AA27" s="14">
        <v>20260316</v>
      </c>
      <c r="AB27" s="14">
        <v>3.7650041912233867E-2</v>
      </c>
      <c r="AC27" s="14">
        <v>0.94125104780584667</v>
      </c>
      <c r="AD27" s="14">
        <v>0.95022207032432959</v>
      </c>
      <c r="AF27" s="18"/>
      <c r="AG27" s="20">
        <v>45658</v>
      </c>
    </row>
    <row r="28" spans="2:33" x14ac:dyDescent="0.4">
      <c r="B28" s="9" t="s">
        <v>29</v>
      </c>
      <c r="C28" s="10">
        <v>45638</v>
      </c>
      <c r="D28" s="10">
        <v>50025</v>
      </c>
      <c r="E28" s="11">
        <v>1.88</v>
      </c>
      <c r="F28" s="9">
        <v>4</v>
      </c>
      <c r="J28" s="10">
        <v>51118</v>
      </c>
      <c r="K28" s="12">
        <v>3.7401660000000003</v>
      </c>
      <c r="L28" s="10">
        <v>51116</v>
      </c>
      <c r="M28" s="12">
        <v>3.8588650000000002</v>
      </c>
      <c r="O28" s="7">
        <v>12.024657534246575</v>
      </c>
      <c r="P28" s="8">
        <v>1.8752948093414317</v>
      </c>
      <c r="R28" s="15">
        <v>10</v>
      </c>
      <c r="S28" s="14">
        <v>20260312</v>
      </c>
      <c r="T28" s="14">
        <v>20260612</v>
      </c>
      <c r="U28" s="14">
        <v>20260616</v>
      </c>
      <c r="V28" s="14">
        <v>1.9650000000000001E-2</v>
      </c>
      <c r="W28" s="14">
        <v>0.49528767123287676</v>
      </c>
      <c r="X28" s="14">
        <v>0.96962934720959448</v>
      </c>
      <c r="Y28" s="14">
        <v>20260312</v>
      </c>
      <c r="Z28" s="14">
        <v>20260612</v>
      </c>
      <c r="AA28" s="14">
        <v>20260616</v>
      </c>
      <c r="AB28" s="14">
        <v>3.6505589419326689E-2</v>
      </c>
      <c r="AC28" s="14">
        <v>0.93292061849390429</v>
      </c>
      <c r="AD28" s="14">
        <v>0.94145168001126112</v>
      </c>
      <c r="AF28" s="18"/>
      <c r="AG28" s="20">
        <v>45685</v>
      </c>
    </row>
    <row r="29" spans="2:33" x14ac:dyDescent="0.4">
      <c r="B29" s="9" t="s">
        <v>29</v>
      </c>
      <c r="C29" s="10">
        <v>45638</v>
      </c>
      <c r="D29" s="10">
        <v>51118</v>
      </c>
      <c r="E29" s="11">
        <v>1.84</v>
      </c>
      <c r="F29" s="9">
        <v>4</v>
      </c>
      <c r="J29" s="10">
        <v>52945</v>
      </c>
      <c r="K29" s="12">
        <v>3.719903</v>
      </c>
      <c r="L29" s="10">
        <v>52943</v>
      </c>
      <c r="M29" s="12">
        <v>3.9228260000000001</v>
      </c>
      <c r="O29" s="7">
        <v>15.019178082191781</v>
      </c>
      <c r="P29" s="8">
        <v>1.8309962713718424</v>
      </c>
      <c r="R29" s="15">
        <v>10</v>
      </c>
      <c r="S29" s="14">
        <v>20260612</v>
      </c>
      <c r="T29" s="14">
        <v>20260914</v>
      </c>
      <c r="U29" s="14">
        <v>20260916</v>
      </c>
      <c r="V29" s="14">
        <v>1.9650000000000001E-2</v>
      </c>
      <c r="W29" s="14">
        <v>0.50605479452054791</v>
      </c>
      <c r="X29" s="14">
        <v>0.96527436697370961</v>
      </c>
      <c r="Y29" s="14">
        <v>20260612</v>
      </c>
      <c r="Z29" s="14">
        <v>20260914</v>
      </c>
      <c r="AA29" s="14">
        <v>20260916</v>
      </c>
      <c r="AB29" s="14">
        <v>3.665192740209311E-2</v>
      </c>
      <c r="AC29" s="14">
        <v>0.95702254883243132</v>
      </c>
      <c r="AD29" s="14">
        <v>0.93271013681990811</v>
      </c>
      <c r="AG29" s="20">
        <v>45686</v>
      </c>
    </row>
    <row r="30" spans="2:33" x14ac:dyDescent="0.4">
      <c r="B30" s="9" t="s">
        <v>29</v>
      </c>
      <c r="C30" s="10">
        <v>45638</v>
      </c>
      <c r="D30" s="10">
        <v>52945</v>
      </c>
      <c r="E30" s="11">
        <v>1.77</v>
      </c>
      <c r="F30" s="9">
        <v>4</v>
      </c>
      <c r="J30" s="10">
        <v>54772</v>
      </c>
      <c r="K30" s="12">
        <v>3.6104720000000001</v>
      </c>
      <c r="L30" s="10">
        <v>54767</v>
      </c>
      <c r="M30" s="12">
        <v>3.9185319999999999</v>
      </c>
      <c r="O30" s="7">
        <v>20.024657534246575</v>
      </c>
      <c r="P30" s="8">
        <v>1.7523731184005742</v>
      </c>
      <c r="R30" s="15">
        <v>10</v>
      </c>
      <c r="S30" s="14">
        <v>20260914</v>
      </c>
      <c r="T30" s="14">
        <v>20261214</v>
      </c>
      <c r="U30" s="14">
        <v>20261216</v>
      </c>
      <c r="V30" s="14">
        <v>1.9650000000000001E-2</v>
      </c>
      <c r="W30" s="14">
        <v>0.48990410958904113</v>
      </c>
      <c r="X30" s="14">
        <v>0.96115573199374194</v>
      </c>
      <c r="Y30" s="14">
        <v>20260914</v>
      </c>
      <c r="Z30" s="14">
        <v>20261214</v>
      </c>
      <c r="AA30" s="14">
        <v>20261216</v>
      </c>
      <c r="AB30" s="14">
        <v>3.5895347904791812E-2</v>
      </c>
      <c r="AC30" s="14">
        <v>0.90735462759334862</v>
      </c>
      <c r="AD30" s="14">
        <v>0.92432726502282114</v>
      </c>
      <c r="AG30" s="20">
        <v>45687</v>
      </c>
    </row>
    <row r="31" spans="2:33" x14ac:dyDescent="0.4">
      <c r="J31" s="10">
        <v>56599</v>
      </c>
      <c r="K31" s="12">
        <v>3.474796</v>
      </c>
      <c r="L31" s="10">
        <v>56593</v>
      </c>
      <c r="M31" s="12">
        <v>3.865094</v>
      </c>
      <c r="R31" s="15">
        <v>11</v>
      </c>
      <c r="S31" s="14">
        <v>20241212</v>
      </c>
      <c r="T31" s="14">
        <v>20250312</v>
      </c>
      <c r="U31" s="14">
        <v>20250314</v>
      </c>
      <c r="V31" s="14">
        <v>1.925E-2</v>
      </c>
      <c r="W31" s="14">
        <v>0.47465753424657531</v>
      </c>
      <c r="X31" s="14">
        <v>0.99270901377394938</v>
      </c>
      <c r="Y31" s="14">
        <v>20241212</v>
      </c>
      <c r="Z31" s="14">
        <v>20250312</v>
      </c>
      <c r="AA31" s="14">
        <v>20250314</v>
      </c>
      <c r="AB31" s="14">
        <v>4.3954996023273907E-2</v>
      </c>
      <c r="AC31" s="14">
        <v>1.0988749005818477</v>
      </c>
      <c r="AD31" s="14">
        <v>0.9886424392876334</v>
      </c>
      <c r="AG31" s="20">
        <v>45719</v>
      </c>
    </row>
    <row r="32" spans="2:33" x14ac:dyDescent="0.4">
      <c r="J32" s="10">
        <v>60252</v>
      </c>
      <c r="K32" s="12">
        <v>3.1613030000000002</v>
      </c>
      <c r="L32" s="10">
        <v>60246</v>
      </c>
      <c r="M32" s="12">
        <v>3.6799140000000001</v>
      </c>
      <c r="R32" s="15">
        <v>11</v>
      </c>
      <c r="S32" s="14">
        <v>20250312</v>
      </c>
      <c r="T32" s="14">
        <v>20250612</v>
      </c>
      <c r="U32" s="14">
        <v>20250616</v>
      </c>
      <c r="V32" s="14">
        <v>1.925E-2</v>
      </c>
      <c r="W32" s="14">
        <v>0.48520547945205483</v>
      </c>
      <c r="X32" s="14">
        <v>0.98730258544302441</v>
      </c>
      <c r="Y32" s="14">
        <v>20250312</v>
      </c>
      <c r="Z32" s="14">
        <v>20250612</v>
      </c>
      <c r="AA32" s="14">
        <v>20250616</v>
      </c>
      <c r="AB32" s="14">
        <v>4.1354165149545943E-2</v>
      </c>
      <c r="AC32" s="14">
        <v>1.0568286649328407</v>
      </c>
      <c r="AD32" s="14">
        <v>0.97810451242860541</v>
      </c>
      <c r="AG32" s="20">
        <v>45778</v>
      </c>
    </row>
    <row r="33" spans="10:33" x14ac:dyDescent="0.4">
      <c r="J33" s="10">
        <v>63902</v>
      </c>
      <c r="K33" s="12">
        <v>2.8389600000000002</v>
      </c>
      <c r="L33" s="10">
        <v>63898</v>
      </c>
      <c r="M33" s="12">
        <v>3.4503180000000002</v>
      </c>
      <c r="R33" s="15">
        <v>11</v>
      </c>
      <c r="S33" s="14">
        <v>20250612</v>
      </c>
      <c r="T33" s="14">
        <v>20250912</v>
      </c>
      <c r="U33" s="14">
        <v>20250916</v>
      </c>
      <c r="V33" s="14">
        <v>1.925E-2</v>
      </c>
      <c r="W33" s="14">
        <v>0.48520547945205483</v>
      </c>
      <c r="X33" s="14">
        <v>0.9824608745257547</v>
      </c>
      <c r="Y33" s="14">
        <v>20250612</v>
      </c>
      <c r="Z33" s="14">
        <v>20250912</v>
      </c>
      <c r="AA33" s="14">
        <v>20250916</v>
      </c>
      <c r="AB33" s="14">
        <v>3.9307839001370047E-2</v>
      </c>
      <c r="AC33" s="14">
        <v>1.0045336633683455</v>
      </c>
      <c r="AD33" s="14">
        <v>0.96839584644885923</v>
      </c>
      <c r="AG33" s="20">
        <v>45782</v>
      </c>
    </row>
    <row r="34" spans="10:33" x14ac:dyDescent="0.4">
      <c r="R34" s="15">
        <v>11</v>
      </c>
      <c r="S34" s="14">
        <v>20250912</v>
      </c>
      <c r="T34" s="14">
        <v>20251212</v>
      </c>
      <c r="U34" s="14">
        <v>20251216</v>
      </c>
      <c r="V34" s="14">
        <v>1.925E-2</v>
      </c>
      <c r="W34" s="14">
        <v>0.47993150684931507</v>
      </c>
      <c r="X34" s="14">
        <v>0.97848810988448698</v>
      </c>
      <c r="Y34" s="14">
        <v>20250912</v>
      </c>
      <c r="Z34" s="14">
        <v>20251212</v>
      </c>
      <c r="AA34" s="14">
        <v>20251216</v>
      </c>
      <c r="AB34" s="14">
        <v>3.8115538737094092E-2</v>
      </c>
      <c r="AC34" s="14">
        <v>0.96347611807654499</v>
      </c>
      <c r="AD34" s="14">
        <v>0.95916401323373646</v>
      </c>
      <c r="AG34" s="20">
        <v>45783</v>
      </c>
    </row>
    <row r="35" spans="10:33" x14ac:dyDescent="0.4">
      <c r="R35" s="15">
        <v>11</v>
      </c>
      <c r="S35" s="14">
        <v>20251212</v>
      </c>
      <c r="T35" s="14">
        <v>20260312</v>
      </c>
      <c r="U35" s="14">
        <v>20260316</v>
      </c>
      <c r="V35" s="14">
        <v>1.925E-2</v>
      </c>
      <c r="W35" s="14">
        <v>0.47465753424657531</v>
      </c>
      <c r="X35" s="14">
        <v>0.97397125187931066</v>
      </c>
      <c r="Y35" s="14">
        <v>20251212</v>
      </c>
      <c r="Z35" s="14">
        <v>20260312</v>
      </c>
      <c r="AA35" s="14">
        <v>20260316</v>
      </c>
      <c r="AB35" s="14">
        <v>3.7650041912233867E-2</v>
      </c>
      <c r="AC35" s="14">
        <v>0.94125104780584667</v>
      </c>
      <c r="AD35" s="14">
        <v>0.95022207032432959</v>
      </c>
      <c r="AG35" s="20">
        <v>45814</v>
      </c>
    </row>
    <row r="36" spans="10:33" x14ac:dyDescent="0.4">
      <c r="R36" s="15">
        <v>11</v>
      </c>
      <c r="S36" s="14">
        <v>20260312</v>
      </c>
      <c r="T36" s="14">
        <v>20260612</v>
      </c>
      <c r="U36" s="14">
        <v>20260616</v>
      </c>
      <c r="V36" s="14">
        <v>1.925E-2</v>
      </c>
      <c r="W36" s="14">
        <v>0.48520547945205483</v>
      </c>
      <c r="X36" s="14">
        <v>0.96962934720959448</v>
      </c>
      <c r="Y36" s="14">
        <v>20260312</v>
      </c>
      <c r="Z36" s="14">
        <v>20260612</v>
      </c>
      <c r="AA36" s="14">
        <v>20260616</v>
      </c>
      <c r="AB36" s="14">
        <v>3.6505589419326689E-2</v>
      </c>
      <c r="AC36" s="14">
        <v>0.93292061849390429</v>
      </c>
      <c r="AD36" s="14">
        <v>0.94145168001126112</v>
      </c>
      <c r="AG36" s="20">
        <v>45884</v>
      </c>
    </row>
    <row r="37" spans="10:33" x14ac:dyDescent="0.4">
      <c r="R37" s="15">
        <v>11</v>
      </c>
      <c r="S37" s="14">
        <v>20260612</v>
      </c>
      <c r="T37" s="14">
        <v>20260914</v>
      </c>
      <c r="U37" s="14">
        <v>20260916</v>
      </c>
      <c r="V37" s="14">
        <v>1.925E-2</v>
      </c>
      <c r="W37" s="14">
        <v>0.49575342465753425</v>
      </c>
      <c r="X37" s="14">
        <v>0.96527436697370961</v>
      </c>
      <c r="Y37" s="14">
        <v>20260612</v>
      </c>
      <c r="Z37" s="14">
        <v>20260914</v>
      </c>
      <c r="AA37" s="14">
        <v>20260916</v>
      </c>
      <c r="AB37" s="14">
        <v>3.665192740209311E-2</v>
      </c>
      <c r="AC37" s="14">
        <v>0.95702254883243132</v>
      </c>
      <c r="AD37" s="14">
        <v>0.93271013681990811</v>
      </c>
      <c r="AG37" s="20">
        <v>45933</v>
      </c>
    </row>
    <row r="38" spans="10:33" x14ac:dyDescent="0.4">
      <c r="R38" s="15">
        <v>11</v>
      </c>
      <c r="S38" s="14">
        <v>20260914</v>
      </c>
      <c r="T38" s="14">
        <v>20261214</v>
      </c>
      <c r="U38" s="14">
        <v>20261216</v>
      </c>
      <c r="V38" s="14">
        <v>1.925E-2</v>
      </c>
      <c r="W38" s="14">
        <v>0.47993150684931507</v>
      </c>
      <c r="X38" s="14">
        <v>0.96115573199374194</v>
      </c>
      <c r="Y38" s="14">
        <v>20260914</v>
      </c>
      <c r="Z38" s="14">
        <v>20261214</v>
      </c>
      <c r="AA38" s="14">
        <v>20261216</v>
      </c>
      <c r="AB38" s="14">
        <v>3.5895347904791812E-2</v>
      </c>
      <c r="AC38" s="14">
        <v>0.90735462759334862</v>
      </c>
      <c r="AD38" s="14">
        <v>0.92432726502282114</v>
      </c>
      <c r="AG38" s="20">
        <v>45936</v>
      </c>
    </row>
    <row r="39" spans="10:33" x14ac:dyDescent="0.4">
      <c r="R39" s="15">
        <v>11</v>
      </c>
      <c r="S39" s="14">
        <v>20261214</v>
      </c>
      <c r="T39" s="14">
        <v>20270312</v>
      </c>
      <c r="U39" s="14">
        <v>20270316</v>
      </c>
      <c r="V39" s="14">
        <v>1.925E-2</v>
      </c>
      <c r="W39" s="14">
        <v>0.46410958904109589</v>
      </c>
      <c r="X39" s="14">
        <v>0.95673227636049363</v>
      </c>
      <c r="Y39" s="14">
        <v>20261214</v>
      </c>
      <c r="Z39" s="14">
        <v>20270312</v>
      </c>
      <c r="AA39" s="14">
        <v>20270316</v>
      </c>
      <c r="AB39" s="14">
        <v>3.6467158129272738E-2</v>
      </c>
      <c r="AC39" s="14">
        <v>0.89141942093777793</v>
      </c>
      <c r="AD39" s="14">
        <v>0.915972896403355</v>
      </c>
      <c r="AG39" s="20">
        <v>45937</v>
      </c>
    </row>
    <row r="40" spans="10:33" x14ac:dyDescent="0.4">
      <c r="R40" s="15">
        <v>11</v>
      </c>
      <c r="S40" s="14">
        <v>20270312</v>
      </c>
      <c r="T40" s="14">
        <v>20270614</v>
      </c>
      <c r="U40" s="14">
        <v>20270616</v>
      </c>
      <c r="V40" s="14">
        <v>1.925E-2</v>
      </c>
      <c r="W40" s="14">
        <v>0.49575342465753425</v>
      </c>
      <c r="X40" s="14">
        <v>0.9522812889989285</v>
      </c>
      <c r="Y40" s="14">
        <v>20270312</v>
      </c>
      <c r="Z40" s="14">
        <v>20270614</v>
      </c>
      <c r="AA40" s="14">
        <v>20270616</v>
      </c>
      <c r="AB40" s="14">
        <v>3.6023325792759735E-2</v>
      </c>
      <c r="AC40" s="14">
        <v>0.94060906236650421</v>
      </c>
      <c r="AD40" s="14">
        <v>0.90762189050154718</v>
      </c>
      <c r="AG40" s="20">
        <v>45938</v>
      </c>
    </row>
    <row r="41" spans="10:33" x14ac:dyDescent="0.4">
      <c r="R41" s="15">
        <v>11</v>
      </c>
      <c r="S41" s="14">
        <v>20270614</v>
      </c>
      <c r="T41" s="14">
        <v>20270913</v>
      </c>
      <c r="U41" s="14">
        <v>20270920</v>
      </c>
      <c r="V41" s="14">
        <v>1.925E-2</v>
      </c>
      <c r="W41" s="14">
        <v>0.47993150684931507</v>
      </c>
      <c r="X41" s="14">
        <v>0.94771219825361941</v>
      </c>
      <c r="Y41" s="14">
        <v>20270614</v>
      </c>
      <c r="Z41" s="14">
        <v>20270913</v>
      </c>
      <c r="AA41" s="14">
        <v>20270920</v>
      </c>
      <c r="AB41" s="14">
        <v>3.5527171756109518E-2</v>
      </c>
      <c r="AC41" s="14">
        <v>0.89804795272387938</v>
      </c>
      <c r="AD41" s="14">
        <v>0.89910745629996247</v>
      </c>
      <c r="AG41" s="20">
        <v>45939</v>
      </c>
    </row>
    <row r="42" spans="10:33" x14ac:dyDescent="0.4">
      <c r="R42" s="15">
        <v>11</v>
      </c>
      <c r="S42" s="14">
        <v>20270913</v>
      </c>
      <c r="T42" s="14">
        <v>20271213</v>
      </c>
      <c r="U42" s="14">
        <v>20271215</v>
      </c>
      <c r="V42" s="14">
        <v>1.925E-2</v>
      </c>
      <c r="W42" s="14">
        <v>0.47993150684931507</v>
      </c>
      <c r="X42" s="14">
        <v>0.94368373780435177</v>
      </c>
      <c r="Y42" s="14">
        <v>20270913</v>
      </c>
      <c r="Z42" s="14">
        <v>20271213</v>
      </c>
      <c r="AA42" s="14">
        <v>20271215</v>
      </c>
      <c r="AB42" s="14">
        <v>3.5044424523607037E-2</v>
      </c>
      <c r="AC42" s="14">
        <v>0.88584517545784447</v>
      </c>
      <c r="AD42" s="14">
        <v>0.89164970448652192</v>
      </c>
      <c r="AG42" s="20">
        <v>46016</v>
      </c>
    </row>
    <row r="43" spans="10:33" x14ac:dyDescent="0.4">
      <c r="R43" s="15">
        <v>12</v>
      </c>
      <c r="S43" s="14">
        <v>20241212</v>
      </c>
      <c r="T43" s="14">
        <v>20250312</v>
      </c>
      <c r="U43" s="14">
        <v>20250314</v>
      </c>
      <c r="V43" s="14">
        <v>1.89E-2</v>
      </c>
      <c r="W43" s="14">
        <v>0.46602739726027398</v>
      </c>
      <c r="X43" s="14">
        <v>0.99270901377394938</v>
      </c>
      <c r="Y43" s="14">
        <v>20241212</v>
      </c>
      <c r="Z43" s="14">
        <v>20250312</v>
      </c>
      <c r="AA43" s="14">
        <v>20250314</v>
      </c>
      <c r="AB43" s="14">
        <v>4.3954996023273907E-2</v>
      </c>
      <c r="AC43" s="14">
        <v>1.0988749005818477</v>
      </c>
      <c r="AD43" s="14">
        <v>0.9886424392876334</v>
      </c>
      <c r="AG43" s="20">
        <v>46023</v>
      </c>
    </row>
    <row r="44" spans="10:33" x14ac:dyDescent="0.4">
      <c r="R44" s="15">
        <v>12</v>
      </c>
      <c r="S44" s="14">
        <v>20250312</v>
      </c>
      <c r="T44" s="14">
        <v>20250612</v>
      </c>
      <c r="U44" s="14">
        <v>20250616</v>
      </c>
      <c r="V44" s="14">
        <v>1.89E-2</v>
      </c>
      <c r="W44" s="14">
        <v>0.47638356164383566</v>
      </c>
      <c r="X44" s="14">
        <v>0.98730258544302441</v>
      </c>
      <c r="Y44" s="14">
        <v>20250312</v>
      </c>
      <c r="Z44" s="14">
        <v>20250612</v>
      </c>
      <c r="AA44" s="14">
        <v>20250616</v>
      </c>
      <c r="AB44" s="14">
        <v>4.1354165149545943E-2</v>
      </c>
      <c r="AC44" s="14">
        <v>1.0568286649328407</v>
      </c>
      <c r="AD44" s="14">
        <v>0.97810451242860541</v>
      </c>
      <c r="AG44" s="20">
        <v>46069</v>
      </c>
    </row>
    <row r="45" spans="10:33" x14ac:dyDescent="0.4">
      <c r="R45" s="15">
        <v>12</v>
      </c>
      <c r="S45" s="14">
        <v>20250612</v>
      </c>
      <c r="T45" s="14">
        <v>20250912</v>
      </c>
      <c r="U45" s="14">
        <v>20250916</v>
      </c>
      <c r="V45" s="14">
        <v>1.89E-2</v>
      </c>
      <c r="W45" s="14">
        <v>0.47638356164383566</v>
      </c>
      <c r="X45" s="14">
        <v>0.9824608745257547</v>
      </c>
      <c r="Y45" s="14">
        <v>20250612</v>
      </c>
      <c r="Z45" s="14">
        <v>20250912</v>
      </c>
      <c r="AA45" s="14">
        <v>20250916</v>
      </c>
      <c r="AB45" s="14">
        <v>3.9307839001370047E-2</v>
      </c>
      <c r="AC45" s="14">
        <v>1.0045336633683455</v>
      </c>
      <c r="AD45" s="14">
        <v>0.96839584644885923</v>
      </c>
      <c r="AG45" s="20">
        <v>46070</v>
      </c>
    </row>
    <row r="46" spans="10:33" x14ac:dyDescent="0.4">
      <c r="R46" s="15">
        <v>12</v>
      </c>
      <c r="S46" s="14">
        <v>20250912</v>
      </c>
      <c r="T46" s="14">
        <v>20251212</v>
      </c>
      <c r="U46" s="14">
        <v>20251216</v>
      </c>
      <c r="V46" s="14">
        <v>1.89E-2</v>
      </c>
      <c r="W46" s="14">
        <v>0.47120547945205482</v>
      </c>
      <c r="X46" s="14">
        <v>0.97848810988448698</v>
      </c>
      <c r="Y46" s="14">
        <v>20250912</v>
      </c>
      <c r="Z46" s="14">
        <v>20251212</v>
      </c>
      <c r="AA46" s="14">
        <v>20251216</v>
      </c>
      <c r="AB46" s="14">
        <v>3.8115538737094092E-2</v>
      </c>
      <c r="AC46" s="14">
        <v>0.96347611807654499</v>
      </c>
      <c r="AD46" s="14">
        <v>0.95916401323373646</v>
      </c>
      <c r="AG46" s="20">
        <v>46071</v>
      </c>
    </row>
    <row r="47" spans="10:33" x14ac:dyDescent="0.4">
      <c r="R47" s="15">
        <v>12</v>
      </c>
      <c r="S47" s="14">
        <v>20251212</v>
      </c>
      <c r="T47" s="14">
        <v>20260312</v>
      </c>
      <c r="U47" s="14">
        <v>20260316</v>
      </c>
      <c r="V47" s="14">
        <v>1.89E-2</v>
      </c>
      <c r="W47" s="14">
        <v>0.46602739726027398</v>
      </c>
      <c r="X47" s="14">
        <v>0.97397125187931066</v>
      </c>
      <c r="Y47" s="14">
        <v>20251212</v>
      </c>
      <c r="Z47" s="14">
        <v>20260312</v>
      </c>
      <c r="AA47" s="14">
        <v>20260316</v>
      </c>
      <c r="AB47" s="14">
        <v>3.7650041912233867E-2</v>
      </c>
      <c r="AC47" s="14">
        <v>0.94125104780584667</v>
      </c>
      <c r="AD47" s="14">
        <v>0.95022207032432959</v>
      </c>
      <c r="AG47" s="20">
        <v>46083</v>
      </c>
    </row>
    <row r="48" spans="10:33" x14ac:dyDescent="0.4">
      <c r="R48" s="15">
        <v>12</v>
      </c>
      <c r="S48" s="14">
        <v>20260312</v>
      </c>
      <c r="T48" s="14">
        <v>20260612</v>
      </c>
      <c r="U48" s="14">
        <v>20260616</v>
      </c>
      <c r="V48" s="14">
        <v>1.89E-2</v>
      </c>
      <c r="W48" s="14">
        <v>0.47638356164383566</v>
      </c>
      <c r="X48" s="14">
        <v>0.96962934720959448</v>
      </c>
      <c r="Y48" s="14">
        <v>20260312</v>
      </c>
      <c r="Z48" s="14">
        <v>20260612</v>
      </c>
      <c r="AA48" s="14">
        <v>20260616</v>
      </c>
      <c r="AB48" s="14">
        <v>3.6505589419326689E-2</v>
      </c>
      <c r="AC48" s="14">
        <v>0.93292061849390429</v>
      </c>
      <c r="AD48" s="14">
        <v>0.94145168001126112</v>
      </c>
      <c r="AG48" s="20">
        <v>46143</v>
      </c>
    </row>
    <row r="49" spans="18:33" x14ac:dyDescent="0.4">
      <c r="R49" s="15">
        <v>12</v>
      </c>
      <c r="S49" s="14">
        <v>20260612</v>
      </c>
      <c r="T49" s="14">
        <v>20260914</v>
      </c>
      <c r="U49" s="14">
        <v>20260916</v>
      </c>
      <c r="V49" s="14">
        <v>1.89E-2</v>
      </c>
      <c r="W49" s="14">
        <v>0.48673972602739729</v>
      </c>
      <c r="X49" s="14">
        <v>0.96527436697370961</v>
      </c>
      <c r="Y49" s="14">
        <v>20260612</v>
      </c>
      <c r="Z49" s="14">
        <v>20260914</v>
      </c>
      <c r="AA49" s="14">
        <v>20260916</v>
      </c>
      <c r="AB49" s="14">
        <v>3.665192740209311E-2</v>
      </c>
      <c r="AC49" s="14">
        <v>0.95702254883243132</v>
      </c>
      <c r="AD49" s="14">
        <v>0.93271013681990811</v>
      </c>
      <c r="AG49" s="20">
        <v>46147</v>
      </c>
    </row>
    <row r="50" spans="18:33" x14ac:dyDescent="0.4">
      <c r="R50" s="15">
        <v>12</v>
      </c>
      <c r="S50" s="14">
        <v>20260914</v>
      </c>
      <c r="T50" s="14">
        <v>20261214</v>
      </c>
      <c r="U50" s="14">
        <v>20261216</v>
      </c>
      <c r="V50" s="14">
        <v>1.89E-2</v>
      </c>
      <c r="W50" s="14">
        <v>0.47120547945205482</v>
      </c>
      <c r="X50" s="14">
        <v>0.96115573199374194</v>
      </c>
      <c r="Y50" s="14">
        <v>20260914</v>
      </c>
      <c r="Z50" s="14">
        <v>20261214</v>
      </c>
      <c r="AA50" s="14">
        <v>20261216</v>
      </c>
      <c r="AB50" s="14">
        <v>3.5895347904791812E-2</v>
      </c>
      <c r="AC50" s="14">
        <v>0.90735462759334862</v>
      </c>
      <c r="AD50" s="14">
        <v>0.92432726502282114</v>
      </c>
      <c r="AG50" s="20">
        <v>46167</v>
      </c>
    </row>
    <row r="51" spans="18:33" x14ac:dyDescent="0.4">
      <c r="R51" s="15">
        <v>12</v>
      </c>
      <c r="S51" s="14">
        <v>20261214</v>
      </c>
      <c r="T51" s="14">
        <v>20270312</v>
      </c>
      <c r="U51" s="14">
        <v>20270316</v>
      </c>
      <c r="V51" s="14">
        <v>1.89E-2</v>
      </c>
      <c r="W51" s="14">
        <v>0.45567123287671235</v>
      </c>
      <c r="X51" s="14">
        <v>0.95673227636049363</v>
      </c>
      <c r="Y51" s="14">
        <v>20261214</v>
      </c>
      <c r="Z51" s="14">
        <v>20270312</v>
      </c>
      <c r="AA51" s="14">
        <v>20270316</v>
      </c>
      <c r="AB51" s="14">
        <v>3.6467158129272738E-2</v>
      </c>
      <c r="AC51" s="14">
        <v>0.89141942093777793</v>
      </c>
      <c r="AD51" s="14">
        <v>0.915972896403355</v>
      </c>
      <c r="AG51" s="20">
        <v>46179</v>
      </c>
    </row>
    <row r="52" spans="18:33" x14ac:dyDescent="0.4">
      <c r="R52" s="15">
        <v>12</v>
      </c>
      <c r="S52" s="14">
        <v>20270312</v>
      </c>
      <c r="T52" s="14">
        <v>20270614</v>
      </c>
      <c r="U52" s="14">
        <v>20270616</v>
      </c>
      <c r="V52" s="14">
        <v>1.89E-2</v>
      </c>
      <c r="W52" s="14">
        <v>0.48673972602739729</v>
      </c>
      <c r="X52" s="14">
        <v>0.9522812889989285</v>
      </c>
      <c r="Y52" s="14">
        <v>20270312</v>
      </c>
      <c r="Z52" s="14">
        <v>20270614</v>
      </c>
      <c r="AA52" s="14">
        <v>20270616</v>
      </c>
      <c r="AB52" s="14">
        <v>3.6023325792759735E-2</v>
      </c>
      <c r="AC52" s="14">
        <v>0.94060906236650421</v>
      </c>
      <c r="AD52" s="14">
        <v>0.90762189050154718</v>
      </c>
      <c r="AG52" s="20">
        <v>46251</v>
      </c>
    </row>
    <row r="53" spans="18:33" x14ac:dyDescent="0.4">
      <c r="R53" s="15">
        <v>12</v>
      </c>
      <c r="S53" s="14">
        <v>20270614</v>
      </c>
      <c r="T53" s="14">
        <v>20270913</v>
      </c>
      <c r="U53" s="14">
        <v>20270920</v>
      </c>
      <c r="V53" s="14">
        <v>1.89E-2</v>
      </c>
      <c r="W53" s="14">
        <v>0.47120547945205482</v>
      </c>
      <c r="X53" s="14">
        <v>0.94771219825361941</v>
      </c>
      <c r="Y53" s="14">
        <v>20270614</v>
      </c>
      <c r="Z53" s="14">
        <v>20270913</v>
      </c>
      <c r="AA53" s="14">
        <v>20270920</v>
      </c>
      <c r="AB53" s="14">
        <v>3.5527171756109518E-2</v>
      </c>
      <c r="AC53" s="14">
        <v>0.89804795272387938</v>
      </c>
      <c r="AD53" s="14">
        <v>0.89910745629996247</v>
      </c>
      <c r="AG53" s="20">
        <v>46289</v>
      </c>
    </row>
    <row r="54" spans="18:33" x14ac:dyDescent="0.4">
      <c r="R54" s="15">
        <v>12</v>
      </c>
      <c r="S54" s="14">
        <v>20270913</v>
      </c>
      <c r="T54" s="14">
        <v>20271213</v>
      </c>
      <c r="U54" s="14">
        <v>20271215</v>
      </c>
      <c r="V54" s="14">
        <v>1.89E-2</v>
      </c>
      <c r="W54" s="14">
        <v>0.47120547945205482</v>
      </c>
      <c r="X54" s="14">
        <v>0.94368373780435177</v>
      </c>
      <c r="Y54" s="14">
        <v>20270913</v>
      </c>
      <c r="Z54" s="14">
        <v>20271213</v>
      </c>
      <c r="AA54" s="14">
        <v>20271215</v>
      </c>
      <c r="AB54" s="14">
        <v>3.5044424523607037E-2</v>
      </c>
      <c r="AC54" s="14">
        <v>0.88584517545784447</v>
      </c>
      <c r="AD54" s="14">
        <v>0.89164970448652192</v>
      </c>
      <c r="AG54" s="20">
        <v>46290</v>
      </c>
    </row>
    <row r="55" spans="18:33" x14ac:dyDescent="0.4">
      <c r="R55" s="15">
        <v>12</v>
      </c>
      <c r="S55" s="14">
        <v>20271213</v>
      </c>
      <c r="T55" s="14">
        <v>20280313</v>
      </c>
      <c r="U55" s="14">
        <v>20280315</v>
      </c>
      <c r="V55" s="14">
        <v>1.89E-2</v>
      </c>
      <c r="W55" s="14">
        <v>0.47120547945205482</v>
      </c>
      <c r="X55" s="14">
        <v>0.93944778580762001</v>
      </c>
      <c r="Y55" s="14">
        <v>20271213</v>
      </c>
      <c r="Z55" s="14">
        <v>20280313</v>
      </c>
      <c r="AA55" s="14">
        <v>20280315</v>
      </c>
      <c r="AB55" s="14">
        <v>3.5647286444950882E-2</v>
      </c>
      <c r="AC55" s="14">
        <v>0.90108418513625832</v>
      </c>
      <c r="AD55" s="14">
        <v>0.88368347566748184</v>
      </c>
      <c r="AG55" s="20">
        <v>46291</v>
      </c>
    </row>
    <row r="56" spans="18:33" x14ac:dyDescent="0.4">
      <c r="R56" s="15">
        <v>12</v>
      </c>
      <c r="S56" s="14">
        <v>20280313</v>
      </c>
      <c r="T56" s="14">
        <v>20280612</v>
      </c>
      <c r="U56" s="14">
        <v>20280614</v>
      </c>
      <c r="V56" s="14">
        <v>1.89E-2</v>
      </c>
      <c r="W56" s="14">
        <v>0.47120547945205482</v>
      </c>
      <c r="X56" s="14">
        <v>0.93527320518470214</v>
      </c>
      <c r="Y56" s="14">
        <v>20280313</v>
      </c>
      <c r="Z56" s="14">
        <v>20280612</v>
      </c>
      <c r="AA56" s="14">
        <v>20280614</v>
      </c>
      <c r="AB56" s="14">
        <v>3.5356958687746812E-2</v>
      </c>
      <c r="AC56" s="14">
        <v>0.89374534460693322</v>
      </c>
      <c r="AD56" s="14">
        <v>0.87585706618054726</v>
      </c>
      <c r="AG56" s="20">
        <v>46300</v>
      </c>
    </row>
    <row r="57" spans="18:33" x14ac:dyDescent="0.4">
      <c r="R57" s="15">
        <v>12</v>
      </c>
      <c r="S57" s="14">
        <v>20280612</v>
      </c>
      <c r="T57" s="14">
        <v>20280912</v>
      </c>
      <c r="U57" s="14">
        <v>20280914</v>
      </c>
      <c r="V57" s="14">
        <v>1.89E-2</v>
      </c>
      <c r="W57" s="14">
        <v>0.47638356164383566</v>
      </c>
      <c r="X57" s="14">
        <v>0.93111447358942956</v>
      </c>
      <c r="Y57" s="14">
        <v>20280612</v>
      </c>
      <c r="Z57" s="14">
        <v>20280912</v>
      </c>
      <c r="AA57" s="14">
        <v>20280914</v>
      </c>
      <c r="AB57" s="14">
        <v>3.5044106704373086E-2</v>
      </c>
      <c r="AC57" s="14">
        <v>0.89557161577842326</v>
      </c>
      <c r="AD57" s="14">
        <v>0.86808427517649245</v>
      </c>
      <c r="AG57" s="20">
        <v>46304</v>
      </c>
    </row>
    <row r="58" spans="18:33" x14ac:dyDescent="0.4">
      <c r="R58" s="15">
        <v>12</v>
      </c>
      <c r="S58" s="14">
        <v>20280912</v>
      </c>
      <c r="T58" s="14">
        <v>20281212</v>
      </c>
      <c r="U58" s="14">
        <v>20281214</v>
      </c>
      <c r="V58" s="14">
        <v>1.89E-2</v>
      </c>
      <c r="W58" s="14">
        <v>0.47120547945205482</v>
      </c>
      <c r="X58" s="14">
        <v>0.92706135352108632</v>
      </c>
      <c r="Y58" s="14">
        <v>20280912</v>
      </c>
      <c r="Z58" s="14">
        <v>20281212</v>
      </c>
      <c r="AA58" s="14">
        <v>20281214</v>
      </c>
      <c r="AB58" s="14">
        <v>3.4727878398949613E-2</v>
      </c>
      <c r="AC58" s="14">
        <v>0.87784359286233737</v>
      </c>
      <c r="AD58" s="14">
        <v>0.86053164863011777</v>
      </c>
      <c r="AG58" s="20">
        <v>46381</v>
      </c>
    </row>
    <row r="59" spans="18:33" x14ac:dyDescent="0.4">
      <c r="R59" s="15">
        <v>13</v>
      </c>
      <c r="S59" s="14">
        <v>20241212</v>
      </c>
      <c r="T59" s="14">
        <v>20250312</v>
      </c>
      <c r="U59" s="14">
        <v>20250314</v>
      </c>
      <c r="V59" s="14">
        <v>1.8749999999999999E-2</v>
      </c>
      <c r="W59" s="14">
        <v>0.46232876712328763</v>
      </c>
      <c r="X59" s="14">
        <v>0.99270901377394938</v>
      </c>
      <c r="Y59" s="14">
        <v>20241212</v>
      </c>
      <c r="Z59" s="14">
        <v>20250312</v>
      </c>
      <c r="AA59" s="14">
        <v>20250314</v>
      </c>
      <c r="AB59" s="14">
        <v>4.3954996023273907E-2</v>
      </c>
      <c r="AC59" s="14">
        <v>1.0988749005818477</v>
      </c>
      <c r="AD59" s="14">
        <v>0.9886424392876334</v>
      </c>
      <c r="AG59" s="20">
        <v>46388</v>
      </c>
    </row>
    <row r="60" spans="18:33" x14ac:dyDescent="0.4">
      <c r="R60" s="15">
        <v>13</v>
      </c>
      <c r="S60" s="14">
        <v>20250312</v>
      </c>
      <c r="T60" s="14">
        <v>20250612</v>
      </c>
      <c r="U60" s="14">
        <v>20250616</v>
      </c>
      <c r="V60" s="14">
        <v>1.8749999999999999E-2</v>
      </c>
      <c r="W60" s="14">
        <v>0.47260273972602745</v>
      </c>
      <c r="X60" s="14">
        <v>0.98730258544302441</v>
      </c>
      <c r="Y60" s="14">
        <v>20250312</v>
      </c>
      <c r="Z60" s="14">
        <v>20250612</v>
      </c>
      <c r="AA60" s="14">
        <v>20250616</v>
      </c>
      <c r="AB60" s="14">
        <v>4.1354165149545943E-2</v>
      </c>
      <c r="AC60" s="14">
        <v>1.0568286649328407</v>
      </c>
      <c r="AD60" s="14">
        <v>0.97810451242860541</v>
      </c>
      <c r="AG60" s="20">
        <v>46424</v>
      </c>
    </row>
    <row r="61" spans="18:33" x14ac:dyDescent="0.4">
      <c r="R61" s="15">
        <v>13</v>
      </c>
      <c r="S61" s="14">
        <v>20250612</v>
      </c>
      <c r="T61" s="14">
        <v>20250912</v>
      </c>
      <c r="U61" s="14">
        <v>20250916</v>
      </c>
      <c r="V61" s="14">
        <v>1.8749999999999999E-2</v>
      </c>
      <c r="W61" s="14">
        <v>0.47260273972602745</v>
      </c>
      <c r="X61" s="14">
        <v>0.9824608745257547</v>
      </c>
      <c r="Y61" s="14">
        <v>20250612</v>
      </c>
      <c r="Z61" s="14">
        <v>20250912</v>
      </c>
      <c r="AA61" s="14">
        <v>20250916</v>
      </c>
      <c r="AB61" s="14">
        <v>3.9307839001370047E-2</v>
      </c>
      <c r="AC61" s="14">
        <v>1.0045336633683455</v>
      </c>
      <c r="AD61" s="14">
        <v>0.96839584644885923</v>
      </c>
      <c r="AG61" s="20">
        <v>46426</v>
      </c>
    </row>
    <row r="62" spans="18:33" x14ac:dyDescent="0.4">
      <c r="R62" s="15">
        <v>13</v>
      </c>
      <c r="S62" s="14">
        <v>20250912</v>
      </c>
      <c r="T62" s="14">
        <v>20251212</v>
      </c>
      <c r="U62" s="14">
        <v>20251216</v>
      </c>
      <c r="V62" s="14">
        <v>1.8749999999999999E-2</v>
      </c>
      <c r="W62" s="14">
        <v>0.46746575342465752</v>
      </c>
      <c r="X62" s="14">
        <v>0.97848810988448698</v>
      </c>
      <c r="Y62" s="14">
        <v>20250912</v>
      </c>
      <c r="Z62" s="14">
        <v>20251212</v>
      </c>
      <c r="AA62" s="14">
        <v>20251216</v>
      </c>
      <c r="AB62" s="14">
        <v>3.8115538737094092E-2</v>
      </c>
      <c r="AC62" s="14">
        <v>0.96347611807654499</v>
      </c>
      <c r="AD62" s="14">
        <v>0.95916401323373646</v>
      </c>
      <c r="AG62" s="20">
        <v>46427</v>
      </c>
    </row>
    <row r="63" spans="18:33" x14ac:dyDescent="0.4">
      <c r="R63" s="15">
        <v>13</v>
      </c>
      <c r="S63" s="14">
        <v>20251212</v>
      </c>
      <c r="T63" s="14">
        <v>20260312</v>
      </c>
      <c r="U63" s="14">
        <v>20260316</v>
      </c>
      <c r="V63" s="14">
        <v>1.8749999999999999E-2</v>
      </c>
      <c r="W63" s="14">
        <v>0.46232876712328763</v>
      </c>
      <c r="X63" s="14">
        <v>0.97397125187931066</v>
      </c>
      <c r="Y63" s="14">
        <v>20251212</v>
      </c>
      <c r="Z63" s="14">
        <v>20260312</v>
      </c>
      <c r="AA63" s="14">
        <v>20260316</v>
      </c>
      <c r="AB63" s="14">
        <v>3.7650041912233867E-2</v>
      </c>
      <c r="AC63" s="14">
        <v>0.94125104780584667</v>
      </c>
      <c r="AD63" s="14">
        <v>0.95022207032432959</v>
      </c>
      <c r="AG63" s="20">
        <v>46447</v>
      </c>
    </row>
    <row r="64" spans="18:33" x14ac:dyDescent="0.4">
      <c r="R64" s="15">
        <v>13</v>
      </c>
      <c r="S64" s="14">
        <v>20260312</v>
      </c>
      <c r="T64" s="14">
        <v>20260612</v>
      </c>
      <c r="U64" s="14">
        <v>20260616</v>
      </c>
      <c r="V64" s="14">
        <v>1.8749999999999999E-2</v>
      </c>
      <c r="W64" s="14">
        <v>0.47260273972602745</v>
      </c>
      <c r="X64" s="14">
        <v>0.96962934720959448</v>
      </c>
      <c r="Y64" s="14">
        <v>20260312</v>
      </c>
      <c r="Z64" s="14">
        <v>20260612</v>
      </c>
      <c r="AA64" s="14">
        <v>20260616</v>
      </c>
      <c r="AB64" s="14">
        <v>3.6505589419326689E-2</v>
      </c>
      <c r="AC64" s="14">
        <v>0.93292061849390429</v>
      </c>
      <c r="AD64" s="14">
        <v>0.94145168001126112</v>
      </c>
      <c r="AG64" s="20">
        <v>46508</v>
      </c>
    </row>
    <row r="65" spans="18:33" x14ac:dyDescent="0.4">
      <c r="R65" s="15">
        <v>13</v>
      </c>
      <c r="S65" s="14">
        <v>20260612</v>
      </c>
      <c r="T65" s="14">
        <v>20260914</v>
      </c>
      <c r="U65" s="14">
        <v>20260916</v>
      </c>
      <c r="V65" s="14">
        <v>1.8749999999999999E-2</v>
      </c>
      <c r="W65" s="14">
        <v>0.48287671232876711</v>
      </c>
      <c r="X65" s="14">
        <v>0.96527436697370961</v>
      </c>
      <c r="Y65" s="14">
        <v>20260612</v>
      </c>
      <c r="Z65" s="14">
        <v>20260914</v>
      </c>
      <c r="AA65" s="14">
        <v>20260916</v>
      </c>
      <c r="AB65" s="14">
        <v>3.665192740209311E-2</v>
      </c>
      <c r="AC65" s="14">
        <v>0.95702254883243132</v>
      </c>
      <c r="AD65" s="14">
        <v>0.93271013681990811</v>
      </c>
      <c r="AG65" s="20">
        <v>46512</v>
      </c>
    </row>
    <row r="66" spans="18:33" x14ac:dyDescent="0.4">
      <c r="R66" s="15">
        <v>13</v>
      </c>
      <c r="S66" s="14">
        <v>20260914</v>
      </c>
      <c r="T66" s="14">
        <v>20261214</v>
      </c>
      <c r="U66" s="14">
        <v>20261216</v>
      </c>
      <c r="V66" s="14">
        <v>1.8749999999999999E-2</v>
      </c>
      <c r="W66" s="14">
        <v>0.46746575342465752</v>
      </c>
      <c r="X66" s="14">
        <v>0.96115573199374194</v>
      </c>
      <c r="Y66" s="14">
        <v>20260914</v>
      </c>
      <c r="Z66" s="14">
        <v>20261214</v>
      </c>
      <c r="AA66" s="14">
        <v>20261216</v>
      </c>
      <c r="AB66" s="14">
        <v>3.5895347904791812E-2</v>
      </c>
      <c r="AC66" s="14">
        <v>0.90735462759334862</v>
      </c>
      <c r="AD66" s="14">
        <v>0.92432726502282114</v>
      </c>
      <c r="AG66" s="20">
        <v>46520</v>
      </c>
    </row>
    <row r="67" spans="18:33" x14ac:dyDescent="0.4">
      <c r="R67" s="15">
        <v>13</v>
      </c>
      <c r="S67" s="14">
        <v>20261214</v>
      </c>
      <c r="T67" s="14">
        <v>20270312</v>
      </c>
      <c r="U67" s="14">
        <v>20270316</v>
      </c>
      <c r="V67" s="14">
        <v>1.8749999999999999E-2</v>
      </c>
      <c r="W67" s="14">
        <v>0.45205479452054798</v>
      </c>
      <c r="X67" s="14">
        <v>0.95673227636049363</v>
      </c>
      <c r="Y67" s="14">
        <v>20261214</v>
      </c>
      <c r="Z67" s="14">
        <v>20270312</v>
      </c>
      <c r="AA67" s="14">
        <v>20270316</v>
      </c>
      <c r="AB67" s="14">
        <v>3.6467158129272738E-2</v>
      </c>
      <c r="AC67" s="14">
        <v>0.89141942093777793</v>
      </c>
      <c r="AD67" s="14">
        <v>0.915972896403355</v>
      </c>
      <c r="AG67" s="20">
        <v>46544</v>
      </c>
    </row>
    <row r="68" spans="18:33" x14ac:dyDescent="0.4">
      <c r="R68" s="15">
        <v>13</v>
      </c>
      <c r="S68" s="14">
        <v>20270312</v>
      </c>
      <c r="T68" s="14">
        <v>20270614</v>
      </c>
      <c r="U68" s="14">
        <v>20270616</v>
      </c>
      <c r="V68" s="14">
        <v>1.8749999999999999E-2</v>
      </c>
      <c r="W68" s="14">
        <v>0.48287671232876711</v>
      </c>
      <c r="X68" s="14">
        <v>0.9522812889989285</v>
      </c>
      <c r="Y68" s="14">
        <v>20270312</v>
      </c>
      <c r="Z68" s="14">
        <v>20270614</v>
      </c>
      <c r="AA68" s="14">
        <v>20270616</v>
      </c>
      <c r="AB68" s="14">
        <v>3.6023325792759735E-2</v>
      </c>
      <c r="AC68" s="14">
        <v>0.94060906236650421</v>
      </c>
      <c r="AD68" s="14">
        <v>0.90762189050154718</v>
      </c>
      <c r="AG68" s="20">
        <v>46615</v>
      </c>
    </row>
    <row r="69" spans="18:33" x14ac:dyDescent="0.4">
      <c r="R69" s="15">
        <v>13</v>
      </c>
      <c r="S69" s="14">
        <v>20270614</v>
      </c>
      <c r="T69" s="14">
        <v>20270913</v>
      </c>
      <c r="U69" s="14">
        <v>20270920</v>
      </c>
      <c r="V69" s="14">
        <v>1.8749999999999999E-2</v>
      </c>
      <c r="W69" s="14">
        <v>0.46746575342465752</v>
      </c>
      <c r="X69" s="14">
        <v>0.94771219825361941</v>
      </c>
      <c r="Y69" s="14">
        <v>20270614</v>
      </c>
      <c r="Z69" s="14">
        <v>20270913</v>
      </c>
      <c r="AA69" s="14">
        <v>20270920</v>
      </c>
      <c r="AB69" s="14">
        <v>3.5527171756109518E-2</v>
      </c>
      <c r="AC69" s="14">
        <v>0.89804795272387938</v>
      </c>
      <c r="AD69" s="14">
        <v>0.89910745629996247</v>
      </c>
      <c r="AG69" s="20">
        <v>46644</v>
      </c>
    </row>
    <row r="70" spans="18:33" x14ac:dyDescent="0.4">
      <c r="R70" s="15">
        <v>13</v>
      </c>
      <c r="S70" s="14">
        <v>20270913</v>
      </c>
      <c r="T70" s="14">
        <v>20271213</v>
      </c>
      <c r="U70" s="14">
        <v>20271215</v>
      </c>
      <c r="V70" s="14">
        <v>1.8749999999999999E-2</v>
      </c>
      <c r="W70" s="14">
        <v>0.46746575342465752</v>
      </c>
      <c r="X70" s="14">
        <v>0.94368373780435177</v>
      </c>
      <c r="Y70" s="14">
        <v>20270913</v>
      </c>
      <c r="Z70" s="14">
        <v>20271213</v>
      </c>
      <c r="AA70" s="14">
        <v>20271215</v>
      </c>
      <c r="AB70" s="14">
        <v>3.5044424523607037E-2</v>
      </c>
      <c r="AC70" s="14">
        <v>0.88584517545784447</v>
      </c>
      <c r="AD70" s="14">
        <v>0.89164970448652192</v>
      </c>
      <c r="AG70" s="20">
        <v>46645</v>
      </c>
    </row>
    <row r="71" spans="18:33" x14ac:dyDescent="0.4">
      <c r="R71" s="15">
        <v>13</v>
      </c>
      <c r="S71" s="14">
        <v>20271213</v>
      </c>
      <c r="T71" s="14">
        <v>20280313</v>
      </c>
      <c r="U71" s="14">
        <v>20280315</v>
      </c>
      <c r="V71" s="14">
        <v>1.8749999999999999E-2</v>
      </c>
      <c r="W71" s="14">
        <v>0.46746575342465752</v>
      </c>
      <c r="X71" s="14">
        <v>0.93944778580762001</v>
      </c>
      <c r="Y71" s="14">
        <v>20271213</v>
      </c>
      <c r="Z71" s="14">
        <v>20280313</v>
      </c>
      <c r="AA71" s="14">
        <v>20280315</v>
      </c>
      <c r="AB71" s="14">
        <v>3.5647286444950882E-2</v>
      </c>
      <c r="AC71" s="14">
        <v>0.90108418513625832</v>
      </c>
      <c r="AD71" s="14">
        <v>0.88368347566748184</v>
      </c>
      <c r="AG71" s="20">
        <v>46646</v>
      </c>
    </row>
    <row r="72" spans="18:33" x14ac:dyDescent="0.4">
      <c r="R72" s="15">
        <v>13</v>
      </c>
      <c r="S72" s="14">
        <v>20280313</v>
      </c>
      <c r="T72" s="14">
        <v>20280612</v>
      </c>
      <c r="U72" s="14">
        <v>20280614</v>
      </c>
      <c r="V72" s="14">
        <v>1.8749999999999999E-2</v>
      </c>
      <c r="W72" s="14">
        <v>0.46746575342465752</v>
      </c>
      <c r="X72" s="14">
        <v>0.93527320518470214</v>
      </c>
      <c r="Y72" s="14">
        <v>20280313</v>
      </c>
      <c r="Z72" s="14">
        <v>20280612</v>
      </c>
      <c r="AA72" s="14">
        <v>20280614</v>
      </c>
      <c r="AB72" s="14">
        <v>3.5356958687746812E-2</v>
      </c>
      <c r="AC72" s="14">
        <v>0.89374534460693322</v>
      </c>
      <c r="AD72" s="14">
        <v>0.87585706618054726</v>
      </c>
      <c r="AG72" s="20">
        <v>46664</v>
      </c>
    </row>
    <row r="73" spans="18:33" x14ac:dyDescent="0.4">
      <c r="R73" s="15">
        <v>13</v>
      </c>
      <c r="S73" s="14">
        <v>20280612</v>
      </c>
      <c r="T73" s="14">
        <v>20280912</v>
      </c>
      <c r="U73" s="14">
        <v>20280914</v>
      </c>
      <c r="V73" s="14">
        <v>1.8749999999999999E-2</v>
      </c>
      <c r="W73" s="14">
        <v>0.47260273972602745</v>
      </c>
      <c r="X73" s="14">
        <v>0.93111447358942956</v>
      </c>
      <c r="Y73" s="14">
        <v>20280612</v>
      </c>
      <c r="Z73" s="14">
        <v>20280912</v>
      </c>
      <c r="AA73" s="14">
        <v>20280914</v>
      </c>
      <c r="AB73" s="14">
        <v>3.5044106704373086E-2</v>
      </c>
      <c r="AC73" s="14">
        <v>0.89557161577842326</v>
      </c>
      <c r="AD73" s="14">
        <v>0.86808427517649245</v>
      </c>
      <c r="AG73" s="20">
        <v>46671</v>
      </c>
    </row>
    <row r="74" spans="18:33" x14ac:dyDescent="0.4">
      <c r="R74" s="15">
        <v>13</v>
      </c>
      <c r="S74" s="14">
        <v>20280912</v>
      </c>
      <c r="T74" s="14">
        <v>20281212</v>
      </c>
      <c r="U74" s="14">
        <v>20281214</v>
      </c>
      <c r="V74" s="14">
        <v>1.8749999999999999E-2</v>
      </c>
      <c r="W74" s="14">
        <v>0.46746575342465752</v>
      </c>
      <c r="X74" s="14">
        <v>0.92706135352108632</v>
      </c>
      <c r="Y74" s="14">
        <v>20280912</v>
      </c>
      <c r="Z74" s="14">
        <v>20281212</v>
      </c>
      <c r="AA74" s="14">
        <v>20281214</v>
      </c>
      <c r="AB74" s="14">
        <v>3.4727878398949613E-2</v>
      </c>
      <c r="AC74" s="14">
        <v>0.87784359286233737</v>
      </c>
      <c r="AD74" s="14">
        <v>0.86053164863011777</v>
      </c>
      <c r="AG74" s="20">
        <v>46748</v>
      </c>
    </row>
    <row r="75" spans="18:33" x14ac:dyDescent="0.4">
      <c r="R75" s="15">
        <v>13</v>
      </c>
      <c r="S75" s="14">
        <v>20281212</v>
      </c>
      <c r="T75" s="14">
        <v>20290312</v>
      </c>
      <c r="U75" s="14">
        <v>20290314</v>
      </c>
      <c r="V75" s="14">
        <v>1.8749999999999999E-2</v>
      </c>
      <c r="W75" s="14">
        <v>0.46232876712328763</v>
      </c>
      <c r="X75" s="14">
        <v>0.92290911396968633</v>
      </c>
      <c r="Y75" s="14">
        <v>20281212</v>
      </c>
      <c r="Z75" s="14">
        <v>20290312</v>
      </c>
      <c r="AA75" s="14">
        <v>20290314</v>
      </c>
      <c r="AB75" s="14">
        <v>3.543628345363814E-2</v>
      </c>
      <c r="AC75" s="14">
        <v>0.8859070863409535</v>
      </c>
      <c r="AD75" s="14">
        <v>0.85297134492395654</v>
      </c>
      <c r="AG75" s="20">
        <v>46753</v>
      </c>
    </row>
    <row r="76" spans="18:33" x14ac:dyDescent="0.4">
      <c r="R76" s="15">
        <v>13</v>
      </c>
      <c r="S76" s="14">
        <v>20290312</v>
      </c>
      <c r="T76" s="14">
        <v>20290612</v>
      </c>
      <c r="U76" s="14">
        <v>20290614</v>
      </c>
      <c r="V76" s="14">
        <v>1.8749999999999999E-2</v>
      </c>
      <c r="W76" s="14">
        <v>0.47260273972602745</v>
      </c>
      <c r="X76" s="14">
        <v>0.91870181781535598</v>
      </c>
      <c r="Y76" s="14">
        <v>20290312</v>
      </c>
      <c r="Z76" s="14">
        <v>20290612</v>
      </c>
      <c r="AA76" s="14">
        <v>20290614</v>
      </c>
      <c r="AB76" s="14">
        <v>3.5271177168033775E-2</v>
      </c>
      <c r="AC76" s="14">
        <v>0.90137452762752979</v>
      </c>
      <c r="AD76" s="14">
        <v>0.84535245745771204</v>
      </c>
      <c r="AG76" s="20">
        <v>46778</v>
      </c>
    </row>
    <row r="77" spans="18:33" x14ac:dyDescent="0.4">
      <c r="R77" s="15">
        <v>13</v>
      </c>
      <c r="S77" s="14">
        <v>20290612</v>
      </c>
      <c r="T77" s="14">
        <v>20290912</v>
      </c>
      <c r="U77" s="14">
        <v>20290914</v>
      </c>
      <c r="V77" s="14">
        <v>1.8749999999999999E-2</v>
      </c>
      <c r="W77" s="14">
        <v>0.47260273972602745</v>
      </c>
      <c r="X77" s="14">
        <v>0.91453181070083656</v>
      </c>
      <c r="Y77" s="14">
        <v>20290612</v>
      </c>
      <c r="Z77" s="14">
        <v>20290912</v>
      </c>
      <c r="AA77" s="14">
        <v>20290914</v>
      </c>
      <c r="AB77" s="14">
        <v>3.5078639927735716E-2</v>
      </c>
      <c r="AC77" s="14">
        <v>0.89645413148657926</v>
      </c>
      <c r="AD77" s="14">
        <v>0.83784248010644946</v>
      </c>
      <c r="AG77" s="20">
        <v>46779</v>
      </c>
    </row>
    <row r="78" spans="18:33" x14ac:dyDescent="0.4">
      <c r="R78" s="15">
        <v>13</v>
      </c>
      <c r="S78" s="14">
        <v>20290912</v>
      </c>
      <c r="T78" s="14">
        <v>20291212</v>
      </c>
      <c r="U78" s="14">
        <v>20291214</v>
      </c>
      <c r="V78" s="14">
        <v>1.8749999999999999E-2</v>
      </c>
      <c r="W78" s="14">
        <v>0.46746575342465752</v>
      </c>
      <c r="X78" s="14">
        <v>0.9104434855978476</v>
      </c>
      <c r="Y78" s="14">
        <v>20290912</v>
      </c>
      <c r="Z78" s="14">
        <v>20291212</v>
      </c>
      <c r="AA78" s="14">
        <v>20291214</v>
      </c>
      <c r="AB78" s="14">
        <v>3.4885473017893777E-2</v>
      </c>
      <c r="AC78" s="14">
        <v>0.88182723461898149</v>
      </c>
      <c r="AD78" s="14">
        <v>0.83051961055272827</v>
      </c>
      <c r="AG78" s="20">
        <v>46780</v>
      </c>
    </row>
    <row r="79" spans="18:33" x14ac:dyDescent="0.4">
      <c r="R79" s="15">
        <v>14</v>
      </c>
      <c r="S79" s="14">
        <v>20241212</v>
      </c>
      <c r="T79" s="14">
        <v>20250312</v>
      </c>
      <c r="U79" s="14">
        <v>20250314</v>
      </c>
      <c r="V79" s="14">
        <v>1.8799999999999997E-2</v>
      </c>
      <c r="W79" s="14">
        <v>0.46356164383561632</v>
      </c>
      <c r="X79" s="14">
        <v>0.99270901377394938</v>
      </c>
      <c r="Y79" s="14">
        <v>20241212</v>
      </c>
      <c r="Z79" s="14">
        <v>20250312</v>
      </c>
      <c r="AA79" s="14">
        <v>20250314</v>
      </c>
      <c r="AB79" s="14">
        <v>4.3954996023273907E-2</v>
      </c>
      <c r="AC79" s="14">
        <v>1.0988749005818477</v>
      </c>
      <c r="AD79" s="14">
        <v>0.9886424392876334</v>
      </c>
      <c r="AG79" s="20">
        <v>46813</v>
      </c>
    </row>
    <row r="80" spans="18:33" x14ac:dyDescent="0.4">
      <c r="R80" s="15">
        <v>14</v>
      </c>
      <c r="S80" s="14">
        <v>20250312</v>
      </c>
      <c r="T80" s="14">
        <v>20250612</v>
      </c>
      <c r="U80" s="14">
        <v>20250616</v>
      </c>
      <c r="V80" s="14">
        <v>1.8799999999999997E-2</v>
      </c>
      <c r="W80" s="14">
        <v>0.4738630136986301</v>
      </c>
      <c r="X80" s="14">
        <v>0.98730258544302441</v>
      </c>
      <c r="Y80" s="14">
        <v>20250312</v>
      </c>
      <c r="Z80" s="14">
        <v>20250612</v>
      </c>
      <c r="AA80" s="14">
        <v>20250616</v>
      </c>
      <c r="AB80" s="14">
        <v>4.1354165149545943E-2</v>
      </c>
      <c r="AC80" s="14">
        <v>1.0568286649328407</v>
      </c>
      <c r="AD80" s="14">
        <v>0.97810451242860541</v>
      </c>
      <c r="AG80" s="20">
        <v>46874</v>
      </c>
    </row>
    <row r="81" spans="18:33" x14ac:dyDescent="0.4">
      <c r="R81" s="15">
        <v>14</v>
      </c>
      <c r="S81" s="14">
        <v>20250612</v>
      </c>
      <c r="T81" s="14">
        <v>20250912</v>
      </c>
      <c r="U81" s="14">
        <v>20250916</v>
      </c>
      <c r="V81" s="14">
        <v>1.8799999999999997E-2</v>
      </c>
      <c r="W81" s="14">
        <v>0.4738630136986301</v>
      </c>
      <c r="X81" s="14">
        <v>0.9824608745257547</v>
      </c>
      <c r="Y81" s="14">
        <v>20250612</v>
      </c>
      <c r="Z81" s="14">
        <v>20250912</v>
      </c>
      <c r="AA81" s="14">
        <v>20250916</v>
      </c>
      <c r="AB81" s="14">
        <v>3.9307839001370047E-2</v>
      </c>
      <c r="AC81" s="14">
        <v>1.0045336633683455</v>
      </c>
      <c r="AD81" s="14">
        <v>0.96839584644885923</v>
      </c>
      <c r="AG81" s="20">
        <v>46875</v>
      </c>
    </row>
    <row r="82" spans="18:33" x14ac:dyDescent="0.4">
      <c r="R82" s="15">
        <v>14</v>
      </c>
      <c r="S82" s="14">
        <v>20250912</v>
      </c>
      <c r="T82" s="14">
        <v>20251212</v>
      </c>
      <c r="U82" s="14">
        <v>20251216</v>
      </c>
      <c r="V82" s="14">
        <v>1.8799999999999997E-2</v>
      </c>
      <c r="W82" s="14">
        <v>0.46871232876712321</v>
      </c>
      <c r="X82" s="14">
        <v>0.97848810988448698</v>
      </c>
      <c r="Y82" s="14">
        <v>20250912</v>
      </c>
      <c r="Z82" s="14">
        <v>20251212</v>
      </c>
      <c r="AA82" s="14">
        <v>20251216</v>
      </c>
      <c r="AB82" s="14">
        <v>3.8115538737094092E-2</v>
      </c>
      <c r="AC82" s="14">
        <v>0.96347611807654499</v>
      </c>
      <c r="AD82" s="14">
        <v>0.95916401323373646</v>
      </c>
      <c r="AG82" s="20">
        <v>46878</v>
      </c>
    </row>
    <row r="83" spans="18:33" x14ac:dyDescent="0.4">
      <c r="R83" s="15">
        <v>14</v>
      </c>
      <c r="S83" s="14">
        <v>20251212</v>
      </c>
      <c r="T83" s="14">
        <v>20260312</v>
      </c>
      <c r="U83" s="14">
        <v>20260316</v>
      </c>
      <c r="V83" s="14">
        <v>1.8799999999999997E-2</v>
      </c>
      <c r="W83" s="14">
        <v>0.46356164383561632</v>
      </c>
      <c r="X83" s="14">
        <v>0.97397125187931066</v>
      </c>
      <c r="Y83" s="14">
        <v>20251212</v>
      </c>
      <c r="Z83" s="14">
        <v>20260312</v>
      </c>
      <c r="AA83" s="14">
        <v>20260316</v>
      </c>
      <c r="AB83" s="14">
        <v>3.7650041912233867E-2</v>
      </c>
      <c r="AC83" s="14">
        <v>0.94125104780584667</v>
      </c>
      <c r="AD83" s="14">
        <v>0.95022207032432959</v>
      </c>
      <c r="AG83" s="20">
        <v>46910</v>
      </c>
    </row>
    <row r="84" spans="18:33" x14ac:dyDescent="0.4">
      <c r="R84" s="15">
        <v>14</v>
      </c>
      <c r="S84" s="14">
        <v>20260312</v>
      </c>
      <c r="T84" s="14">
        <v>20260612</v>
      </c>
      <c r="U84" s="14">
        <v>20260616</v>
      </c>
      <c r="V84" s="14">
        <v>1.8799999999999997E-2</v>
      </c>
      <c r="W84" s="14">
        <v>0.4738630136986301</v>
      </c>
      <c r="X84" s="14">
        <v>0.96962934720959448</v>
      </c>
      <c r="Y84" s="14">
        <v>20260312</v>
      </c>
      <c r="Z84" s="14">
        <v>20260612</v>
      </c>
      <c r="AA84" s="14">
        <v>20260616</v>
      </c>
      <c r="AB84" s="14">
        <v>3.6505589419326689E-2</v>
      </c>
      <c r="AC84" s="14">
        <v>0.93292061849390429</v>
      </c>
      <c r="AD84" s="14">
        <v>0.94145168001126112</v>
      </c>
      <c r="AG84" s="20">
        <v>46980</v>
      </c>
    </row>
    <row r="85" spans="18:33" x14ac:dyDescent="0.4">
      <c r="R85" s="15">
        <v>14</v>
      </c>
      <c r="S85" s="14">
        <v>20260612</v>
      </c>
      <c r="T85" s="14">
        <v>20260914</v>
      </c>
      <c r="U85" s="14">
        <v>20260916</v>
      </c>
      <c r="V85" s="14">
        <v>1.8799999999999997E-2</v>
      </c>
      <c r="W85" s="14">
        <v>0.48416438356164376</v>
      </c>
      <c r="X85" s="14">
        <v>0.96527436697370961</v>
      </c>
      <c r="Y85" s="14">
        <v>20260612</v>
      </c>
      <c r="Z85" s="14">
        <v>20260914</v>
      </c>
      <c r="AA85" s="14">
        <v>20260916</v>
      </c>
      <c r="AB85" s="14">
        <v>3.665192740209311E-2</v>
      </c>
      <c r="AC85" s="14">
        <v>0.95702254883243132</v>
      </c>
      <c r="AD85" s="14">
        <v>0.93271013681990811</v>
      </c>
      <c r="AG85" s="20">
        <v>47028</v>
      </c>
    </row>
    <row r="86" spans="18:33" x14ac:dyDescent="0.4">
      <c r="R86" s="15">
        <v>14</v>
      </c>
      <c r="S86" s="14">
        <v>20260914</v>
      </c>
      <c r="T86" s="14">
        <v>20261214</v>
      </c>
      <c r="U86" s="14">
        <v>20261216</v>
      </c>
      <c r="V86" s="14">
        <v>1.8799999999999997E-2</v>
      </c>
      <c r="W86" s="14">
        <v>0.46871232876712321</v>
      </c>
      <c r="X86" s="14">
        <v>0.96115573199374194</v>
      </c>
      <c r="Y86" s="14">
        <v>20260914</v>
      </c>
      <c r="Z86" s="14">
        <v>20261214</v>
      </c>
      <c r="AA86" s="14">
        <v>20261216</v>
      </c>
      <c r="AB86" s="14">
        <v>3.5895347904791812E-2</v>
      </c>
      <c r="AC86" s="14">
        <v>0.90735462759334862</v>
      </c>
      <c r="AD86" s="14">
        <v>0.92432726502282114</v>
      </c>
      <c r="AG86" s="20">
        <v>47029</v>
      </c>
    </row>
    <row r="87" spans="18:33" x14ac:dyDescent="0.4">
      <c r="R87" s="15">
        <v>14</v>
      </c>
      <c r="S87" s="14">
        <v>20261214</v>
      </c>
      <c r="T87" s="14">
        <v>20270312</v>
      </c>
      <c r="U87" s="14">
        <v>20270316</v>
      </c>
      <c r="V87" s="14">
        <v>1.8799999999999997E-2</v>
      </c>
      <c r="W87" s="14">
        <v>0.45326027397260266</v>
      </c>
      <c r="X87" s="14">
        <v>0.95673227636049363</v>
      </c>
      <c r="Y87" s="14">
        <v>20261214</v>
      </c>
      <c r="Z87" s="14">
        <v>20270312</v>
      </c>
      <c r="AA87" s="14">
        <v>20270316</v>
      </c>
      <c r="AB87" s="14">
        <v>3.6467158129272738E-2</v>
      </c>
      <c r="AC87" s="14">
        <v>0.89141942093777793</v>
      </c>
      <c r="AD87" s="14">
        <v>0.915972896403355</v>
      </c>
      <c r="AG87" s="20">
        <v>47030</v>
      </c>
    </row>
    <row r="88" spans="18:33" x14ac:dyDescent="0.4">
      <c r="R88" s="15">
        <v>14</v>
      </c>
      <c r="S88" s="14">
        <v>20270312</v>
      </c>
      <c r="T88" s="14">
        <v>20270614</v>
      </c>
      <c r="U88" s="14">
        <v>20270616</v>
      </c>
      <c r="V88" s="14">
        <v>1.8799999999999997E-2</v>
      </c>
      <c r="W88" s="14">
        <v>0.48416438356164376</v>
      </c>
      <c r="X88" s="14">
        <v>0.9522812889989285</v>
      </c>
      <c r="Y88" s="14">
        <v>20270312</v>
      </c>
      <c r="Z88" s="14">
        <v>20270614</v>
      </c>
      <c r="AA88" s="14">
        <v>20270616</v>
      </c>
      <c r="AB88" s="14">
        <v>3.6023325792759735E-2</v>
      </c>
      <c r="AC88" s="14">
        <v>0.94060906236650421</v>
      </c>
      <c r="AD88" s="14">
        <v>0.90762189050154718</v>
      </c>
      <c r="AG88" s="20">
        <v>47035</v>
      </c>
    </row>
    <row r="89" spans="18:33" x14ac:dyDescent="0.4">
      <c r="R89" s="15">
        <v>14</v>
      </c>
      <c r="S89" s="14">
        <v>20270614</v>
      </c>
      <c r="T89" s="14">
        <v>20270913</v>
      </c>
      <c r="U89" s="14">
        <v>20270920</v>
      </c>
      <c r="V89" s="14">
        <v>1.8799999999999997E-2</v>
      </c>
      <c r="W89" s="14">
        <v>0.46871232876712321</v>
      </c>
      <c r="X89" s="14">
        <v>0.94771219825361941</v>
      </c>
      <c r="Y89" s="14">
        <v>20270614</v>
      </c>
      <c r="Z89" s="14">
        <v>20270913</v>
      </c>
      <c r="AA89" s="14">
        <v>20270920</v>
      </c>
      <c r="AB89" s="14">
        <v>3.5527171756109518E-2</v>
      </c>
      <c r="AC89" s="14">
        <v>0.89804795272387938</v>
      </c>
      <c r="AD89" s="14">
        <v>0.89910745629996247</v>
      </c>
      <c r="AG89" s="20">
        <v>47112</v>
      </c>
    </row>
    <row r="90" spans="18:33" x14ac:dyDescent="0.4">
      <c r="R90" s="15">
        <v>14</v>
      </c>
      <c r="S90" s="14">
        <v>20270913</v>
      </c>
      <c r="T90" s="14">
        <v>20271213</v>
      </c>
      <c r="U90" s="14">
        <v>20271215</v>
      </c>
      <c r="V90" s="14">
        <v>1.8799999999999997E-2</v>
      </c>
      <c r="W90" s="14">
        <v>0.46871232876712321</v>
      </c>
      <c r="X90" s="14">
        <v>0.94368373780435177</v>
      </c>
      <c r="Y90" s="14">
        <v>20270913</v>
      </c>
      <c r="Z90" s="14">
        <v>20271213</v>
      </c>
      <c r="AA90" s="14">
        <v>20271215</v>
      </c>
      <c r="AB90" s="14">
        <v>3.5044424523607037E-2</v>
      </c>
      <c r="AC90" s="14">
        <v>0.88584517545784447</v>
      </c>
      <c r="AD90" s="14">
        <v>0.89164970448652192</v>
      </c>
      <c r="AG90" s="20">
        <v>47119</v>
      </c>
    </row>
    <row r="91" spans="18:33" x14ac:dyDescent="0.4">
      <c r="R91" s="15">
        <v>14</v>
      </c>
      <c r="S91" s="14">
        <v>20271213</v>
      </c>
      <c r="T91" s="14">
        <v>20280313</v>
      </c>
      <c r="U91" s="14">
        <v>20280315</v>
      </c>
      <c r="V91" s="14">
        <v>1.8799999999999997E-2</v>
      </c>
      <c r="W91" s="14">
        <v>0.46871232876712321</v>
      </c>
      <c r="X91" s="14">
        <v>0.93944778580762001</v>
      </c>
      <c r="Y91" s="14">
        <v>20271213</v>
      </c>
      <c r="Z91" s="14">
        <v>20280313</v>
      </c>
      <c r="AA91" s="14">
        <v>20280315</v>
      </c>
      <c r="AB91" s="14">
        <v>3.5647286444950882E-2</v>
      </c>
      <c r="AC91" s="14">
        <v>0.90108418513625832</v>
      </c>
      <c r="AD91" s="14">
        <v>0.88368347566748184</v>
      </c>
      <c r="AG91" s="20">
        <v>47161</v>
      </c>
    </row>
    <row r="92" spans="18:33" x14ac:dyDescent="0.4">
      <c r="R92" s="15">
        <v>14</v>
      </c>
      <c r="S92" s="14">
        <v>20280313</v>
      </c>
      <c r="T92" s="14">
        <v>20280612</v>
      </c>
      <c r="U92" s="14">
        <v>20280614</v>
      </c>
      <c r="V92" s="14">
        <v>1.8799999999999997E-2</v>
      </c>
      <c r="W92" s="14">
        <v>0.46871232876712321</v>
      </c>
      <c r="X92" s="14">
        <v>0.93527320518470214</v>
      </c>
      <c r="Y92" s="14">
        <v>20280313</v>
      </c>
      <c r="Z92" s="14">
        <v>20280612</v>
      </c>
      <c r="AA92" s="14">
        <v>20280614</v>
      </c>
      <c r="AB92" s="14">
        <v>3.5356958687746812E-2</v>
      </c>
      <c r="AC92" s="14">
        <v>0.89374534460693322</v>
      </c>
      <c r="AD92" s="14">
        <v>0.87585706618054726</v>
      </c>
      <c r="AG92" s="20">
        <v>47162</v>
      </c>
    </row>
    <row r="93" spans="18:33" x14ac:dyDescent="0.4">
      <c r="R93" s="15">
        <v>14</v>
      </c>
      <c r="S93" s="14">
        <v>20280612</v>
      </c>
      <c r="T93" s="14">
        <v>20280912</v>
      </c>
      <c r="U93" s="14">
        <v>20280914</v>
      </c>
      <c r="V93" s="14">
        <v>1.8799999999999997E-2</v>
      </c>
      <c r="W93" s="14">
        <v>0.4738630136986301</v>
      </c>
      <c r="X93" s="14">
        <v>0.93111447358942956</v>
      </c>
      <c r="Y93" s="14">
        <v>20280612</v>
      </c>
      <c r="Z93" s="14">
        <v>20280912</v>
      </c>
      <c r="AA93" s="14">
        <v>20280914</v>
      </c>
      <c r="AB93" s="14">
        <v>3.5044106704373086E-2</v>
      </c>
      <c r="AC93" s="14">
        <v>0.89557161577842326</v>
      </c>
      <c r="AD93" s="14">
        <v>0.86808427517649245</v>
      </c>
      <c r="AG93" s="20">
        <v>47163</v>
      </c>
    </row>
    <row r="94" spans="18:33" x14ac:dyDescent="0.4">
      <c r="R94" s="15">
        <v>14</v>
      </c>
      <c r="S94" s="14">
        <v>20280912</v>
      </c>
      <c r="T94" s="14">
        <v>20281212</v>
      </c>
      <c r="U94" s="14">
        <v>20281214</v>
      </c>
      <c r="V94" s="14">
        <v>1.8799999999999997E-2</v>
      </c>
      <c r="W94" s="14">
        <v>0.46871232876712321</v>
      </c>
      <c r="X94" s="14">
        <v>0.92706135352108632</v>
      </c>
      <c r="Y94" s="14">
        <v>20280912</v>
      </c>
      <c r="Z94" s="14">
        <v>20281212</v>
      </c>
      <c r="AA94" s="14">
        <v>20281214</v>
      </c>
      <c r="AB94" s="14">
        <v>3.4727878398949613E-2</v>
      </c>
      <c r="AC94" s="14">
        <v>0.87784359286233737</v>
      </c>
      <c r="AD94" s="14">
        <v>0.86053164863011777</v>
      </c>
      <c r="AG94" s="20">
        <v>47178</v>
      </c>
    </row>
    <row r="95" spans="18:33" x14ac:dyDescent="0.4">
      <c r="R95" s="15">
        <v>14</v>
      </c>
      <c r="S95" s="14">
        <v>20281212</v>
      </c>
      <c r="T95" s="14">
        <v>20290312</v>
      </c>
      <c r="U95" s="14">
        <v>20290314</v>
      </c>
      <c r="V95" s="14">
        <v>1.8799999999999997E-2</v>
      </c>
      <c r="W95" s="14">
        <v>0.46356164383561632</v>
      </c>
      <c r="X95" s="14">
        <v>0.92290911396968633</v>
      </c>
      <c r="Y95" s="14">
        <v>20281212</v>
      </c>
      <c r="Z95" s="14">
        <v>20290312</v>
      </c>
      <c r="AA95" s="14">
        <v>20290314</v>
      </c>
      <c r="AB95" s="14">
        <v>3.543628345363814E-2</v>
      </c>
      <c r="AC95" s="14">
        <v>0.8859070863409535</v>
      </c>
      <c r="AD95" s="14">
        <v>0.85297134492395654</v>
      </c>
      <c r="AG95" s="20">
        <v>47239</v>
      </c>
    </row>
    <row r="96" spans="18:33" x14ac:dyDescent="0.4">
      <c r="R96" s="15">
        <v>14</v>
      </c>
      <c r="S96" s="14">
        <v>20290312</v>
      </c>
      <c r="T96" s="14">
        <v>20290612</v>
      </c>
      <c r="U96" s="14">
        <v>20290614</v>
      </c>
      <c r="V96" s="14">
        <v>1.8799999999999997E-2</v>
      </c>
      <c r="W96" s="14">
        <v>0.4738630136986301</v>
      </c>
      <c r="X96" s="14">
        <v>0.91870181781535598</v>
      </c>
      <c r="Y96" s="14">
        <v>20290312</v>
      </c>
      <c r="Z96" s="14">
        <v>20290612</v>
      </c>
      <c r="AA96" s="14">
        <v>20290614</v>
      </c>
      <c r="AB96" s="14">
        <v>3.5271177168033775E-2</v>
      </c>
      <c r="AC96" s="14">
        <v>0.90137452762752979</v>
      </c>
      <c r="AD96" s="14">
        <v>0.84535245745771204</v>
      </c>
      <c r="AG96" s="20">
        <v>47245</v>
      </c>
    </row>
    <row r="97" spans="18:33" x14ac:dyDescent="0.4">
      <c r="R97" s="15">
        <v>14</v>
      </c>
      <c r="S97" s="14">
        <v>20290612</v>
      </c>
      <c r="T97" s="14">
        <v>20290912</v>
      </c>
      <c r="U97" s="14">
        <v>20290914</v>
      </c>
      <c r="V97" s="14">
        <v>1.8799999999999997E-2</v>
      </c>
      <c r="W97" s="14">
        <v>0.4738630136986301</v>
      </c>
      <c r="X97" s="14">
        <v>0.91453181070083656</v>
      </c>
      <c r="Y97" s="14">
        <v>20290612</v>
      </c>
      <c r="Z97" s="14">
        <v>20290912</v>
      </c>
      <c r="AA97" s="14">
        <v>20290914</v>
      </c>
      <c r="AB97" s="14">
        <v>3.5078639927735716E-2</v>
      </c>
      <c r="AC97" s="14">
        <v>0.89645413148657926</v>
      </c>
      <c r="AD97" s="14">
        <v>0.83784248010644946</v>
      </c>
      <c r="AG97" s="20">
        <v>47259</v>
      </c>
    </row>
    <row r="98" spans="18:33" x14ac:dyDescent="0.4">
      <c r="R98" s="15">
        <v>14</v>
      </c>
      <c r="S98" s="14">
        <v>20290912</v>
      </c>
      <c r="T98" s="14">
        <v>20291212</v>
      </c>
      <c r="U98" s="14">
        <v>20291214</v>
      </c>
      <c r="V98" s="14">
        <v>1.8799999999999997E-2</v>
      </c>
      <c r="W98" s="14">
        <v>0.46871232876712321</v>
      </c>
      <c r="X98" s="14">
        <v>0.9104434855978476</v>
      </c>
      <c r="Y98" s="14">
        <v>20290912</v>
      </c>
      <c r="Z98" s="14">
        <v>20291212</v>
      </c>
      <c r="AA98" s="14">
        <v>20291214</v>
      </c>
      <c r="AB98" s="14">
        <v>3.4885473017893777E-2</v>
      </c>
      <c r="AC98" s="14">
        <v>0.88182723461898149</v>
      </c>
      <c r="AD98" s="14">
        <v>0.83051961055272827</v>
      </c>
      <c r="AG98" s="20">
        <v>47275</v>
      </c>
    </row>
    <row r="99" spans="18:33" x14ac:dyDescent="0.4">
      <c r="R99" s="15">
        <v>14</v>
      </c>
      <c r="S99" s="14">
        <v>20291212</v>
      </c>
      <c r="T99" s="14">
        <v>20300312</v>
      </c>
      <c r="U99" s="14">
        <v>20300314</v>
      </c>
      <c r="V99" s="14">
        <v>1.8799999999999997E-2</v>
      </c>
      <c r="W99" s="14">
        <v>0.46356164383561632</v>
      </c>
      <c r="X99" s="14">
        <v>0.90619009715106424</v>
      </c>
      <c r="Y99" s="14">
        <v>20291212</v>
      </c>
      <c r="Z99" s="14">
        <v>20300312</v>
      </c>
      <c r="AA99" s="14">
        <v>20300314</v>
      </c>
      <c r="AB99" s="14">
        <v>3.5803934099056356E-2</v>
      </c>
      <c r="AC99" s="14">
        <v>0.8950983524764089</v>
      </c>
      <c r="AD99" s="14">
        <v>0.82314706276071026</v>
      </c>
      <c r="AG99" s="20">
        <v>47345</v>
      </c>
    </row>
    <row r="100" spans="18:33" x14ac:dyDescent="0.4">
      <c r="R100" s="15">
        <v>14</v>
      </c>
      <c r="S100" s="14">
        <v>20300312</v>
      </c>
      <c r="T100" s="14">
        <v>20300612</v>
      </c>
      <c r="U100" s="14">
        <v>20300614</v>
      </c>
      <c r="V100" s="14">
        <v>1.8799999999999997E-2</v>
      </c>
      <c r="W100" s="14">
        <v>0.4738630136986301</v>
      </c>
      <c r="X100" s="14">
        <v>0.90185674419715978</v>
      </c>
      <c r="Y100" s="14">
        <v>20300312</v>
      </c>
      <c r="Z100" s="14">
        <v>20300612</v>
      </c>
      <c r="AA100" s="14">
        <v>20300614</v>
      </c>
      <c r="AB100" s="14">
        <v>3.5748759544124202E-2</v>
      </c>
      <c r="AC100" s="14">
        <v>0.91357941057206293</v>
      </c>
      <c r="AD100" s="14">
        <v>0.81569541656398015</v>
      </c>
      <c r="AG100" s="20">
        <v>47382</v>
      </c>
    </row>
    <row r="101" spans="18:33" x14ac:dyDescent="0.4">
      <c r="R101" s="15">
        <v>14</v>
      </c>
      <c r="S101" s="14">
        <v>20300612</v>
      </c>
      <c r="T101" s="14">
        <v>20300916</v>
      </c>
      <c r="U101" s="14">
        <v>20300918</v>
      </c>
      <c r="V101" s="14">
        <v>1.8799999999999997E-2</v>
      </c>
      <c r="W101" s="14">
        <v>0.49446575342465737</v>
      </c>
      <c r="X101" s="14">
        <v>0.89735066006463637</v>
      </c>
      <c r="Y101" s="14">
        <v>20300612</v>
      </c>
      <c r="Z101" s="14">
        <v>20300912</v>
      </c>
      <c r="AA101" s="14">
        <v>20300918</v>
      </c>
      <c r="AB101" s="14">
        <v>3.567031262192738E-2</v>
      </c>
      <c r="AC101" s="14">
        <v>0.95120833658473014</v>
      </c>
      <c r="AD101" s="14">
        <v>0.80800995063938141</v>
      </c>
      <c r="AG101" s="20">
        <v>47383</v>
      </c>
    </row>
    <row r="102" spans="18:33" x14ac:dyDescent="0.4">
      <c r="R102" s="15">
        <v>14</v>
      </c>
      <c r="S102" s="14">
        <v>20300916</v>
      </c>
      <c r="T102" s="14">
        <v>20301212</v>
      </c>
      <c r="U102" s="14">
        <v>20301216</v>
      </c>
      <c r="V102" s="14">
        <v>1.8799999999999997E-2</v>
      </c>
      <c r="W102" s="14">
        <v>0.44810958904109582</v>
      </c>
      <c r="X102" s="14">
        <v>0.89318743280872581</v>
      </c>
      <c r="Y102" s="14">
        <v>20300916</v>
      </c>
      <c r="Z102" s="14">
        <v>20301212</v>
      </c>
      <c r="AA102" s="14">
        <v>20301216</v>
      </c>
      <c r="AB102" s="14">
        <v>3.5571286935239081E-2</v>
      </c>
      <c r="AC102" s="14">
        <v>0.85963943426827782</v>
      </c>
      <c r="AD102" s="14">
        <v>0.80096609080747205</v>
      </c>
      <c r="AG102" s="20">
        <v>47385</v>
      </c>
    </row>
    <row r="103" spans="18:33" x14ac:dyDescent="0.4">
      <c r="R103" s="15">
        <v>15</v>
      </c>
      <c r="S103" s="14">
        <v>20241212</v>
      </c>
      <c r="T103" s="14">
        <v>20250312</v>
      </c>
      <c r="U103" s="14">
        <v>20250314</v>
      </c>
      <c r="V103" s="14">
        <v>1.8849999999999999E-2</v>
      </c>
      <c r="W103" s="14">
        <v>0.46479452054794512</v>
      </c>
      <c r="X103" s="14">
        <v>0.99270901377394938</v>
      </c>
      <c r="Y103" s="14">
        <v>20241212</v>
      </c>
      <c r="Z103" s="14">
        <v>20250312</v>
      </c>
      <c r="AA103" s="14">
        <v>20250314</v>
      </c>
      <c r="AB103" s="14">
        <v>4.3954996023273907E-2</v>
      </c>
      <c r="AC103" s="14">
        <v>1.0988749005818477</v>
      </c>
      <c r="AD103" s="14">
        <v>0.9886424392876334</v>
      </c>
      <c r="AG103" s="20">
        <v>47394</v>
      </c>
    </row>
    <row r="104" spans="18:33" x14ac:dyDescent="0.4">
      <c r="R104" s="15">
        <v>15</v>
      </c>
      <c r="S104" s="14">
        <v>20250312</v>
      </c>
      <c r="T104" s="14">
        <v>20250612</v>
      </c>
      <c r="U104" s="14">
        <v>20250616</v>
      </c>
      <c r="V104" s="14">
        <v>1.8849999999999999E-2</v>
      </c>
      <c r="W104" s="14">
        <v>0.47512328767123285</v>
      </c>
      <c r="X104" s="14">
        <v>0.98730258544302441</v>
      </c>
      <c r="Y104" s="14">
        <v>20250312</v>
      </c>
      <c r="Z104" s="14">
        <v>20250612</v>
      </c>
      <c r="AA104" s="14">
        <v>20250616</v>
      </c>
      <c r="AB104" s="14">
        <v>4.1354165149545943E-2</v>
      </c>
      <c r="AC104" s="14">
        <v>1.0568286649328407</v>
      </c>
      <c r="AD104" s="14">
        <v>0.97810451242860541</v>
      </c>
      <c r="AG104" s="20">
        <v>47400</v>
      </c>
    </row>
    <row r="105" spans="18:33" x14ac:dyDescent="0.4">
      <c r="R105" s="15">
        <v>15</v>
      </c>
      <c r="S105" s="14">
        <v>20250612</v>
      </c>
      <c r="T105" s="14">
        <v>20250912</v>
      </c>
      <c r="U105" s="14">
        <v>20250916</v>
      </c>
      <c r="V105" s="14">
        <v>1.8849999999999999E-2</v>
      </c>
      <c r="W105" s="14">
        <v>0.47512328767123285</v>
      </c>
      <c r="X105" s="14">
        <v>0.9824608745257547</v>
      </c>
      <c r="Y105" s="14">
        <v>20250612</v>
      </c>
      <c r="Z105" s="14">
        <v>20250912</v>
      </c>
      <c r="AA105" s="14">
        <v>20250916</v>
      </c>
      <c r="AB105" s="14">
        <v>3.9307839001370047E-2</v>
      </c>
      <c r="AC105" s="14">
        <v>1.0045336633683455</v>
      </c>
      <c r="AD105" s="14">
        <v>0.96839584644885923</v>
      </c>
      <c r="AG105" s="20">
        <v>47477</v>
      </c>
    </row>
    <row r="106" spans="18:33" x14ac:dyDescent="0.4">
      <c r="R106" s="15">
        <v>15</v>
      </c>
      <c r="S106" s="14">
        <v>20250912</v>
      </c>
      <c r="T106" s="14">
        <v>20251212</v>
      </c>
      <c r="U106" s="14">
        <v>20251216</v>
      </c>
      <c r="V106" s="14">
        <v>1.8849999999999999E-2</v>
      </c>
      <c r="W106" s="14">
        <v>0.46995890410958902</v>
      </c>
      <c r="X106" s="14">
        <v>0.97848810988448698</v>
      </c>
      <c r="Y106" s="14">
        <v>20250912</v>
      </c>
      <c r="Z106" s="14">
        <v>20251212</v>
      </c>
      <c r="AA106" s="14">
        <v>20251216</v>
      </c>
      <c r="AB106" s="14">
        <v>3.8115538737094092E-2</v>
      </c>
      <c r="AC106" s="14">
        <v>0.96347611807654499</v>
      </c>
      <c r="AD106" s="14">
        <v>0.95916401323373646</v>
      </c>
      <c r="AG106" s="20">
        <v>47484</v>
      </c>
    </row>
    <row r="107" spans="18:33" x14ac:dyDescent="0.4">
      <c r="R107" s="15">
        <v>15</v>
      </c>
      <c r="S107" s="14">
        <v>20251212</v>
      </c>
      <c r="T107" s="14">
        <v>20260312</v>
      </c>
      <c r="U107" s="14">
        <v>20260316</v>
      </c>
      <c r="V107" s="14">
        <v>1.8849999999999999E-2</v>
      </c>
      <c r="W107" s="14">
        <v>0.46479452054794512</v>
      </c>
      <c r="X107" s="14">
        <v>0.97397125187931066</v>
      </c>
      <c r="Y107" s="14">
        <v>20251212</v>
      </c>
      <c r="Z107" s="14">
        <v>20260312</v>
      </c>
      <c r="AA107" s="14">
        <v>20260316</v>
      </c>
      <c r="AB107" s="14">
        <v>3.7650041912233867E-2</v>
      </c>
      <c r="AC107" s="14">
        <v>0.94125104780584667</v>
      </c>
      <c r="AD107" s="14">
        <v>0.95022207032432959</v>
      </c>
      <c r="AG107" s="20">
        <v>47516</v>
      </c>
    </row>
    <row r="108" spans="18:33" x14ac:dyDescent="0.4">
      <c r="R108" s="15">
        <v>15</v>
      </c>
      <c r="S108" s="14">
        <v>20260312</v>
      </c>
      <c r="T108" s="14">
        <v>20260612</v>
      </c>
      <c r="U108" s="14">
        <v>20260616</v>
      </c>
      <c r="V108" s="14">
        <v>1.8849999999999999E-2</v>
      </c>
      <c r="W108" s="14">
        <v>0.47512328767123285</v>
      </c>
      <c r="X108" s="14">
        <v>0.96962934720959448</v>
      </c>
      <c r="Y108" s="14">
        <v>20260312</v>
      </c>
      <c r="Z108" s="14">
        <v>20260612</v>
      </c>
      <c r="AA108" s="14">
        <v>20260616</v>
      </c>
      <c r="AB108" s="14">
        <v>3.6505589419326689E-2</v>
      </c>
      <c r="AC108" s="14">
        <v>0.93292061849390429</v>
      </c>
      <c r="AD108" s="14">
        <v>0.94145168001126112</v>
      </c>
      <c r="AG108" s="20">
        <v>47518</v>
      </c>
    </row>
    <row r="109" spans="18:33" x14ac:dyDescent="0.4">
      <c r="R109" s="15">
        <v>15</v>
      </c>
      <c r="S109" s="14">
        <v>20260612</v>
      </c>
      <c r="T109" s="14">
        <v>20260914</v>
      </c>
      <c r="U109" s="14">
        <v>20260916</v>
      </c>
      <c r="V109" s="14">
        <v>1.8849999999999999E-2</v>
      </c>
      <c r="W109" s="14">
        <v>0.48545205479452047</v>
      </c>
      <c r="X109" s="14">
        <v>0.96527436697370961</v>
      </c>
      <c r="Y109" s="14">
        <v>20260612</v>
      </c>
      <c r="Z109" s="14">
        <v>20260914</v>
      </c>
      <c r="AA109" s="14">
        <v>20260916</v>
      </c>
      <c r="AB109" s="14">
        <v>3.665192740209311E-2</v>
      </c>
      <c r="AC109" s="14">
        <v>0.95702254883243132</v>
      </c>
      <c r="AD109" s="14">
        <v>0.93271013681990811</v>
      </c>
      <c r="AG109" s="20">
        <v>47519</v>
      </c>
    </row>
    <row r="110" spans="18:33" x14ac:dyDescent="0.4">
      <c r="R110" s="15">
        <v>15</v>
      </c>
      <c r="S110" s="14">
        <v>20260914</v>
      </c>
      <c r="T110" s="14">
        <v>20261214</v>
      </c>
      <c r="U110" s="14">
        <v>20261216</v>
      </c>
      <c r="V110" s="14">
        <v>1.8849999999999999E-2</v>
      </c>
      <c r="W110" s="14">
        <v>0.46995890410958902</v>
      </c>
      <c r="X110" s="14">
        <v>0.96115573199374194</v>
      </c>
      <c r="Y110" s="14">
        <v>20260914</v>
      </c>
      <c r="Z110" s="14">
        <v>20261214</v>
      </c>
      <c r="AA110" s="14">
        <v>20261216</v>
      </c>
      <c r="AB110" s="14">
        <v>3.5895347904791812E-2</v>
      </c>
      <c r="AC110" s="14">
        <v>0.90735462759334862</v>
      </c>
      <c r="AD110" s="14">
        <v>0.92432726502282114</v>
      </c>
      <c r="AG110" s="20">
        <v>47543</v>
      </c>
    </row>
    <row r="111" spans="18:33" x14ac:dyDescent="0.4">
      <c r="R111" s="15">
        <v>15</v>
      </c>
      <c r="S111" s="14">
        <v>20261214</v>
      </c>
      <c r="T111" s="14">
        <v>20270312</v>
      </c>
      <c r="U111" s="14">
        <v>20270316</v>
      </c>
      <c r="V111" s="14">
        <v>1.8849999999999999E-2</v>
      </c>
      <c r="W111" s="14">
        <v>0.4544657534246575</v>
      </c>
      <c r="X111" s="14">
        <v>0.95673227636049363</v>
      </c>
      <c r="Y111" s="14">
        <v>20261214</v>
      </c>
      <c r="Z111" s="14">
        <v>20270312</v>
      </c>
      <c r="AA111" s="14">
        <v>20270316</v>
      </c>
      <c r="AB111" s="14">
        <v>3.6467158129272738E-2</v>
      </c>
      <c r="AC111" s="14">
        <v>0.89141942093777793</v>
      </c>
      <c r="AD111" s="14">
        <v>0.915972896403355</v>
      </c>
      <c r="AG111" s="20">
        <v>47604</v>
      </c>
    </row>
    <row r="112" spans="18:33" x14ac:dyDescent="0.4">
      <c r="R112" s="15">
        <v>15</v>
      </c>
      <c r="S112" s="14">
        <v>20270312</v>
      </c>
      <c r="T112" s="14">
        <v>20270614</v>
      </c>
      <c r="U112" s="14">
        <v>20270616</v>
      </c>
      <c r="V112" s="14">
        <v>1.8849999999999999E-2</v>
      </c>
      <c r="W112" s="14">
        <v>0.48545205479452047</v>
      </c>
      <c r="X112" s="14">
        <v>0.9522812889989285</v>
      </c>
      <c r="Y112" s="14">
        <v>20270312</v>
      </c>
      <c r="Z112" s="14">
        <v>20270614</v>
      </c>
      <c r="AA112" s="14">
        <v>20270616</v>
      </c>
      <c r="AB112" s="14">
        <v>3.6023325792759735E-2</v>
      </c>
      <c r="AC112" s="14">
        <v>0.94060906236650421</v>
      </c>
      <c r="AD112" s="14">
        <v>0.90762189050154718</v>
      </c>
      <c r="AG112" s="20">
        <v>47609</v>
      </c>
    </row>
    <row r="113" spans="18:33" x14ac:dyDescent="0.4">
      <c r="R113" s="15">
        <v>15</v>
      </c>
      <c r="S113" s="14">
        <v>20270614</v>
      </c>
      <c r="T113" s="14">
        <v>20270913</v>
      </c>
      <c r="U113" s="14">
        <v>20270920</v>
      </c>
      <c r="V113" s="14">
        <v>1.8849999999999999E-2</v>
      </c>
      <c r="W113" s="14">
        <v>0.46995890410958902</v>
      </c>
      <c r="X113" s="14">
        <v>0.94771219825361941</v>
      </c>
      <c r="Y113" s="14">
        <v>20270614</v>
      </c>
      <c r="Z113" s="14">
        <v>20270913</v>
      </c>
      <c r="AA113" s="14">
        <v>20270920</v>
      </c>
      <c r="AB113" s="14">
        <v>3.5527171756109518E-2</v>
      </c>
      <c r="AC113" s="14">
        <v>0.89804795272387938</v>
      </c>
      <c r="AD113" s="14">
        <v>0.89910745629996247</v>
      </c>
      <c r="AG113" s="20">
        <v>47612</v>
      </c>
    </row>
    <row r="114" spans="18:33" x14ac:dyDescent="0.4">
      <c r="R114" s="15">
        <v>15</v>
      </c>
      <c r="S114" s="14">
        <v>20270913</v>
      </c>
      <c r="T114" s="14">
        <v>20271213</v>
      </c>
      <c r="U114" s="14">
        <v>20271215</v>
      </c>
      <c r="V114" s="14">
        <v>1.8849999999999999E-2</v>
      </c>
      <c r="W114" s="14">
        <v>0.46995890410958902</v>
      </c>
      <c r="X114" s="14">
        <v>0.94368373780435177</v>
      </c>
      <c r="Y114" s="14">
        <v>20270913</v>
      </c>
      <c r="Z114" s="14">
        <v>20271213</v>
      </c>
      <c r="AA114" s="14">
        <v>20271215</v>
      </c>
      <c r="AB114" s="14">
        <v>3.5044424523607037E-2</v>
      </c>
      <c r="AC114" s="14">
        <v>0.88584517545784447</v>
      </c>
      <c r="AD114" s="14">
        <v>0.89164970448652192</v>
      </c>
      <c r="AG114" s="20">
        <v>47640</v>
      </c>
    </row>
    <row r="115" spans="18:33" x14ac:dyDescent="0.4">
      <c r="R115" s="15">
        <v>15</v>
      </c>
      <c r="S115" s="14">
        <v>20271213</v>
      </c>
      <c r="T115" s="14">
        <v>20280313</v>
      </c>
      <c r="U115" s="14">
        <v>20280315</v>
      </c>
      <c r="V115" s="14">
        <v>1.8849999999999999E-2</v>
      </c>
      <c r="W115" s="14">
        <v>0.46995890410958902</v>
      </c>
      <c r="X115" s="14">
        <v>0.93944778580762001</v>
      </c>
      <c r="Y115" s="14">
        <v>20271213</v>
      </c>
      <c r="Z115" s="14">
        <v>20280313</v>
      </c>
      <c r="AA115" s="14">
        <v>20280315</v>
      </c>
      <c r="AB115" s="14">
        <v>3.5647286444950882E-2</v>
      </c>
      <c r="AC115" s="14">
        <v>0.90108418513625832</v>
      </c>
      <c r="AD115" s="14">
        <v>0.88368347566748184</v>
      </c>
      <c r="AG115" s="20">
        <v>47710</v>
      </c>
    </row>
    <row r="116" spans="18:33" x14ac:dyDescent="0.4">
      <c r="R116" s="15">
        <v>15</v>
      </c>
      <c r="S116" s="14">
        <v>20280313</v>
      </c>
      <c r="T116" s="14">
        <v>20280612</v>
      </c>
      <c r="U116" s="14">
        <v>20280614</v>
      </c>
      <c r="V116" s="14">
        <v>1.8849999999999999E-2</v>
      </c>
      <c r="W116" s="14">
        <v>0.46995890410958902</v>
      </c>
      <c r="X116" s="14">
        <v>0.93527320518470214</v>
      </c>
      <c r="Y116" s="14">
        <v>20280313</v>
      </c>
      <c r="Z116" s="14">
        <v>20280612</v>
      </c>
      <c r="AA116" s="14">
        <v>20280614</v>
      </c>
      <c r="AB116" s="14">
        <v>3.5356958687746812E-2</v>
      </c>
      <c r="AC116" s="14">
        <v>0.89374534460693322</v>
      </c>
      <c r="AD116" s="14">
        <v>0.87585706618054726</v>
      </c>
      <c r="AG116" s="20">
        <v>47737</v>
      </c>
    </row>
    <row r="117" spans="18:33" x14ac:dyDescent="0.4">
      <c r="R117" s="15">
        <v>15</v>
      </c>
      <c r="S117" s="14">
        <v>20280612</v>
      </c>
      <c r="T117" s="14">
        <v>20280912</v>
      </c>
      <c r="U117" s="14">
        <v>20280914</v>
      </c>
      <c r="V117" s="14">
        <v>1.8849999999999999E-2</v>
      </c>
      <c r="W117" s="14">
        <v>0.47512328767123285</v>
      </c>
      <c r="X117" s="14">
        <v>0.93111447358942956</v>
      </c>
      <c r="Y117" s="14">
        <v>20280612</v>
      </c>
      <c r="Z117" s="14">
        <v>20280912</v>
      </c>
      <c r="AA117" s="14">
        <v>20280914</v>
      </c>
      <c r="AB117" s="14">
        <v>3.5044106704373086E-2</v>
      </c>
      <c r="AC117" s="14">
        <v>0.89557161577842326</v>
      </c>
      <c r="AD117" s="14">
        <v>0.86808427517649245</v>
      </c>
      <c r="AG117" s="20">
        <v>47738</v>
      </c>
    </row>
    <row r="118" spans="18:33" x14ac:dyDescent="0.4">
      <c r="R118" s="15">
        <v>15</v>
      </c>
      <c r="S118" s="14">
        <v>20280912</v>
      </c>
      <c r="T118" s="14">
        <v>20281212</v>
      </c>
      <c r="U118" s="14">
        <v>20281214</v>
      </c>
      <c r="V118" s="14">
        <v>1.8849999999999999E-2</v>
      </c>
      <c r="W118" s="14">
        <v>0.46995890410958902</v>
      </c>
      <c r="X118" s="14">
        <v>0.92706135352108632</v>
      </c>
      <c r="Y118" s="14">
        <v>20280912</v>
      </c>
      <c r="Z118" s="14">
        <v>20281212</v>
      </c>
      <c r="AA118" s="14">
        <v>20281214</v>
      </c>
      <c r="AB118" s="14">
        <v>3.4727878398949613E-2</v>
      </c>
      <c r="AC118" s="14">
        <v>0.87784359286233737</v>
      </c>
      <c r="AD118" s="14">
        <v>0.86053164863011777</v>
      </c>
      <c r="AG118" s="20">
        <v>47739</v>
      </c>
    </row>
    <row r="119" spans="18:33" x14ac:dyDescent="0.4">
      <c r="R119" s="15">
        <v>15</v>
      </c>
      <c r="S119" s="14">
        <v>20281212</v>
      </c>
      <c r="T119" s="14">
        <v>20290312</v>
      </c>
      <c r="U119" s="14">
        <v>20290314</v>
      </c>
      <c r="V119" s="14">
        <v>1.8849999999999999E-2</v>
      </c>
      <c r="W119" s="14">
        <v>0.46479452054794512</v>
      </c>
      <c r="X119" s="14">
        <v>0.92290911396968633</v>
      </c>
      <c r="Y119" s="14">
        <v>20281212</v>
      </c>
      <c r="Z119" s="14">
        <v>20290312</v>
      </c>
      <c r="AA119" s="14">
        <v>20290314</v>
      </c>
      <c r="AB119" s="14">
        <v>3.543628345363814E-2</v>
      </c>
      <c r="AC119" s="14">
        <v>0.8859070863409535</v>
      </c>
      <c r="AD119" s="14">
        <v>0.85297134492395654</v>
      </c>
      <c r="AG119" s="20">
        <v>47759</v>
      </c>
    </row>
    <row r="120" spans="18:33" x14ac:dyDescent="0.4">
      <c r="R120" s="15">
        <v>15</v>
      </c>
      <c r="S120" s="14">
        <v>20290312</v>
      </c>
      <c r="T120" s="14">
        <v>20290612</v>
      </c>
      <c r="U120" s="14">
        <v>20290614</v>
      </c>
      <c r="V120" s="14">
        <v>1.8849999999999999E-2</v>
      </c>
      <c r="W120" s="14">
        <v>0.47512328767123285</v>
      </c>
      <c r="X120" s="14">
        <v>0.91870181781535598</v>
      </c>
      <c r="Y120" s="14">
        <v>20290312</v>
      </c>
      <c r="Z120" s="14">
        <v>20290612</v>
      </c>
      <c r="AA120" s="14">
        <v>20290614</v>
      </c>
      <c r="AB120" s="14">
        <v>3.5271177168033775E-2</v>
      </c>
      <c r="AC120" s="14">
        <v>0.90137452762752979</v>
      </c>
      <c r="AD120" s="14">
        <v>0.84535245745771204</v>
      </c>
      <c r="AG120" s="20">
        <v>47765</v>
      </c>
    </row>
    <row r="121" spans="18:33" x14ac:dyDescent="0.4">
      <c r="R121" s="15">
        <v>15</v>
      </c>
      <c r="S121" s="14">
        <v>20290612</v>
      </c>
      <c r="T121" s="14">
        <v>20290912</v>
      </c>
      <c r="U121" s="14">
        <v>20290914</v>
      </c>
      <c r="V121" s="14">
        <v>1.8849999999999999E-2</v>
      </c>
      <c r="W121" s="14">
        <v>0.47512328767123285</v>
      </c>
      <c r="X121" s="14">
        <v>0.91453181070083656</v>
      </c>
      <c r="Y121" s="14">
        <v>20290612</v>
      </c>
      <c r="Z121" s="14">
        <v>20290912</v>
      </c>
      <c r="AA121" s="14">
        <v>20290914</v>
      </c>
      <c r="AB121" s="14">
        <v>3.5078639927735716E-2</v>
      </c>
      <c r="AC121" s="14">
        <v>0.89645413148657926</v>
      </c>
      <c r="AD121" s="14">
        <v>0.83784248010644946</v>
      </c>
      <c r="AG121" s="20">
        <v>47842</v>
      </c>
    </row>
    <row r="122" spans="18:33" x14ac:dyDescent="0.4">
      <c r="R122" s="15">
        <v>15</v>
      </c>
      <c r="S122" s="14">
        <v>20290912</v>
      </c>
      <c r="T122" s="14">
        <v>20291212</v>
      </c>
      <c r="U122" s="14">
        <v>20291214</v>
      </c>
      <c r="V122" s="14">
        <v>1.8849999999999999E-2</v>
      </c>
      <c r="W122" s="14">
        <v>0.46995890410958902</v>
      </c>
      <c r="X122" s="14">
        <v>0.9104434855978476</v>
      </c>
      <c r="Y122" s="14">
        <v>20290912</v>
      </c>
      <c r="Z122" s="14">
        <v>20291212</v>
      </c>
      <c r="AA122" s="14">
        <v>20291214</v>
      </c>
      <c r="AB122" s="14">
        <v>3.4885473017893777E-2</v>
      </c>
      <c r="AC122" s="14">
        <v>0.88182723461898149</v>
      </c>
      <c r="AD122" s="14">
        <v>0.83051961055272827</v>
      </c>
      <c r="AG122" s="20">
        <v>47849</v>
      </c>
    </row>
    <row r="123" spans="18:33" x14ac:dyDescent="0.4">
      <c r="R123" s="15">
        <v>15</v>
      </c>
      <c r="S123" s="14">
        <v>20291212</v>
      </c>
      <c r="T123" s="14">
        <v>20300312</v>
      </c>
      <c r="U123" s="14">
        <v>20300314</v>
      </c>
      <c r="V123" s="14">
        <v>1.8849999999999999E-2</v>
      </c>
      <c r="W123" s="14">
        <v>0.46479452054794512</v>
      </c>
      <c r="X123" s="14">
        <v>0.90619009715106424</v>
      </c>
      <c r="Y123" s="14">
        <v>20291212</v>
      </c>
      <c r="Z123" s="14">
        <v>20300312</v>
      </c>
      <c r="AA123" s="14">
        <v>20300314</v>
      </c>
      <c r="AB123" s="14">
        <v>3.5803934099056356E-2</v>
      </c>
      <c r="AC123" s="14">
        <v>0.8950983524764089</v>
      </c>
      <c r="AD123" s="14">
        <v>0.82314706276071026</v>
      </c>
      <c r="AG123" s="20">
        <v>47870</v>
      </c>
    </row>
    <row r="124" spans="18:33" x14ac:dyDescent="0.4">
      <c r="R124" s="15">
        <v>15</v>
      </c>
      <c r="S124" s="14">
        <v>20300312</v>
      </c>
      <c r="T124" s="14">
        <v>20300612</v>
      </c>
      <c r="U124" s="14">
        <v>20300614</v>
      </c>
      <c r="V124" s="14">
        <v>1.8849999999999999E-2</v>
      </c>
      <c r="W124" s="14">
        <v>0.47512328767123285</v>
      </c>
      <c r="X124" s="14">
        <v>0.90185674419715978</v>
      </c>
      <c r="Y124" s="14">
        <v>20300312</v>
      </c>
      <c r="Z124" s="14">
        <v>20300612</v>
      </c>
      <c r="AA124" s="14">
        <v>20300614</v>
      </c>
      <c r="AB124" s="14">
        <v>3.5748759544124202E-2</v>
      </c>
      <c r="AC124" s="14">
        <v>0.91357941057206293</v>
      </c>
      <c r="AD124" s="14">
        <v>0.81569541656398015</v>
      </c>
      <c r="AG124" s="20">
        <v>47871</v>
      </c>
    </row>
    <row r="125" spans="18:33" x14ac:dyDescent="0.4">
      <c r="R125" s="15">
        <v>15</v>
      </c>
      <c r="S125" s="14">
        <v>20300612</v>
      </c>
      <c r="T125" s="14">
        <v>20300916</v>
      </c>
      <c r="U125" s="14">
        <v>20300918</v>
      </c>
      <c r="V125" s="14">
        <v>1.8849999999999999E-2</v>
      </c>
      <c r="W125" s="14">
        <v>0.49578082191780809</v>
      </c>
      <c r="X125" s="14">
        <v>0.89735066006463637</v>
      </c>
      <c r="Y125" s="14">
        <v>20300612</v>
      </c>
      <c r="Z125" s="14">
        <v>20300912</v>
      </c>
      <c r="AA125" s="14">
        <v>20300918</v>
      </c>
      <c r="AB125" s="14">
        <v>3.567031262192738E-2</v>
      </c>
      <c r="AC125" s="14">
        <v>0.95120833658473014</v>
      </c>
      <c r="AD125" s="14">
        <v>0.80800995063938141</v>
      </c>
      <c r="AG125" s="20">
        <v>47872</v>
      </c>
    </row>
    <row r="126" spans="18:33" x14ac:dyDescent="0.4">
      <c r="R126" s="15">
        <v>15</v>
      </c>
      <c r="S126" s="14">
        <v>20300916</v>
      </c>
      <c r="T126" s="14">
        <v>20301212</v>
      </c>
      <c r="U126" s="14">
        <v>20301216</v>
      </c>
      <c r="V126" s="14">
        <v>1.8849999999999999E-2</v>
      </c>
      <c r="W126" s="14">
        <v>0.44930136986301361</v>
      </c>
      <c r="X126" s="14">
        <v>0.89318743280872581</v>
      </c>
      <c r="Y126" s="14">
        <v>20300916</v>
      </c>
      <c r="Z126" s="14">
        <v>20301212</v>
      </c>
      <c r="AA126" s="14">
        <v>20301216</v>
      </c>
      <c r="AB126" s="14">
        <v>3.5571286935239081E-2</v>
      </c>
      <c r="AC126" s="14">
        <v>0.85963943426827782</v>
      </c>
      <c r="AD126" s="14">
        <v>0.80096609080747205</v>
      </c>
      <c r="AG126" s="20">
        <v>47910</v>
      </c>
    </row>
    <row r="127" spans="18:33" x14ac:dyDescent="0.4">
      <c r="R127" s="15">
        <v>15</v>
      </c>
      <c r="S127" s="14">
        <v>20301212</v>
      </c>
      <c r="T127" s="14">
        <v>20310312</v>
      </c>
      <c r="U127" s="14">
        <v>20310314</v>
      </c>
      <c r="V127" s="14">
        <v>1.8849999999999999E-2</v>
      </c>
      <c r="W127" s="14">
        <v>0.46479452054794512</v>
      </c>
      <c r="X127" s="14">
        <v>0.88908516418005434</v>
      </c>
      <c r="Y127" s="14">
        <v>20301212</v>
      </c>
      <c r="Z127" s="14">
        <v>20310312</v>
      </c>
      <c r="AA127" s="14">
        <v>20310314</v>
      </c>
      <c r="AB127" s="14">
        <v>3.5982207828288537E-2</v>
      </c>
      <c r="AC127" s="14">
        <v>0.89955519570721343</v>
      </c>
      <c r="AD127" s="14">
        <v>0.79397927730487272</v>
      </c>
      <c r="AG127" s="20">
        <v>47969</v>
      </c>
    </row>
    <row r="128" spans="18:33" x14ac:dyDescent="0.4">
      <c r="R128" s="15">
        <v>15</v>
      </c>
      <c r="S128" s="14">
        <v>20310312</v>
      </c>
      <c r="T128" s="14">
        <v>20310612</v>
      </c>
      <c r="U128" s="14">
        <v>20310616</v>
      </c>
      <c r="V128" s="14">
        <v>1.8849999999999999E-2</v>
      </c>
      <c r="W128" s="14">
        <v>0.47512328767123285</v>
      </c>
      <c r="X128" s="14">
        <v>0.8847180661505506</v>
      </c>
      <c r="Y128" s="14">
        <v>20310312</v>
      </c>
      <c r="Z128" s="14">
        <v>20310612</v>
      </c>
      <c r="AA128" s="14">
        <v>20310616</v>
      </c>
      <c r="AB128" s="14">
        <v>3.5965316700576615E-2</v>
      </c>
      <c r="AC128" s="14">
        <v>0.91911364901473558</v>
      </c>
      <c r="AD128" s="14">
        <v>0.78659198620247639</v>
      </c>
      <c r="AG128" s="20">
        <v>47973</v>
      </c>
    </row>
    <row r="129" spans="18:33" x14ac:dyDescent="0.4">
      <c r="R129" s="15">
        <v>15</v>
      </c>
      <c r="S129" s="14">
        <v>20310612</v>
      </c>
      <c r="T129" s="14">
        <v>20310912</v>
      </c>
      <c r="U129" s="14">
        <v>20310916</v>
      </c>
      <c r="V129" s="14">
        <v>1.8849999999999999E-2</v>
      </c>
      <c r="W129" s="14">
        <v>0.47512328767123285</v>
      </c>
      <c r="X129" s="14">
        <v>0.88045874515845013</v>
      </c>
      <c r="Y129" s="14">
        <v>20310612</v>
      </c>
      <c r="Z129" s="14">
        <v>20310912</v>
      </c>
      <c r="AA129" s="14">
        <v>20310916</v>
      </c>
      <c r="AB129" s="14">
        <v>3.5922651100779114E-2</v>
      </c>
      <c r="AC129" s="14">
        <v>0.91802330590879944</v>
      </c>
      <c r="AD129" s="14">
        <v>0.77943694291121279</v>
      </c>
      <c r="AG129" s="20">
        <v>47996</v>
      </c>
    </row>
    <row r="130" spans="18:33" x14ac:dyDescent="0.4">
      <c r="R130" s="15">
        <v>15</v>
      </c>
      <c r="S130" s="14">
        <v>20310912</v>
      </c>
      <c r="T130" s="14">
        <v>20311212</v>
      </c>
      <c r="U130" s="14">
        <v>20311216</v>
      </c>
      <c r="V130" s="14">
        <v>1.8849999999999999E-2</v>
      </c>
      <c r="W130" s="14">
        <v>0.46995890410958902</v>
      </c>
      <c r="X130" s="14">
        <v>0.87626016845347043</v>
      </c>
      <c r="Y130" s="14">
        <v>20310912</v>
      </c>
      <c r="Z130" s="14">
        <v>20311212</v>
      </c>
      <c r="AA130" s="14">
        <v>20311216</v>
      </c>
      <c r="AB130" s="14">
        <v>3.5878435293902909E-2</v>
      </c>
      <c r="AC130" s="14">
        <v>0.90692711437365681</v>
      </c>
      <c r="AD130" s="14">
        <v>0.77243191063230876</v>
      </c>
      <c r="AG130" s="20">
        <v>48005</v>
      </c>
    </row>
    <row r="131" spans="18:33" x14ac:dyDescent="0.4">
      <c r="R131" s="15">
        <v>16</v>
      </c>
      <c r="S131" s="14">
        <v>20241212</v>
      </c>
      <c r="T131" s="14">
        <v>20250312</v>
      </c>
      <c r="U131" s="14">
        <v>20250314</v>
      </c>
      <c r="V131" s="14">
        <v>1.8849999999999999E-2</v>
      </c>
      <c r="W131" s="14">
        <v>0.46479452054794512</v>
      </c>
      <c r="X131" s="14">
        <v>0.99270901377394938</v>
      </c>
      <c r="Y131" s="14">
        <v>20241212</v>
      </c>
      <c r="Z131" s="14">
        <v>20250312</v>
      </c>
      <c r="AA131" s="14">
        <v>20250314</v>
      </c>
      <c r="AB131" s="14">
        <v>4.3954996023273907E-2</v>
      </c>
      <c r="AC131" s="14">
        <v>1.0988749005818477</v>
      </c>
      <c r="AD131" s="14">
        <v>0.9886424392876334</v>
      </c>
      <c r="AG131" s="20">
        <v>48075</v>
      </c>
    </row>
    <row r="132" spans="18:33" x14ac:dyDescent="0.4">
      <c r="R132" s="15">
        <v>16</v>
      </c>
      <c r="S132" s="14">
        <v>20250312</v>
      </c>
      <c r="T132" s="14">
        <v>20250612</v>
      </c>
      <c r="U132" s="14">
        <v>20250616</v>
      </c>
      <c r="V132" s="14">
        <v>1.8849999999999999E-2</v>
      </c>
      <c r="W132" s="14">
        <v>0.47512328767123285</v>
      </c>
      <c r="X132" s="14">
        <v>0.98730258544302441</v>
      </c>
      <c r="Y132" s="14">
        <v>20250312</v>
      </c>
      <c r="Z132" s="14">
        <v>20250612</v>
      </c>
      <c r="AA132" s="14">
        <v>20250616</v>
      </c>
      <c r="AB132" s="14">
        <v>4.1354165149545943E-2</v>
      </c>
      <c r="AC132" s="14">
        <v>1.0568286649328407</v>
      </c>
      <c r="AD132" s="14">
        <v>0.97810451242860541</v>
      </c>
      <c r="AG132" s="20">
        <v>48121</v>
      </c>
    </row>
    <row r="133" spans="18:33" x14ac:dyDescent="0.4">
      <c r="R133" s="15">
        <v>16</v>
      </c>
      <c r="S133" s="14">
        <v>20250612</v>
      </c>
      <c r="T133" s="14">
        <v>20250912</v>
      </c>
      <c r="U133" s="14">
        <v>20250916</v>
      </c>
      <c r="V133" s="14">
        <v>1.8849999999999999E-2</v>
      </c>
      <c r="W133" s="14">
        <v>0.47512328767123285</v>
      </c>
      <c r="X133" s="14">
        <v>0.9824608745257547</v>
      </c>
      <c r="Y133" s="14">
        <v>20250612</v>
      </c>
      <c r="Z133" s="14">
        <v>20250912</v>
      </c>
      <c r="AA133" s="14">
        <v>20250916</v>
      </c>
      <c r="AB133" s="14">
        <v>3.9307839001370047E-2</v>
      </c>
      <c r="AC133" s="14">
        <v>1.0045336633683455</v>
      </c>
      <c r="AD133" s="14">
        <v>0.96839584644885923</v>
      </c>
      <c r="AG133" s="20">
        <v>48122</v>
      </c>
    </row>
    <row r="134" spans="18:33" x14ac:dyDescent="0.4">
      <c r="R134" s="15">
        <v>16</v>
      </c>
      <c r="S134" s="14">
        <v>20250912</v>
      </c>
      <c r="T134" s="14">
        <v>20251212</v>
      </c>
      <c r="U134" s="14">
        <v>20251216</v>
      </c>
      <c r="V134" s="14">
        <v>1.8849999999999999E-2</v>
      </c>
      <c r="W134" s="14">
        <v>0.46995890410958902</v>
      </c>
      <c r="X134" s="14">
        <v>0.97848810988448698</v>
      </c>
      <c r="Y134" s="14">
        <v>20250912</v>
      </c>
      <c r="Z134" s="14">
        <v>20251212</v>
      </c>
      <c r="AA134" s="14">
        <v>20251216</v>
      </c>
      <c r="AB134" s="14">
        <v>3.8115538737094092E-2</v>
      </c>
      <c r="AC134" s="14">
        <v>0.96347611807654499</v>
      </c>
      <c r="AD134" s="14">
        <v>0.95916401323373646</v>
      </c>
      <c r="AG134" s="20">
        <v>48123</v>
      </c>
    </row>
    <row r="135" spans="18:33" x14ac:dyDescent="0.4">
      <c r="R135" s="15">
        <v>16</v>
      </c>
      <c r="S135" s="14">
        <v>20251212</v>
      </c>
      <c r="T135" s="14">
        <v>20260312</v>
      </c>
      <c r="U135" s="14">
        <v>20260316</v>
      </c>
      <c r="V135" s="14">
        <v>1.8849999999999999E-2</v>
      </c>
      <c r="W135" s="14">
        <v>0.46479452054794512</v>
      </c>
      <c r="X135" s="14">
        <v>0.97397125187931066</v>
      </c>
      <c r="Y135" s="14">
        <v>20251212</v>
      </c>
      <c r="Z135" s="14">
        <v>20260312</v>
      </c>
      <c r="AA135" s="14">
        <v>20260316</v>
      </c>
      <c r="AB135" s="14">
        <v>3.7650041912233867E-2</v>
      </c>
      <c r="AC135" s="14">
        <v>0.94125104780584667</v>
      </c>
      <c r="AD135" s="14">
        <v>0.95022207032432959</v>
      </c>
      <c r="AG135" s="20">
        <v>48124</v>
      </c>
    </row>
    <row r="136" spans="18:33" x14ac:dyDescent="0.4">
      <c r="R136" s="15">
        <v>16</v>
      </c>
      <c r="S136" s="14">
        <v>20260312</v>
      </c>
      <c r="T136" s="14">
        <v>20260612</v>
      </c>
      <c r="U136" s="14">
        <v>20260616</v>
      </c>
      <c r="V136" s="14">
        <v>1.8849999999999999E-2</v>
      </c>
      <c r="W136" s="14">
        <v>0.47512328767123285</v>
      </c>
      <c r="X136" s="14">
        <v>0.96962934720959448</v>
      </c>
      <c r="Y136" s="14">
        <v>20260312</v>
      </c>
      <c r="Z136" s="14">
        <v>20260612</v>
      </c>
      <c r="AA136" s="14">
        <v>20260616</v>
      </c>
      <c r="AB136" s="14">
        <v>3.6505589419326689E-2</v>
      </c>
      <c r="AC136" s="14">
        <v>0.93292061849390429</v>
      </c>
      <c r="AD136" s="14">
        <v>0.94145168001126112</v>
      </c>
      <c r="AG136" s="20">
        <v>48130</v>
      </c>
    </row>
    <row r="137" spans="18:33" x14ac:dyDescent="0.4">
      <c r="R137" s="15">
        <v>16</v>
      </c>
      <c r="S137" s="14">
        <v>20260612</v>
      </c>
      <c r="T137" s="14">
        <v>20260914</v>
      </c>
      <c r="U137" s="14">
        <v>20260916</v>
      </c>
      <c r="V137" s="14">
        <v>1.8849999999999999E-2</v>
      </c>
      <c r="W137" s="14">
        <v>0.48545205479452047</v>
      </c>
      <c r="X137" s="14">
        <v>0.96527436697370961</v>
      </c>
      <c r="Y137" s="14">
        <v>20260612</v>
      </c>
      <c r="Z137" s="14">
        <v>20260914</v>
      </c>
      <c r="AA137" s="14">
        <v>20260916</v>
      </c>
      <c r="AB137" s="14">
        <v>3.665192740209311E-2</v>
      </c>
      <c r="AC137" s="14">
        <v>0.95702254883243132</v>
      </c>
      <c r="AD137" s="14">
        <v>0.93271013681990811</v>
      </c>
      <c r="AG137" s="20">
        <v>48207</v>
      </c>
    </row>
    <row r="138" spans="18:33" x14ac:dyDescent="0.4">
      <c r="R138" s="15">
        <v>16</v>
      </c>
      <c r="S138" s="14">
        <v>20260914</v>
      </c>
      <c r="T138" s="14">
        <v>20261214</v>
      </c>
      <c r="U138" s="14">
        <v>20261216</v>
      </c>
      <c r="V138" s="14">
        <v>1.8849999999999999E-2</v>
      </c>
      <c r="W138" s="14">
        <v>0.46995890410958902</v>
      </c>
      <c r="X138" s="14">
        <v>0.96115573199374194</v>
      </c>
      <c r="Y138" s="14">
        <v>20260914</v>
      </c>
      <c r="Z138" s="14">
        <v>20261214</v>
      </c>
      <c r="AA138" s="14">
        <v>20261216</v>
      </c>
      <c r="AB138" s="14">
        <v>3.5895347904791812E-2</v>
      </c>
      <c r="AC138" s="14">
        <v>0.90735462759334862</v>
      </c>
      <c r="AD138" s="14">
        <v>0.92432726502282114</v>
      </c>
      <c r="AG138" s="20">
        <v>48214</v>
      </c>
    </row>
    <row r="139" spans="18:33" x14ac:dyDescent="0.4">
      <c r="R139" s="15">
        <v>16</v>
      </c>
      <c r="S139" s="14">
        <v>20261214</v>
      </c>
      <c r="T139" s="14">
        <v>20270312</v>
      </c>
      <c r="U139" s="14">
        <v>20270316</v>
      </c>
      <c r="V139" s="14">
        <v>1.8849999999999999E-2</v>
      </c>
      <c r="W139" s="14">
        <v>0.4544657534246575</v>
      </c>
      <c r="X139" s="14">
        <v>0.95673227636049363</v>
      </c>
      <c r="Y139" s="14">
        <v>20261214</v>
      </c>
      <c r="Z139" s="14">
        <v>20270312</v>
      </c>
      <c r="AA139" s="14">
        <v>20270316</v>
      </c>
      <c r="AB139" s="14">
        <v>3.6467158129272738E-2</v>
      </c>
      <c r="AC139" s="14">
        <v>0.89141942093777793</v>
      </c>
      <c r="AD139" s="14">
        <v>0.915972896403355</v>
      </c>
      <c r="AG139" s="20">
        <v>48254</v>
      </c>
    </row>
    <row r="140" spans="18:33" x14ac:dyDescent="0.4">
      <c r="R140" s="15">
        <v>16</v>
      </c>
      <c r="S140" s="14">
        <v>20270312</v>
      </c>
      <c r="T140" s="14">
        <v>20270614</v>
      </c>
      <c r="U140" s="14">
        <v>20270616</v>
      </c>
      <c r="V140" s="14">
        <v>1.8849999999999999E-2</v>
      </c>
      <c r="W140" s="14">
        <v>0.48545205479452047</v>
      </c>
      <c r="X140" s="14">
        <v>0.9522812889989285</v>
      </c>
      <c r="Y140" s="14">
        <v>20270312</v>
      </c>
      <c r="Z140" s="14">
        <v>20270614</v>
      </c>
      <c r="AA140" s="14">
        <v>20270616</v>
      </c>
      <c r="AB140" s="14">
        <v>3.6023325792759735E-2</v>
      </c>
      <c r="AC140" s="14">
        <v>0.94060906236650421</v>
      </c>
      <c r="AD140" s="14">
        <v>0.90762189050154718</v>
      </c>
      <c r="AG140" s="20">
        <v>48255</v>
      </c>
    </row>
    <row r="141" spans="18:33" x14ac:dyDescent="0.4">
      <c r="R141" s="15">
        <v>16</v>
      </c>
      <c r="S141" s="14">
        <v>20270614</v>
      </c>
      <c r="T141" s="14">
        <v>20270913</v>
      </c>
      <c r="U141" s="14">
        <v>20270920</v>
      </c>
      <c r="V141" s="14">
        <v>1.8849999999999999E-2</v>
      </c>
      <c r="W141" s="14">
        <v>0.46995890410958902</v>
      </c>
      <c r="X141" s="14">
        <v>0.94771219825361941</v>
      </c>
      <c r="Y141" s="14">
        <v>20270614</v>
      </c>
      <c r="Z141" s="14">
        <v>20270913</v>
      </c>
      <c r="AA141" s="14">
        <v>20270920</v>
      </c>
      <c r="AB141" s="14">
        <v>3.5527171756109518E-2</v>
      </c>
      <c r="AC141" s="14">
        <v>0.89804795272387938</v>
      </c>
      <c r="AD141" s="14">
        <v>0.89910745629996247</v>
      </c>
      <c r="AG141" s="20">
        <v>48256</v>
      </c>
    </row>
    <row r="142" spans="18:33" x14ac:dyDescent="0.4">
      <c r="R142" s="15">
        <v>16</v>
      </c>
      <c r="S142" s="14">
        <v>20270913</v>
      </c>
      <c r="T142" s="14">
        <v>20271213</v>
      </c>
      <c r="U142" s="14">
        <v>20271215</v>
      </c>
      <c r="V142" s="14">
        <v>1.8849999999999999E-2</v>
      </c>
      <c r="W142" s="14">
        <v>0.46995890410958902</v>
      </c>
      <c r="X142" s="14">
        <v>0.94368373780435177</v>
      </c>
      <c r="Y142" s="14">
        <v>20270913</v>
      </c>
      <c r="Z142" s="14">
        <v>20271213</v>
      </c>
      <c r="AA142" s="14">
        <v>20271215</v>
      </c>
      <c r="AB142" s="14">
        <v>3.5044424523607037E-2</v>
      </c>
      <c r="AC142" s="14">
        <v>0.88584517545784447</v>
      </c>
      <c r="AD142" s="14">
        <v>0.89164970448652192</v>
      </c>
      <c r="AG142" s="20">
        <v>48274</v>
      </c>
    </row>
    <row r="143" spans="18:33" x14ac:dyDescent="0.4">
      <c r="R143" s="15">
        <v>16</v>
      </c>
      <c r="S143" s="14">
        <v>20271213</v>
      </c>
      <c r="T143" s="14">
        <v>20280313</v>
      </c>
      <c r="U143" s="14">
        <v>20280315</v>
      </c>
      <c r="V143" s="14">
        <v>1.8849999999999999E-2</v>
      </c>
      <c r="W143" s="14">
        <v>0.46995890410958902</v>
      </c>
      <c r="X143" s="14">
        <v>0.93944778580762001</v>
      </c>
      <c r="Y143" s="14">
        <v>20271213</v>
      </c>
      <c r="Z143" s="14">
        <v>20280313</v>
      </c>
      <c r="AA143" s="14">
        <v>20280315</v>
      </c>
      <c r="AB143" s="14">
        <v>3.5647286444950882E-2</v>
      </c>
      <c r="AC143" s="14">
        <v>0.90108418513625832</v>
      </c>
      <c r="AD143" s="14">
        <v>0.88368347566748184</v>
      </c>
      <c r="AG143" s="20">
        <v>48335</v>
      </c>
    </row>
    <row r="144" spans="18:33" x14ac:dyDescent="0.4">
      <c r="R144" s="15">
        <v>16</v>
      </c>
      <c r="S144" s="14">
        <v>20280313</v>
      </c>
      <c r="T144" s="14">
        <v>20280612</v>
      </c>
      <c r="U144" s="14">
        <v>20280614</v>
      </c>
      <c r="V144" s="14">
        <v>1.8849999999999999E-2</v>
      </c>
      <c r="W144" s="14">
        <v>0.46995890410958902</v>
      </c>
      <c r="X144" s="14">
        <v>0.93527320518470214</v>
      </c>
      <c r="Y144" s="14">
        <v>20280313</v>
      </c>
      <c r="Z144" s="14">
        <v>20280612</v>
      </c>
      <c r="AA144" s="14">
        <v>20280614</v>
      </c>
      <c r="AB144" s="14">
        <v>3.5356958687746812E-2</v>
      </c>
      <c r="AC144" s="14">
        <v>0.89374534460693322</v>
      </c>
      <c r="AD144" s="14">
        <v>0.87585706618054726</v>
      </c>
      <c r="AG144" s="20">
        <v>48339</v>
      </c>
    </row>
    <row r="145" spans="18:33" x14ac:dyDescent="0.4">
      <c r="R145" s="15">
        <v>16</v>
      </c>
      <c r="S145" s="14">
        <v>20280612</v>
      </c>
      <c r="T145" s="14">
        <v>20280912</v>
      </c>
      <c r="U145" s="14">
        <v>20280914</v>
      </c>
      <c r="V145" s="14">
        <v>1.8849999999999999E-2</v>
      </c>
      <c r="W145" s="14">
        <v>0.47512328767123285</v>
      </c>
      <c r="X145" s="14">
        <v>0.93111447358942956</v>
      </c>
      <c r="Y145" s="14">
        <v>20280612</v>
      </c>
      <c r="Z145" s="14">
        <v>20280912</v>
      </c>
      <c r="AA145" s="14">
        <v>20280914</v>
      </c>
      <c r="AB145" s="14">
        <v>3.5044106704373086E-2</v>
      </c>
      <c r="AC145" s="14">
        <v>0.89557161577842326</v>
      </c>
      <c r="AD145" s="14">
        <v>0.86808427517649245</v>
      </c>
      <c r="AG145" s="20">
        <v>48351</v>
      </c>
    </row>
    <row r="146" spans="18:33" x14ac:dyDescent="0.4">
      <c r="R146" s="15">
        <v>16</v>
      </c>
      <c r="S146" s="14">
        <v>20280912</v>
      </c>
      <c r="T146" s="14">
        <v>20281212</v>
      </c>
      <c r="U146" s="14">
        <v>20281214</v>
      </c>
      <c r="V146" s="14">
        <v>1.8849999999999999E-2</v>
      </c>
      <c r="W146" s="14">
        <v>0.46995890410958902</v>
      </c>
      <c r="X146" s="14">
        <v>0.92706135352108632</v>
      </c>
      <c r="Y146" s="14">
        <v>20280912</v>
      </c>
      <c r="Z146" s="14">
        <v>20281212</v>
      </c>
      <c r="AA146" s="14">
        <v>20281214</v>
      </c>
      <c r="AB146" s="14">
        <v>3.4727878398949613E-2</v>
      </c>
      <c r="AC146" s="14">
        <v>0.87784359286233737</v>
      </c>
      <c r="AD146" s="14">
        <v>0.86053164863011777</v>
      </c>
      <c r="AG146" s="20">
        <v>48371</v>
      </c>
    </row>
    <row r="147" spans="18:33" x14ac:dyDescent="0.4">
      <c r="R147" s="15">
        <v>16</v>
      </c>
      <c r="S147" s="14">
        <v>20281212</v>
      </c>
      <c r="T147" s="14">
        <v>20290312</v>
      </c>
      <c r="U147" s="14">
        <v>20290314</v>
      </c>
      <c r="V147" s="14">
        <v>1.8849999999999999E-2</v>
      </c>
      <c r="W147" s="14">
        <v>0.46479452054794512</v>
      </c>
      <c r="X147" s="14">
        <v>0.92290911396968633</v>
      </c>
      <c r="Y147" s="14">
        <v>20281212</v>
      </c>
      <c r="Z147" s="14">
        <v>20290312</v>
      </c>
      <c r="AA147" s="14">
        <v>20290314</v>
      </c>
      <c r="AB147" s="14">
        <v>3.543628345363814E-2</v>
      </c>
      <c r="AC147" s="14">
        <v>0.8859070863409535</v>
      </c>
      <c r="AD147" s="14">
        <v>0.85297134492395654</v>
      </c>
      <c r="AG147" s="20">
        <v>48442</v>
      </c>
    </row>
    <row r="148" spans="18:33" x14ac:dyDescent="0.4">
      <c r="R148" s="15">
        <v>16</v>
      </c>
      <c r="S148" s="14">
        <v>20290312</v>
      </c>
      <c r="T148" s="14">
        <v>20290612</v>
      </c>
      <c r="U148" s="14">
        <v>20290614</v>
      </c>
      <c r="V148" s="14">
        <v>1.8849999999999999E-2</v>
      </c>
      <c r="W148" s="14">
        <v>0.47512328767123285</v>
      </c>
      <c r="X148" s="14">
        <v>0.91870181781535598</v>
      </c>
      <c r="Y148" s="14">
        <v>20290312</v>
      </c>
      <c r="Z148" s="14">
        <v>20290612</v>
      </c>
      <c r="AA148" s="14">
        <v>20290614</v>
      </c>
      <c r="AB148" s="14">
        <v>3.5271177168033775E-2</v>
      </c>
      <c r="AC148" s="14">
        <v>0.90137452762752979</v>
      </c>
      <c r="AD148" s="14">
        <v>0.84535245745771204</v>
      </c>
      <c r="AG148" s="20">
        <v>48475</v>
      </c>
    </row>
    <row r="149" spans="18:33" x14ac:dyDescent="0.4">
      <c r="R149" s="15">
        <v>16</v>
      </c>
      <c r="S149" s="14">
        <v>20290612</v>
      </c>
      <c r="T149" s="14">
        <v>20290912</v>
      </c>
      <c r="U149" s="14">
        <v>20290914</v>
      </c>
      <c r="V149" s="14">
        <v>1.8849999999999999E-2</v>
      </c>
      <c r="W149" s="14">
        <v>0.47512328767123285</v>
      </c>
      <c r="X149" s="14">
        <v>0.91453181070083656</v>
      </c>
      <c r="Y149" s="14">
        <v>20290612</v>
      </c>
      <c r="Z149" s="14">
        <v>20290912</v>
      </c>
      <c r="AA149" s="14">
        <v>20290914</v>
      </c>
      <c r="AB149" s="14">
        <v>3.5078639927735716E-2</v>
      </c>
      <c r="AC149" s="14">
        <v>0.89645413148657926</v>
      </c>
      <c r="AD149" s="14">
        <v>0.83784248010644946</v>
      </c>
      <c r="AG149" s="20">
        <v>48477</v>
      </c>
    </row>
    <row r="150" spans="18:33" x14ac:dyDescent="0.4">
      <c r="R150" s="15">
        <v>16</v>
      </c>
      <c r="S150" s="14">
        <v>20290912</v>
      </c>
      <c r="T150" s="14">
        <v>20291212</v>
      </c>
      <c r="U150" s="14">
        <v>20291214</v>
      </c>
      <c r="V150" s="14">
        <v>1.8849999999999999E-2</v>
      </c>
      <c r="W150" s="14">
        <v>0.46995890410958902</v>
      </c>
      <c r="X150" s="14">
        <v>0.9104434855978476</v>
      </c>
      <c r="Y150" s="14">
        <v>20290912</v>
      </c>
      <c r="Z150" s="14">
        <v>20291212</v>
      </c>
      <c r="AA150" s="14">
        <v>20291214</v>
      </c>
      <c r="AB150" s="14">
        <v>3.4885473017893777E-2</v>
      </c>
      <c r="AC150" s="14">
        <v>0.88182723461898149</v>
      </c>
      <c r="AD150" s="14">
        <v>0.83051961055272827</v>
      </c>
      <c r="AG150" s="20">
        <v>48478</v>
      </c>
    </row>
    <row r="151" spans="18:33" x14ac:dyDescent="0.4">
      <c r="R151" s="15">
        <v>16</v>
      </c>
      <c r="S151" s="14">
        <v>20291212</v>
      </c>
      <c r="T151" s="14">
        <v>20300312</v>
      </c>
      <c r="U151" s="14">
        <v>20300314</v>
      </c>
      <c r="V151" s="14">
        <v>1.8849999999999999E-2</v>
      </c>
      <c r="W151" s="14">
        <v>0.46479452054794512</v>
      </c>
      <c r="X151" s="14">
        <v>0.90619009715106424</v>
      </c>
      <c r="Y151" s="14">
        <v>20291212</v>
      </c>
      <c r="Z151" s="14">
        <v>20300312</v>
      </c>
      <c r="AA151" s="14">
        <v>20300314</v>
      </c>
      <c r="AB151" s="14">
        <v>3.5803934099056356E-2</v>
      </c>
      <c r="AC151" s="14">
        <v>0.8950983524764089</v>
      </c>
      <c r="AD151" s="14">
        <v>0.82314706276071026</v>
      </c>
      <c r="AG151" s="20">
        <v>48491</v>
      </c>
    </row>
    <row r="152" spans="18:33" x14ac:dyDescent="0.4">
      <c r="R152" s="15">
        <v>16</v>
      </c>
      <c r="S152" s="14">
        <v>20300312</v>
      </c>
      <c r="T152" s="14">
        <v>20300612</v>
      </c>
      <c r="U152" s="14">
        <v>20300614</v>
      </c>
      <c r="V152" s="14">
        <v>1.8849999999999999E-2</v>
      </c>
      <c r="W152" s="14">
        <v>0.47512328767123285</v>
      </c>
      <c r="X152" s="14">
        <v>0.90185674419715978</v>
      </c>
      <c r="Y152" s="14">
        <v>20300312</v>
      </c>
      <c r="Z152" s="14">
        <v>20300612</v>
      </c>
      <c r="AA152" s="14">
        <v>20300614</v>
      </c>
      <c r="AB152" s="14">
        <v>3.5748759544124202E-2</v>
      </c>
      <c r="AC152" s="14">
        <v>0.91357941057206293</v>
      </c>
      <c r="AD152" s="14">
        <v>0.81569541656398015</v>
      </c>
      <c r="AG152" s="20">
        <v>48498</v>
      </c>
    </row>
    <row r="153" spans="18:33" x14ac:dyDescent="0.4">
      <c r="R153" s="15">
        <v>16</v>
      </c>
      <c r="S153" s="14">
        <v>20300612</v>
      </c>
      <c r="T153" s="14">
        <v>20300916</v>
      </c>
      <c r="U153" s="14">
        <v>20300918</v>
      </c>
      <c r="V153" s="14">
        <v>1.8849999999999999E-2</v>
      </c>
      <c r="W153" s="14">
        <v>0.49578082191780809</v>
      </c>
      <c r="X153" s="14">
        <v>0.89735066006463637</v>
      </c>
      <c r="Y153" s="14">
        <v>20300612</v>
      </c>
      <c r="Z153" s="14">
        <v>20300912</v>
      </c>
      <c r="AA153" s="14">
        <v>20300918</v>
      </c>
      <c r="AB153" s="14">
        <v>3.567031262192738E-2</v>
      </c>
      <c r="AC153" s="14">
        <v>0.95120833658473014</v>
      </c>
      <c r="AD153" s="14">
        <v>0.80800995063938141</v>
      </c>
      <c r="AG153" s="20">
        <v>48575</v>
      </c>
    </row>
    <row r="154" spans="18:33" x14ac:dyDescent="0.4">
      <c r="R154" s="15">
        <v>16</v>
      </c>
      <c r="S154" s="14">
        <v>20300916</v>
      </c>
      <c r="T154" s="14">
        <v>20301212</v>
      </c>
      <c r="U154" s="14">
        <v>20301216</v>
      </c>
      <c r="V154" s="14">
        <v>1.8849999999999999E-2</v>
      </c>
      <c r="W154" s="14">
        <v>0.44930136986301361</v>
      </c>
      <c r="X154" s="14">
        <v>0.89318743280872581</v>
      </c>
      <c r="Y154" s="14">
        <v>20300916</v>
      </c>
      <c r="Z154" s="14">
        <v>20301212</v>
      </c>
      <c r="AA154" s="14">
        <v>20301216</v>
      </c>
      <c r="AB154" s="14">
        <v>3.5571286935239081E-2</v>
      </c>
      <c r="AC154" s="14">
        <v>0.85963943426827782</v>
      </c>
      <c r="AD154" s="14">
        <v>0.80096609080747205</v>
      </c>
      <c r="AG154" s="20">
        <v>48580</v>
      </c>
    </row>
    <row r="155" spans="18:33" x14ac:dyDescent="0.4">
      <c r="R155" s="15">
        <v>16</v>
      </c>
      <c r="S155" s="14">
        <v>20301212</v>
      </c>
      <c r="T155" s="14">
        <v>20310312</v>
      </c>
      <c r="U155" s="14">
        <v>20310314</v>
      </c>
      <c r="V155" s="14">
        <v>1.8849999999999999E-2</v>
      </c>
      <c r="W155" s="14">
        <v>0.46479452054794512</v>
      </c>
      <c r="X155" s="14">
        <v>0.88908516418005434</v>
      </c>
      <c r="Y155" s="14">
        <v>20301212</v>
      </c>
      <c r="Z155" s="14">
        <v>20310312</v>
      </c>
      <c r="AA155" s="14">
        <v>20310314</v>
      </c>
      <c r="AB155" s="14">
        <v>3.5982207828288537E-2</v>
      </c>
      <c r="AC155" s="14">
        <v>0.89955519570721343</v>
      </c>
      <c r="AD155" s="14">
        <v>0.79397927730487272</v>
      </c>
      <c r="AG155" s="20">
        <v>48610</v>
      </c>
    </row>
    <row r="156" spans="18:33" x14ac:dyDescent="0.4">
      <c r="R156" s="15">
        <v>16</v>
      </c>
      <c r="S156" s="14">
        <v>20310312</v>
      </c>
      <c r="T156" s="14">
        <v>20310612</v>
      </c>
      <c r="U156" s="14">
        <v>20310616</v>
      </c>
      <c r="V156" s="14">
        <v>1.8849999999999999E-2</v>
      </c>
      <c r="W156" s="14">
        <v>0.47512328767123285</v>
      </c>
      <c r="X156" s="14">
        <v>0.8847180661505506</v>
      </c>
      <c r="Y156" s="14">
        <v>20310312</v>
      </c>
      <c r="Z156" s="14">
        <v>20310612</v>
      </c>
      <c r="AA156" s="14">
        <v>20310616</v>
      </c>
      <c r="AB156" s="14">
        <v>3.5965316700576615E-2</v>
      </c>
      <c r="AC156" s="14">
        <v>0.91911364901473558</v>
      </c>
      <c r="AD156" s="14">
        <v>0.78659198620247639</v>
      </c>
      <c r="AG156" s="20">
        <v>48611</v>
      </c>
    </row>
    <row r="157" spans="18:33" x14ac:dyDescent="0.4">
      <c r="R157" s="15">
        <v>16</v>
      </c>
      <c r="S157" s="14">
        <v>20310612</v>
      </c>
      <c r="T157" s="14">
        <v>20310912</v>
      </c>
      <c r="U157" s="14">
        <v>20310916</v>
      </c>
      <c r="V157" s="14">
        <v>1.8849999999999999E-2</v>
      </c>
      <c r="W157" s="14">
        <v>0.47512328767123285</v>
      </c>
      <c r="X157" s="14">
        <v>0.88045874515845013</v>
      </c>
      <c r="Y157" s="14">
        <v>20310612</v>
      </c>
      <c r="Z157" s="14">
        <v>20310912</v>
      </c>
      <c r="AA157" s="14">
        <v>20310916</v>
      </c>
      <c r="AB157" s="14">
        <v>3.5922651100779114E-2</v>
      </c>
      <c r="AC157" s="14">
        <v>0.91802330590879944</v>
      </c>
      <c r="AD157" s="14">
        <v>0.77943694291121279</v>
      </c>
      <c r="AG157" s="20">
        <v>48612</v>
      </c>
    </row>
    <row r="158" spans="18:33" x14ac:dyDescent="0.4">
      <c r="R158" s="15">
        <v>16</v>
      </c>
      <c r="S158" s="14">
        <v>20310912</v>
      </c>
      <c r="T158" s="14">
        <v>20311212</v>
      </c>
      <c r="U158" s="14">
        <v>20311216</v>
      </c>
      <c r="V158" s="14">
        <v>1.8849999999999999E-2</v>
      </c>
      <c r="W158" s="14">
        <v>0.46995890410958902</v>
      </c>
      <c r="X158" s="14">
        <v>0.87626016845347043</v>
      </c>
      <c r="Y158" s="14">
        <v>20310912</v>
      </c>
      <c r="Z158" s="14">
        <v>20311212</v>
      </c>
      <c r="AA158" s="14">
        <v>20311216</v>
      </c>
      <c r="AB158" s="14">
        <v>3.5878435293902909E-2</v>
      </c>
      <c r="AC158" s="14">
        <v>0.90692711437365681</v>
      </c>
      <c r="AD158" s="14">
        <v>0.77243191063230876</v>
      </c>
      <c r="AG158" s="20">
        <v>48639</v>
      </c>
    </row>
    <row r="159" spans="18:33" x14ac:dyDescent="0.4">
      <c r="R159" s="15">
        <v>16</v>
      </c>
      <c r="S159" s="14">
        <v>20311212</v>
      </c>
      <c r="T159" s="14">
        <v>20320312</v>
      </c>
      <c r="U159" s="14">
        <v>20320316</v>
      </c>
      <c r="V159" s="14">
        <v>1.8849999999999999E-2</v>
      </c>
      <c r="W159" s="14">
        <v>0.46995890410958902</v>
      </c>
      <c r="X159" s="14">
        <v>0.87216086783321656</v>
      </c>
      <c r="Y159" s="14">
        <v>20311212</v>
      </c>
      <c r="Z159" s="14">
        <v>20320312</v>
      </c>
      <c r="AA159" s="14">
        <v>20320316</v>
      </c>
      <c r="AB159" s="14">
        <v>3.6345272880791271E-2</v>
      </c>
      <c r="AC159" s="14">
        <v>0.91872773115333484</v>
      </c>
      <c r="AD159" s="14">
        <v>0.7653956832121831</v>
      </c>
      <c r="AG159" s="20">
        <v>48700</v>
      </c>
    </row>
    <row r="160" spans="18:33" x14ac:dyDescent="0.4">
      <c r="R160" s="15">
        <v>16</v>
      </c>
      <c r="S160" s="14">
        <v>20320312</v>
      </c>
      <c r="T160" s="14">
        <v>20320614</v>
      </c>
      <c r="U160" s="14">
        <v>20320616</v>
      </c>
      <c r="V160" s="14">
        <v>1.8849999999999999E-2</v>
      </c>
      <c r="W160" s="14">
        <v>0.48545205479452047</v>
      </c>
      <c r="X160" s="14">
        <v>0.86803617433212443</v>
      </c>
      <c r="Y160" s="14">
        <v>20320312</v>
      </c>
      <c r="Z160" s="14">
        <v>20320614</v>
      </c>
      <c r="AA160" s="14">
        <v>20320616</v>
      </c>
      <c r="AB160" s="14">
        <v>3.6367656269225002E-2</v>
      </c>
      <c r="AC160" s="14">
        <v>0.9495999136964306</v>
      </c>
      <c r="AD160" s="14">
        <v>0.75834837196605331</v>
      </c>
      <c r="AG160" s="20">
        <v>48704</v>
      </c>
    </row>
    <row r="161" spans="18:33" x14ac:dyDescent="0.4">
      <c r="R161" s="15">
        <v>16</v>
      </c>
      <c r="S161" s="14">
        <v>20320614</v>
      </c>
      <c r="T161" s="14">
        <v>20320913</v>
      </c>
      <c r="U161" s="14">
        <v>20320915</v>
      </c>
      <c r="V161" s="14">
        <v>1.8849999999999999E-2</v>
      </c>
      <c r="W161" s="14">
        <v>0.46995890410958902</v>
      </c>
      <c r="X161" s="14">
        <v>0.8639756624327497</v>
      </c>
      <c r="Y161" s="14">
        <v>20320614</v>
      </c>
      <c r="Z161" s="14">
        <v>20320913</v>
      </c>
      <c r="AA161" s="14">
        <v>20320915</v>
      </c>
      <c r="AB161" s="14">
        <v>3.635645237501569E-2</v>
      </c>
      <c r="AC161" s="14">
        <v>0.91901032392400772</v>
      </c>
      <c r="AD161" s="14">
        <v>0.75144256070952442</v>
      </c>
      <c r="AG161" s="20">
        <v>48705</v>
      </c>
    </row>
    <row r="162" spans="18:33" x14ac:dyDescent="0.4">
      <c r="R162" s="15">
        <v>16</v>
      </c>
      <c r="S162" s="14">
        <v>20320913</v>
      </c>
      <c r="T162" s="14">
        <v>20321213</v>
      </c>
      <c r="U162" s="14">
        <v>20321215</v>
      </c>
      <c r="V162" s="14">
        <v>1.8849999999999999E-2</v>
      </c>
      <c r="W162" s="14">
        <v>0.46995890410958902</v>
      </c>
      <c r="X162" s="14">
        <v>0.85993430096618129</v>
      </c>
      <c r="Y162" s="14">
        <v>20320913</v>
      </c>
      <c r="Z162" s="14">
        <v>20321213</v>
      </c>
      <c r="AA162" s="14">
        <v>20321215</v>
      </c>
      <c r="AB162" s="14">
        <v>3.6350834044769818E-2</v>
      </c>
      <c r="AC162" s="14">
        <v>0.91886830502057038</v>
      </c>
      <c r="AD162" s="14">
        <v>0.74460068426401982</v>
      </c>
      <c r="AG162" s="20">
        <v>48736</v>
      </c>
    </row>
    <row r="163" spans="18:33" x14ac:dyDescent="0.4">
      <c r="R163" s="15">
        <v>17</v>
      </c>
      <c r="S163" s="14">
        <v>20241212</v>
      </c>
      <c r="T163" s="14">
        <v>20250312</v>
      </c>
      <c r="U163" s="14">
        <v>20250314</v>
      </c>
      <c r="V163" s="14">
        <v>1.8799999999999997E-2</v>
      </c>
      <c r="W163" s="14">
        <v>0.46356164383561632</v>
      </c>
      <c r="X163" s="14">
        <v>0.99270901377394938</v>
      </c>
      <c r="Y163" s="14">
        <v>20241212</v>
      </c>
      <c r="Z163" s="14">
        <v>20250312</v>
      </c>
      <c r="AA163" s="14">
        <v>20250314</v>
      </c>
      <c r="AB163" s="14">
        <v>4.3954996023273907E-2</v>
      </c>
      <c r="AC163" s="14">
        <v>1.0988749005818477</v>
      </c>
      <c r="AD163" s="14">
        <v>0.9886424392876334</v>
      </c>
      <c r="AG163" s="20">
        <v>48806</v>
      </c>
    </row>
    <row r="164" spans="18:33" x14ac:dyDescent="0.4">
      <c r="R164" s="15">
        <v>17</v>
      </c>
      <c r="S164" s="14">
        <v>20250312</v>
      </c>
      <c r="T164" s="14">
        <v>20250612</v>
      </c>
      <c r="U164" s="14">
        <v>20250616</v>
      </c>
      <c r="V164" s="14">
        <v>1.8799999999999997E-2</v>
      </c>
      <c r="W164" s="14">
        <v>0.4738630136986301</v>
      </c>
      <c r="X164" s="14">
        <v>0.98730258544302441</v>
      </c>
      <c r="Y164" s="14">
        <v>20250312</v>
      </c>
      <c r="Z164" s="14">
        <v>20250612</v>
      </c>
      <c r="AA164" s="14">
        <v>20250616</v>
      </c>
      <c r="AB164" s="14">
        <v>4.1354165149545943E-2</v>
      </c>
      <c r="AC164" s="14">
        <v>1.0568286649328407</v>
      </c>
      <c r="AD164" s="14">
        <v>0.97810451242860541</v>
      </c>
      <c r="AG164" s="20">
        <v>48829</v>
      </c>
    </row>
    <row r="165" spans="18:33" x14ac:dyDescent="0.4">
      <c r="R165" s="15">
        <v>17</v>
      </c>
      <c r="S165" s="14">
        <v>20250612</v>
      </c>
      <c r="T165" s="14">
        <v>20250912</v>
      </c>
      <c r="U165" s="14">
        <v>20250916</v>
      </c>
      <c r="V165" s="14">
        <v>1.8799999999999997E-2</v>
      </c>
      <c r="W165" s="14">
        <v>0.4738630136986301</v>
      </c>
      <c r="X165" s="14">
        <v>0.9824608745257547</v>
      </c>
      <c r="Y165" s="14">
        <v>20250612</v>
      </c>
      <c r="Z165" s="14">
        <v>20250912</v>
      </c>
      <c r="AA165" s="14">
        <v>20250916</v>
      </c>
      <c r="AB165" s="14">
        <v>3.9307839001370047E-2</v>
      </c>
      <c r="AC165" s="14">
        <v>1.0045336633683455</v>
      </c>
      <c r="AD165" s="14">
        <v>0.96839584644885923</v>
      </c>
      <c r="AG165" s="20">
        <v>48830</v>
      </c>
    </row>
    <row r="166" spans="18:33" x14ac:dyDescent="0.4">
      <c r="R166" s="15">
        <v>17</v>
      </c>
      <c r="S166" s="14">
        <v>20250912</v>
      </c>
      <c r="T166" s="14">
        <v>20251212</v>
      </c>
      <c r="U166" s="14">
        <v>20251216</v>
      </c>
      <c r="V166" s="14">
        <v>1.8799999999999997E-2</v>
      </c>
      <c r="W166" s="14">
        <v>0.46871232876712321</v>
      </c>
      <c r="X166" s="14">
        <v>0.97848810988448698</v>
      </c>
      <c r="Y166" s="14">
        <v>20250912</v>
      </c>
      <c r="Z166" s="14">
        <v>20251212</v>
      </c>
      <c r="AA166" s="14">
        <v>20251216</v>
      </c>
      <c r="AB166" s="14">
        <v>3.8115538737094092E-2</v>
      </c>
      <c r="AC166" s="14">
        <v>0.96347611807654499</v>
      </c>
      <c r="AD166" s="14">
        <v>0.95916401323373646</v>
      </c>
      <c r="AG166" s="20">
        <v>48831</v>
      </c>
    </row>
    <row r="167" spans="18:33" x14ac:dyDescent="0.4">
      <c r="R167" s="15">
        <v>17</v>
      </c>
      <c r="S167" s="14">
        <v>20251212</v>
      </c>
      <c r="T167" s="14">
        <v>20260312</v>
      </c>
      <c r="U167" s="14">
        <v>20260316</v>
      </c>
      <c r="V167" s="14">
        <v>1.8799999999999997E-2</v>
      </c>
      <c r="W167" s="14">
        <v>0.46356164383561632</v>
      </c>
      <c r="X167" s="14">
        <v>0.97397125187931066</v>
      </c>
      <c r="Y167" s="14">
        <v>20251212</v>
      </c>
      <c r="Z167" s="14">
        <v>20260312</v>
      </c>
      <c r="AA167" s="14">
        <v>20260316</v>
      </c>
      <c r="AB167" s="14">
        <v>3.7650041912233867E-2</v>
      </c>
      <c r="AC167" s="14">
        <v>0.94125104780584667</v>
      </c>
      <c r="AD167" s="14">
        <v>0.95022207032432959</v>
      </c>
      <c r="AG167" s="20">
        <v>48855</v>
      </c>
    </row>
    <row r="168" spans="18:33" x14ac:dyDescent="0.4">
      <c r="R168" s="15">
        <v>17</v>
      </c>
      <c r="S168" s="14">
        <v>20260312</v>
      </c>
      <c r="T168" s="14">
        <v>20260612</v>
      </c>
      <c r="U168" s="14">
        <v>20260616</v>
      </c>
      <c r="V168" s="14">
        <v>1.8799999999999997E-2</v>
      </c>
      <c r="W168" s="14">
        <v>0.4738630136986301</v>
      </c>
      <c r="X168" s="14">
        <v>0.96962934720959448</v>
      </c>
      <c r="Y168" s="14">
        <v>20260312</v>
      </c>
      <c r="Z168" s="14">
        <v>20260612</v>
      </c>
      <c r="AA168" s="14">
        <v>20260616</v>
      </c>
      <c r="AB168" s="14">
        <v>3.6505589419326689E-2</v>
      </c>
      <c r="AC168" s="14">
        <v>0.93292061849390429</v>
      </c>
      <c r="AD168" s="14">
        <v>0.94145168001126112</v>
      </c>
      <c r="AG168" s="20">
        <v>48862</v>
      </c>
    </row>
    <row r="169" spans="18:33" x14ac:dyDescent="0.4">
      <c r="R169" s="15">
        <v>17</v>
      </c>
      <c r="S169" s="14">
        <v>20260612</v>
      </c>
      <c r="T169" s="14">
        <v>20260914</v>
      </c>
      <c r="U169" s="14">
        <v>20260916</v>
      </c>
      <c r="V169" s="14">
        <v>1.8799999999999997E-2</v>
      </c>
      <c r="W169" s="14">
        <v>0.48416438356164376</v>
      </c>
      <c r="X169" s="14">
        <v>0.96527436697370961</v>
      </c>
      <c r="Y169" s="14">
        <v>20260612</v>
      </c>
      <c r="Z169" s="14">
        <v>20260914</v>
      </c>
      <c r="AA169" s="14">
        <v>20260916</v>
      </c>
      <c r="AB169" s="14">
        <v>3.665192740209311E-2</v>
      </c>
      <c r="AC169" s="14">
        <v>0.95702254883243132</v>
      </c>
      <c r="AD169" s="14">
        <v>0.93271013681990811</v>
      </c>
      <c r="AG169" s="20">
        <v>48939</v>
      </c>
    </row>
    <row r="170" spans="18:33" x14ac:dyDescent="0.4">
      <c r="R170" s="15">
        <v>17</v>
      </c>
      <c r="S170" s="14">
        <v>20260914</v>
      </c>
      <c r="T170" s="14">
        <v>20261214</v>
      </c>
      <c r="U170" s="14">
        <v>20261216</v>
      </c>
      <c r="V170" s="14">
        <v>1.8799999999999997E-2</v>
      </c>
      <c r="W170" s="14">
        <v>0.46871232876712321</v>
      </c>
      <c r="X170" s="14">
        <v>0.96115573199374194</v>
      </c>
      <c r="Y170" s="14">
        <v>20260914</v>
      </c>
      <c r="Z170" s="14">
        <v>20261214</v>
      </c>
      <c r="AA170" s="14">
        <v>20261216</v>
      </c>
      <c r="AB170" s="14">
        <v>3.5895347904791812E-2</v>
      </c>
      <c r="AC170" s="14">
        <v>0.90735462759334862</v>
      </c>
      <c r="AD170" s="14">
        <v>0.92432726502282114</v>
      </c>
      <c r="AG170" s="20">
        <v>48945</v>
      </c>
    </row>
    <row r="171" spans="18:33" x14ac:dyDescent="0.4">
      <c r="R171" s="15">
        <v>17</v>
      </c>
      <c r="S171" s="14">
        <v>20261214</v>
      </c>
      <c r="T171" s="14">
        <v>20270312</v>
      </c>
      <c r="U171" s="14">
        <v>20270316</v>
      </c>
      <c r="V171" s="14">
        <v>1.8799999999999997E-2</v>
      </c>
      <c r="W171" s="14">
        <v>0.45326027397260266</v>
      </c>
      <c r="X171" s="14">
        <v>0.95673227636049363</v>
      </c>
      <c r="Y171" s="14">
        <v>20261214</v>
      </c>
      <c r="Z171" s="14">
        <v>20270312</v>
      </c>
      <c r="AA171" s="14">
        <v>20270316</v>
      </c>
      <c r="AB171" s="14">
        <v>3.6467158129272738E-2</v>
      </c>
      <c r="AC171" s="14">
        <v>0.89141942093777793</v>
      </c>
      <c r="AD171" s="14">
        <v>0.915972896403355</v>
      </c>
      <c r="AG171" s="20">
        <v>48993</v>
      </c>
    </row>
    <row r="172" spans="18:33" x14ac:dyDescent="0.4">
      <c r="R172" s="15">
        <v>17</v>
      </c>
      <c r="S172" s="14">
        <v>20270312</v>
      </c>
      <c r="T172" s="14">
        <v>20270614</v>
      </c>
      <c r="U172" s="14">
        <v>20270616</v>
      </c>
      <c r="V172" s="14">
        <v>1.8799999999999997E-2</v>
      </c>
      <c r="W172" s="14">
        <v>0.48416438356164376</v>
      </c>
      <c r="X172" s="14">
        <v>0.9522812889989285</v>
      </c>
      <c r="Y172" s="14">
        <v>20270312</v>
      </c>
      <c r="Z172" s="14">
        <v>20270614</v>
      </c>
      <c r="AA172" s="14">
        <v>20270616</v>
      </c>
      <c r="AB172" s="14">
        <v>3.6023325792759735E-2</v>
      </c>
      <c r="AC172" s="14">
        <v>0.94060906236650421</v>
      </c>
      <c r="AD172" s="14">
        <v>0.90762189050154718</v>
      </c>
      <c r="AG172" s="20">
        <v>48995</v>
      </c>
    </row>
    <row r="173" spans="18:33" x14ac:dyDescent="0.4">
      <c r="R173" s="15">
        <v>17</v>
      </c>
      <c r="S173" s="14">
        <v>20270614</v>
      </c>
      <c r="T173" s="14">
        <v>20270913</v>
      </c>
      <c r="U173" s="14">
        <v>20270920</v>
      </c>
      <c r="V173" s="14">
        <v>1.8799999999999997E-2</v>
      </c>
      <c r="W173" s="14">
        <v>0.46871232876712321</v>
      </c>
      <c r="X173" s="14">
        <v>0.94771219825361941</v>
      </c>
      <c r="Y173" s="14">
        <v>20270614</v>
      </c>
      <c r="Z173" s="14">
        <v>20270913</v>
      </c>
      <c r="AA173" s="14">
        <v>20270920</v>
      </c>
      <c r="AB173" s="14">
        <v>3.5527171756109518E-2</v>
      </c>
      <c r="AC173" s="14">
        <v>0.89804795272387938</v>
      </c>
      <c r="AD173" s="14">
        <v>0.89910745629996247</v>
      </c>
      <c r="AG173" s="20">
        <v>48996</v>
      </c>
    </row>
    <row r="174" spans="18:33" x14ac:dyDescent="0.4">
      <c r="R174" s="15">
        <v>17</v>
      </c>
      <c r="S174" s="14">
        <v>20270913</v>
      </c>
      <c r="T174" s="14">
        <v>20271213</v>
      </c>
      <c r="U174" s="14">
        <v>20271215</v>
      </c>
      <c r="V174" s="14">
        <v>1.8799999999999997E-2</v>
      </c>
      <c r="W174" s="14">
        <v>0.46871232876712321</v>
      </c>
      <c r="X174" s="14">
        <v>0.94368373780435177</v>
      </c>
      <c r="Y174" s="14">
        <v>20270913</v>
      </c>
      <c r="Z174" s="14">
        <v>20271213</v>
      </c>
      <c r="AA174" s="14">
        <v>20271215</v>
      </c>
      <c r="AB174" s="14">
        <v>3.5044424523607037E-2</v>
      </c>
      <c r="AC174" s="14">
        <v>0.88584517545784447</v>
      </c>
      <c r="AD174" s="14">
        <v>0.89164970448652192</v>
      </c>
      <c r="AG174" s="20">
        <v>49004</v>
      </c>
    </row>
    <row r="175" spans="18:33" x14ac:dyDescent="0.4">
      <c r="R175" s="15">
        <v>17</v>
      </c>
      <c r="S175" s="14">
        <v>20271213</v>
      </c>
      <c r="T175" s="14">
        <v>20280313</v>
      </c>
      <c r="U175" s="14">
        <v>20280315</v>
      </c>
      <c r="V175" s="14">
        <v>1.8799999999999997E-2</v>
      </c>
      <c r="W175" s="14">
        <v>0.46871232876712321</v>
      </c>
      <c r="X175" s="14">
        <v>0.93944778580762001</v>
      </c>
      <c r="Y175" s="14">
        <v>20271213</v>
      </c>
      <c r="Z175" s="14">
        <v>20280313</v>
      </c>
      <c r="AA175" s="14">
        <v>20280315</v>
      </c>
      <c r="AB175" s="14">
        <v>3.5647286444950882E-2</v>
      </c>
      <c r="AC175" s="14">
        <v>0.90108418513625832</v>
      </c>
      <c r="AD175" s="14">
        <v>0.88368347566748184</v>
      </c>
      <c r="AG175" s="20">
        <v>49065</v>
      </c>
    </row>
    <row r="176" spans="18:33" x14ac:dyDescent="0.4">
      <c r="R176" s="15">
        <v>17</v>
      </c>
      <c r="S176" s="14">
        <v>20280313</v>
      </c>
      <c r="T176" s="14">
        <v>20280612</v>
      </c>
      <c r="U176" s="14">
        <v>20280614</v>
      </c>
      <c r="V176" s="14">
        <v>1.8799999999999997E-2</v>
      </c>
      <c r="W176" s="14">
        <v>0.46871232876712321</v>
      </c>
      <c r="X176" s="14">
        <v>0.93527320518470214</v>
      </c>
      <c r="Y176" s="14">
        <v>20280313</v>
      </c>
      <c r="Z176" s="14">
        <v>20280612</v>
      </c>
      <c r="AA176" s="14">
        <v>20280614</v>
      </c>
      <c r="AB176" s="14">
        <v>3.5356958687746812E-2</v>
      </c>
      <c r="AC176" s="14">
        <v>0.89374534460693322</v>
      </c>
      <c r="AD176" s="14">
        <v>0.87585706618054726</v>
      </c>
      <c r="AG176" s="20">
        <v>49069</v>
      </c>
    </row>
    <row r="177" spans="18:33" x14ac:dyDescent="0.4">
      <c r="R177" s="15">
        <v>17</v>
      </c>
      <c r="S177" s="14">
        <v>20280612</v>
      </c>
      <c r="T177" s="14">
        <v>20280912</v>
      </c>
      <c r="U177" s="14">
        <v>20280914</v>
      </c>
      <c r="V177" s="14">
        <v>1.8799999999999997E-2</v>
      </c>
      <c r="W177" s="14">
        <v>0.4738630136986301</v>
      </c>
      <c r="X177" s="14">
        <v>0.93111447358942956</v>
      </c>
      <c r="Y177" s="14">
        <v>20280612</v>
      </c>
      <c r="Z177" s="14">
        <v>20280912</v>
      </c>
      <c r="AA177" s="14">
        <v>20280914</v>
      </c>
      <c r="AB177" s="14">
        <v>3.5044106704373086E-2</v>
      </c>
      <c r="AC177" s="14">
        <v>0.89557161577842326</v>
      </c>
      <c r="AD177" s="14">
        <v>0.86808427517649245</v>
      </c>
      <c r="AG177" s="20">
        <v>49089</v>
      </c>
    </row>
    <row r="178" spans="18:33" x14ac:dyDescent="0.4">
      <c r="R178" s="15">
        <v>17</v>
      </c>
      <c r="S178" s="14">
        <v>20280912</v>
      </c>
      <c r="T178" s="14">
        <v>20281212</v>
      </c>
      <c r="U178" s="14">
        <v>20281214</v>
      </c>
      <c r="V178" s="14">
        <v>1.8799999999999997E-2</v>
      </c>
      <c r="W178" s="14">
        <v>0.46871232876712321</v>
      </c>
      <c r="X178" s="14">
        <v>0.92706135352108632</v>
      </c>
      <c r="Y178" s="14">
        <v>20280912</v>
      </c>
      <c r="Z178" s="14">
        <v>20281212</v>
      </c>
      <c r="AA178" s="14">
        <v>20281214</v>
      </c>
      <c r="AB178" s="14">
        <v>3.4727878398949613E-2</v>
      </c>
      <c r="AC178" s="14">
        <v>0.87784359286233737</v>
      </c>
      <c r="AD178" s="14">
        <v>0.86053164863011777</v>
      </c>
      <c r="AG178" s="20">
        <v>49101</v>
      </c>
    </row>
    <row r="179" spans="18:33" x14ac:dyDescent="0.4">
      <c r="R179" s="15">
        <v>17</v>
      </c>
      <c r="S179" s="14">
        <v>20281212</v>
      </c>
      <c r="T179" s="14">
        <v>20290312</v>
      </c>
      <c r="U179" s="14">
        <v>20290314</v>
      </c>
      <c r="V179" s="14">
        <v>1.8799999999999997E-2</v>
      </c>
      <c r="W179" s="14">
        <v>0.46356164383561632</v>
      </c>
      <c r="X179" s="14">
        <v>0.92290911396968633</v>
      </c>
      <c r="Y179" s="14">
        <v>20281212</v>
      </c>
      <c r="Z179" s="14">
        <v>20290312</v>
      </c>
      <c r="AA179" s="14">
        <v>20290314</v>
      </c>
      <c r="AB179" s="14">
        <v>3.543628345363814E-2</v>
      </c>
      <c r="AC179" s="14">
        <v>0.8859070863409535</v>
      </c>
      <c r="AD179" s="14">
        <v>0.85297134492395654</v>
      </c>
      <c r="AG179" s="20">
        <v>49171</v>
      </c>
    </row>
    <row r="180" spans="18:33" x14ac:dyDescent="0.4">
      <c r="R180" s="15">
        <v>17</v>
      </c>
      <c r="S180" s="14">
        <v>20290312</v>
      </c>
      <c r="T180" s="14">
        <v>20290612</v>
      </c>
      <c r="U180" s="14">
        <v>20290614</v>
      </c>
      <c r="V180" s="14">
        <v>1.8799999999999997E-2</v>
      </c>
      <c r="W180" s="14">
        <v>0.4738630136986301</v>
      </c>
      <c r="X180" s="14">
        <v>0.91870181781535598</v>
      </c>
      <c r="Y180" s="14">
        <v>20290312</v>
      </c>
      <c r="Z180" s="14">
        <v>20290612</v>
      </c>
      <c r="AA180" s="14">
        <v>20290614</v>
      </c>
      <c r="AB180" s="14">
        <v>3.5271177168033775E-2</v>
      </c>
      <c r="AC180" s="14">
        <v>0.90137452762752979</v>
      </c>
      <c r="AD180" s="14">
        <v>0.84535245745771204</v>
      </c>
      <c r="AG180" s="20">
        <v>49213</v>
      </c>
    </row>
    <row r="181" spans="18:33" x14ac:dyDescent="0.4">
      <c r="R181" s="15">
        <v>17</v>
      </c>
      <c r="S181" s="14">
        <v>20290612</v>
      </c>
      <c r="T181" s="14">
        <v>20290912</v>
      </c>
      <c r="U181" s="14">
        <v>20290914</v>
      </c>
      <c r="V181" s="14">
        <v>1.8799999999999997E-2</v>
      </c>
      <c r="W181" s="14">
        <v>0.4738630136986301</v>
      </c>
      <c r="X181" s="14">
        <v>0.91453181070083656</v>
      </c>
      <c r="Y181" s="14">
        <v>20290612</v>
      </c>
      <c r="Z181" s="14">
        <v>20290912</v>
      </c>
      <c r="AA181" s="14">
        <v>20290914</v>
      </c>
      <c r="AB181" s="14">
        <v>3.5078639927735716E-2</v>
      </c>
      <c r="AC181" s="14">
        <v>0.89645413148657926</v>
      </c>
      <c r="AD181" s="14">
        <v>0.83784248010644946</v>
      </c>
      <c r="AG181" s="20">
        <v>49214</v>
      </c>
    </row>
    <row r="182" spans="18:33" x14ac:dyDescent="0.4">
      <c r="R182" s="15">
        <v>17</v>
      </c>
      <c r="S182" s="14">
        <v>20290912</v>
      </c>
      <c r="T182" s="14">
        <v>20291212</v>
      </c>
      <c r="U182" s="14">
        <v>20291214</v>
      </c>
      <c r="V182" s="14">
        <v>1.8799999999999997E-2</v>
      </c>
      <c r="W182" s="14">
        <v>0.46871232876712321</v>
      </c>
      <c r="X182" s="14">
        <v>0.9104434855978476</v>
      </c>
      <c r="Y182" s="14">
        <v>20290912</v>
      </c>
      <c r="Z182" s="14">
        <v>20291212</v>
      </c>
      <c r="AA182" s="14">
        <v>20291214</v>
      </c>
      <c r="AB182" s="14">
        <v>3.4885473017893777E-2</v>
      </c>
      <c r="AC182" s="14">
        <v>0.88182723461898149</v>
      </c>
      <c r="AD182" s="14">
        <v>0.83051961055272827</v>
      </c>
      <c r="AG182" s="20">
        <v>49215</v>
      </c>
    </row>
    <row r="183" spans="18:33" x14ac:dyDescent="0.4">
      <c r="R183" s="15">
        <v>17</v>
      </c>
      <c r="S183" s="14">
        <v>20291212</v>
      </c>
      <c r="T183" s="14">
        <v>20300312</v>
      </c>
      <c r="U183" s="14">
        <v>20300314</v>
      </c>
      <c r="V183" s="14">
        <v>1.8799999999999997E-2</v>
      </c>
      <c r="W183" s="14">
        <v>0.46356164383561632</v>
      </c>
      <c r="X183" s="14">
        <v>0.90619009715106424</v>
      </c>
      <c r="Y183" s="14">
        <v>20291212</v>
      </c>
      <c r="Z183" s="14">
        <v>20300312</v>
      </c>
      <c r="AA183" s="14">
        <v>20300314</v>
      </c>
      <c r="AB183" s="14">
        <v>3.5803934099056356E-2</v>
      </c>
      <c r="AC183" s="14">
        <v>0.8950983524764089</v>
      </c>
      <c r="AD183" s="14">
        <v>0.82314706276071026</v>
      </c>
      <c r="AG183" s="20">
        <v>49220</v>
      </c>
    </row>
    <row r="184" spans="18:33" x14ac:dyDescent="0.4">
      <c r="R184" s="15">
        <v>17</v>
      </c>
      <c r="S184" s="14">
        <v>20300312</v>
      </c>
      <c r="T184" s="14">
        <v>20300612</v>
      </c>
      <c r="U184" s="14">
        <v>20300614</v>
      </c>
      <c r="V184" s="14">
        <v>1.8799999999999997E-2</v>
      </c>
      <c r="W184" s="14">
        <v>0.4738630136986301</v>
      </c>
      <c r="X184" s="14">
        <v>0.90185674419715978</v>
      </c>
      <c r="Y184" s="14">
        <v>20300312</v>
      </c>
      <c r="Z184" s="14">
        <v>20300612</v>
      </c>
      <c r="AA184" s="14">
        <v>20300614</v>
      </c>
      <c r="AB184" s="14">
        <v>3.5748759544124202E-2</v>
      </c>
      <c r="AC184" s="14">
        <v>0.91357941057206293</v>
      </c>
      <c r="AD184" s="14">
        <v>0.81569541656398015</v>
      </c>
      <c r="AG184" s="20">
        <v>49226</v>
      </c>
    </row>
    <row r="185" spans="18:33" x14ac:dyDescent="0.4">
      <c r="R185" s="15">
        <v>17</v>
      </c>
      <c r="S185" s="14">
        <v>20300612</v>
      </c>
      <c r="T185" s="14">
        <v>20300916</v>
      </c>
      <c r="U185" s="14">
        <v>20300918</v>
      </c>
      <c r="V185" s="14">
        <v>1.8799999999999997E-2</v>
      </c>
      <c r="W185" s="14">
        <v>0.49446575342465737</v>
      </c>
      <c r="X185" s="14">
        <v>0.89735066006463637</v>
      </c>
      <c r="Y185" s="14">
        <v>20300612</v>
      </c>
      <c r="Z185" s="14">
        <v>20300912</v>
      </c>
      <c r="AA185" s="14">
        <v>20300918</v>
      </c>
      <c r="AB185" s="14">
        <v>3.567031262192738E-2</v>
      </c>
      <c r="AC185" s="14">
        <v>0.95120833658473014</v>
      </c>
      <c r="AD185" s="14">
        <v>0.80800995063938141</v>
      </c>
      <c r="AG185" s="20">
        <v>49303</v>
      </c>
    </row>
    <row r="186" spans="18:33" x14ac:dyDescent="0.4">
      <c r="R186" s="15">
        <v>17</v>
      </c>
      <c r="S186" s="14">
        <v>20300916</v>
      </c>
      <c r="T186" s="14">
        <v>20301212</v>
      </c>
      <c r="U186" s="14">
        <v>20301216</v>
      </c>
      <c r="V186" s="14">
        <v>1.8799999999999997E-2</v>
      </c>
      <c r="W186" s="14">
        <v>0.44810958904109582</v>
      </c>
      <c r="X186" s="14">
        <v>0.89318743280872581</v>
      </c>
      <c r="Y186" s="14">
        <v>20300916</v>
      </c>
      <c r="Z186" s="14">
        <v>20301212</v>
      </c>
      <c r="AA186" s="14">
        <v>20301216</v>
      </c>
      <c r="AB186" s="14">
        <v>3.5571286935239081E-2</v>
      </c>
      <c r="AC186" s="14">
        <v>0.85963943426827782</v>
      </c>
      <c r="AD186" s="14">
        <v>0.80096609080747205</v>
      </c>
      <c r="AG186" s="20">
        <v>49310</v>
      </c>
    </row>
    <row r="187" spans="18:33" x14ac:dyDescent="0.4">
      <c r="R187" s="15">
        <v>17</v>
      </c>
      <c r="S187" s="14">
        <v>20301212</v>
      </c>
      <c r="T187" s="14">
        <v>20310312</v>
      </c>
      <c r="U187" s="14">
        <v>20310314</v>
      </c>
      <c r="V187" s="14">
        <v>1.8799999999999997E-2</v>
      </c>
      <c r="W187" s="14">
        <v>0.46356164383561632</v>
      </c>
      <c r="X187" s="14">
        <v>0.88908516418005434</v>
      </c>
      <c r="Y187" s="14">
        <v>20301212</v>
      </c>
      <c r="Z187" s="14">
        <v>20310312</v>
      </c>
      <c r="AA187" s="14">
        <v>20310314</v>
      </c>
      <c r="AB187" s="14">
        <v>3.5982207828288537E-2</v>
      </c>
      <c r="AC187" s="14">
        <v>0.89955519570721343</v>
      </c>
      <c r="AD187" s="14">
        <v>0.79397927730487272</v>
      </c>
      <c r="AG187" s="20">
        <v>49347</v>
      </c>
    </row>
    <row r="188" spans="18:33" x14ac:dyDescent="0.4">
      <c r="R188" s="15">
        <v>17</v>
      </c>
      <c r="S188" s="14">
        <v>20310312</v>
      </c>
      <c r="T188" s="14">
        <v>20310612</v>
      </c>
      <c r="U188" s="14">
        <v>20310616</v>
      </c>
      <c r="V188" s="14">
        <v>1.8799999999999997E-2</v>
      </c>
      <c r="W188" s="14">
        <v>0.4738630136986301</v>
      </c>
      <c r="X188" s="14">
        <v>0.8847180661505506</v>
      </c>
      <c r="Y188" s="14">
        <v>20310312</v>
      </c>
      <c r="Z188" s="14">
        <v>20310612</v>
      </c>
      <c r="AA188" s="14">
        <v>20310616</v>
      </c>
      <c r="AB188" s="14">
        <v>3.5965316700576615E-2</v>
      </c>
      <c r="AC188" s="14">
        <v>0.91911364901473558</v>
      </c>
      <c r="AD188" s="14">
        <v>0.78659198620247639</v>
      </c>
      <c r="AG188" s="20">
        <v>49348</v>
      </c>
    </row>
    <row r="189" spans="18:33" x14ac:dyDescent="0.4">
      <c r="R189" s="15">
        <v>17</v>
      </c>
      <c r="S189" s="14">
        <v>20310612</v>
      </c>
      <c r="T189" s="14">
        <v>20310912</v>
      </c>
      <c r="U189" s="14">
        <v>20310916</v>
      </c>
      <c r="V189" s="14">
        <v>1.8799999999999997E-2</v>
      </c>
      <c r="W189" s="14">
        <v>0.4738630136986301</v>
      </c>
      <c r="X189" s="14">
        <v>0.88045874515845013</v>
      </c>
      <c r="Y189" s="14">
        <v>20310612</v>
      </c>
      <c r="Z189" s="14">
        <v>20310912</v>
      </c>
      <c r="AA189" s="14">
        <v>20310916</v>
      </c>
      <c r="AB189" s="14">
        <v>3.5922651100779114E-2</v>
      </c>
      <c r="AC189" s="14">
        <v>0.91802330590879944</v>
      </c>
      <c r="AD189" s="14">
        <v>0.77943694291121279</v>
      </c>
      <c r="AG189" s="20">
        <v>49349</v>
      </c>
    </row>
    <row r="190" spans="18:33" x14ac:dyDescent="0.4">
      <c r="R190" s="15">
        <v>17</v>
      </c>
      <c r="S190" s="14">
        <v>20310912</v>
      </c>
      <c r="T190" s="14">
        <v>20311212</v>
      </c>
      <c r="U190" s="14">
        <v>20311216</v>
      </c>
      <c r="V190" s="14">
        <v>1.8799999999999997E-2</v>
      </c>
      <c r="W190" s="14">
        <v>0.46871232876712321</v>
      </c>
      <c r="X190" s="14">
        <v>0.87626016845347043</v>
      </c>
      <c r="Y190" s="14">
        <v>20310912</v>
      </c>
      <c r="Z190" s="14">
        <v>20311212</v>
      </c>
      <c r="AA190" s="14">
        <v>20311216</v>
      </c>
      <c r="AB190" s="14">
        <v>3.5878435293902909E-2</v>
      </c>
      <c r="AC190" s="14">
        <v>0.90692711437365681</v>
      </c>
      <c r="AD190" s="14">
        <v>0.77243191063230876</v>
      </c>
      <c r="AG190" s="20">
        <v>49369</v>
      </c>
    </row>
    <row r="191" spans="18:33" x14ac:dyDescent="0.4">
      <c r="R191" s="15">
        <v>17</v>
      </c>
      <c r="S191" s="14">
        <v>20311212</v>
      </c>
      <c r="T191" s="14">
        <v>20320312</v>
      </c>
      <c r="U191" s="14">
        <v>20320316</v>
      </c>
      <c r="V191" s="14">
        <v>1.8799999999999997E-2</v>
      </c>
      <c r="W191" s="14">
        <v>0.46871232876712321</v>
      </c>
      <c r="X191" s="14">
        <v>0.87216086783321656</v>
      </c>
      <c r="Y191" s="14">
        <v>20311212</v>
      </c>
      <c r="Z191" s="14">
        <v>20320312</v>
      </c>
      <c r="AA191" s="14">
        <v>20320316</v>
      </c>
      <c r="AB191" s="14">
        <v>3.6345272880791271E-2</v>
      </c>
      <c r="AC191" s="14">
        <v>0.91872773115333484</v>
      </c>
      <c r="AD191" s="14">
        <v>0.7653956832121831</v>
      </c>
      <c r="AG191" s="20">
        <v>49430</v>
      </c>
    </row>
    <row r="192" spans="18:33" x14ac:dyDescent="0.4">
      <c r="R192" s="15">
        <v>17</v>
      </c>
      <c r="S192" s="14">
        <v>20320312</v>
      </c>
      <c r="T192" s="14">
        <v>20320614</v>
      </c>
      <c r="U192" s="14">
        <v>20320616</v>
      </c>
      <c r="V192" s="14">
        <v>1.8799999999999997E-2</v>
      </c>
      <c r="W192" s="14">
        <v>0.48416438356164376</v>
      </c>
      <c r="X192" s="14">
        <v>0.86803617433212443</v>
      </c>
      <c r="Y192" s="14">
        <v>20320312</v>
      </c>
      <c r="Z192" s="14">
        <v>20320614</v>
      </c>
      <c r="AA192" s="14">
        <v>20320616</v>
      </c>
      <c r="AB192" s="14">
        <v>3.6367656269225002E-2</v>
      </c>
      <c r="AC192" s="14">
        <v>0.9495999136964306</v>
      </c>
      <c r="AD192" s="14">
        <v>0.75834837196605331</v>
      </c>
      <c r="AG192" s="20">
        <v>49436</v>
      </c>
    </row>
    <row r="193" spans="18:33" x14ac:dyDescent="0.4">
      <c r="R193" s="15">
        <v>17</v>
      </c>
      <c r="S193" s="14">
        <v>20320614</v>
      </c>
      <c r="T193" s="14">
        <v>20320913</v>
      </c>
      <c r="U193" s="14">
        <v>20320915</v>
      </c>
      <c r="V193" s="14">
        <v>1.8799999999999997E-2</v>
      </c>
      <c r="W193" s="14">
        <v>0.46871232876712321</v>
      </c>
      <c r="X193" s="14">
        <v>0.8639756624327497</v>
      </c>
      <c r="Y193" s="14">
        <v>20320614</v>
      </c>
      <c r="Z193" s="14">
        <v>20320913</v>
      </c>
      <c r="AA193" s="14">
        <v>20320915</v>
      </c>
      <c r="AB193" s="14">
        <v>3.635645237501569E-2</v>
      </c>
      <c r="AC193" s="14">
        <v>0.91901032392400772</v>
      </c>
      <c r="AD193" s="14">
        <v>0.75144256070952442</v>
      </c>
      <c r="AG193" s="20">
        <v>49444</v>
      </c>
    </row>
    <row r="194" spans="18:33" x14ac:dyDescent="0.4">
      <c r="R194" s="15">
        <v>17</v>
      </c>
      <c r="S194" s="14">
        <v>20320913</v>
      </c>
      <c r="T194" s="14">
        <v>20321213</v>
      </c>
      <c r="U194" s="14">
        <v>20321215</v>
      </c>
      <c r="V194" s="14">
        <v>1.8799999999999997E-2</v>
      </c>
      <c r="W194" s="14">
        <v>0.46871232876712321</v>
      </c>
      <c r="X194" s="14">
        <v>0.85993430096618129</v>
      </c>
      <c r="Y194" s="14">
        <v>20320913</v>
      </c>
      <c r="Z194" s="14">
        <v>20321213</v>
      </c>
      <c r="AA194" s="14">
        <v>20321215</v>
      </c>
      <c r="AB194" s="14">
        <v>3.6350834044769818E-2</v>
      </c>
      <c r="AC194" s="14">
        <v>0.91886830502057038</v>
      </c>
      <c r="AD194" s="14">
        <v>0.74460068426401982</v>
      </c>
      <c r="AG194" s="20">
        <v>49466</v>
      </c>
    </row>
    <row r="195" spans="18:33" x14ac:dyDescent="0.4">
      <c r="R195" s="15">
        <v>17</v>
      </c>
      <c r="S195" s="14">
        <v>20321213</v>
      </c>
      <c r="T195" s="14">
        <v>20330314</v>
      </c>
      <c r="U195" s="14">
        <v>20330316</v>
      </c>
      <c r="V195" s="14">
        <v>1.8799999999999997E-2</v>
      </c>
      <c r="W195" s="14">
        <v>0.46871232876712321</v>
      </c>
      <c r="X195" s="14">
        <v>0.85600623289144451</v>
      </c>
      <c r="Y195" s="14">
        <v>20321213</v>
      </c>
      <c r="Z195" s="14">
        <v>20330314</v>
      </c>
      <c r="AA195" s="14">
        <v>20330316</v>
      </c>
      <c r="AB195" s="14">
        <v>3.6691174666200164E-2</v>
      </c>
      <c r="AC195" s="14">
        <v>0.92747135961783744</v>
      </c>
      <c r="AD195" s="14">
        <v>0.73775673126790764</v>
      </c>
      <c r="AG195" s="20">
        <v>49536</v>
      </c>
    </row>
    <row r="196" spans="18:33" x14ac:dyDescent="0.4">
      <c r="R196" s="15">
        <v>17</v>
      </c>
      <c r="S196" s="14">
        <v>20330314</v>
      </c>
      <c r="T196" s="14">
        <v>20330613</v>
      </c>
      <c r="U196" s="14">
        <v>20330615</v>
      </c>
      <c r="V196" s="14">
        <v>1.8799999999999997E-2</v>
      </c>
      <c r="W196" s="14">
        <v>0.46871232876712321</v>
      </c>
      <c r="X196" s="14">
        <v>0.85210191955002301</v>
      </c>
      <c r="Y196" s="14">
        <v>20330314</v>
      </c>
      <c r="Z196" s="14">
        <v>20330613</v>
      </c>
      <c r="AA196" s="14">
        <v>20330615</v>
      </c>
      <c r="AB196" s="14">
        <v>3.6714442942515108E-2</v>
      </c>
      <c r="AC196" s="14">
        <v>0.92805952993579854</v>
      </c>
      <c r="AD196" s="14">
        <v>0.73097280462183711</v>
      </c>
      <c r="AG196" s="20">
        <v>49567</v>
      </c>
    </row>
    <row r="197" spans="18:33" x14ac:dyDescent="0.4">
      <c r="R197" s="15">
        <v>17</v>
      </c>
      <c r="S197" s="14">
        <v>20330613</v>
      </c>
      <c r="T197" s="14">
        <v>20330912</v>
      </c>
      <c r="U197" s="14">
        <v>20330914</v>
      </c>
      <c r="V197" s="14">
        <v>1.8799999999999997E-2</v>
      </c>
      <c r="W197" s="14">
        <v>0.46871232876712321</v>
      </c>
      <c r="X197" s="14">
        <v>0.8482211994564024</v>
      </c>
      <c r="Y197" s="14">
        <v>20330613</v>
      </c>
      <c r="Z197" s="14">
        <v>20330912</v>
      </c>
      <c r="AA197" s="14">
        <v>20330914</v>
      </c>
      <c r="AB197" s="14">
        <v>3.6730171159862532E-2</v>
      </c>
      <c r="AC197" s="14">
        <v>0.92845710431874728</v>
      </c>
      <c r="AD197" s="14">
        <v>0.72424840556325143</v>
      </c>
      <c r="AG197" s="20">
        <v>49569</v>
      </c>
    </row>
    <row r="198" spans="18:33" x14ac:dyDescent="0.4">
      <c r="R198" s="15">
        <v>17</v>
      </c>
      <c r="S198" s="14">
        <v>20330912</v>
      </c>
      <c r="T198" s="14">
        <v>20331212</v>
      </c>
      <c r="U198" s="14">
        <v>20331214</v>
      </c>
      <c r="V198" s="14">
        <v>1.8799999999999997E-2</v>
      </c>
      <c r="W198" s="14">
        <v>0.46871232876712321</v>
      </c>
      <c r="X198" s="14">
        <v>0.84436391234273123</v>
      </c>
      <c r="Y198" s="14">
        <v>20330912</v>
      </c>
      <c r="Z198" s="14">
        <v>20331212</v>
      </c>
      <c r="AA198" s="14">
        <v>20331214</v>
      </c>
      <c r="AB198" s="14">
        <v>3.674589943917006E-2</v>
      </c>
      <c r="AC198" s="14">
        <v>0.92885468026790985</v>
      </c>
      <c r="AD198" s="14">
        <v>0.7175830392166278</v>
      </c>
      <c r="AG198" s="20">
        <v>49570</v>
      </c>
    </row>
    <row r="199" spans="18:33" x14ac:dyDescent="0.4">
      <c r="R199" s="15">
        <v>18</v>
      </c>
      <c r="S199" s="14">
        <v>20241212</v>
      </c>
      <c r="T199" s="14">
        <v>20250312</v>
      </c>
      <c r="U199" s="14">
        <v>20250314</v>
      </c>
      <c r="V199" s="14">
        <v>1.9E-2</v>
      </c>
      <c r="W199" s="14">
        <v>0.46849315068493147</v>
      </c>
      <c r="X199" s="14">
        <v>0.99270901377394938</v>
      </c>
      <c r="Y199" s="14">
        <v>20241212</v>
      </c>
      <c r="Z199" s="14">
        <v>20250312</v>
      </c>
      <c r="AA199" s="14">
        <v>20250314</v>
      </c>
      <c r="AB199" s="14">
        <v>4.3954996023273907E-2</v>
      </c>
      <c r="AC199" s="14">
        <v>1.0988749005818477</v>
      </c>
      <c r="AD199" s="14">
        <v>0.9886424392876334</v>
      </c>
      <c r="AG199" s="20">
        <v>49585</v>
      </c>
    </row>
    <row r="200" spans="18:33" x14ac:dyDescent="0.4">
      <c r="R200" s="15">
        <v>18</v>
      </c>
      <c r="S200" s="14">
        <v>20250312</v>
      </c>
      <c r="T200" s="14">
        <v>20250612</v>
      </c>
      <c r="U200" s="14">
        <v>20250616</v>
      </c>
      <c r="V200" s="14">
        <v>1.9E-2</v>
      </c>
      <c r="W200" s="14">
        <v>0.47890410958904112</v>
      </c>
      <c r="X200" s="14">
        <v>0.98730258544302441</v>
      </c>
      <c r="Y200" s="14">
        <v>20250312</v>
      </c>
      <c r="Z200" s="14">
        <v>20250612</v>
      </c>
      <c r="AA200" s="14">
        <v>20250616</v>
      </c>
      <c r="AB200" s="14">
        <v>4.1354165149545943E-2</v>
      </c>
      <c r="AC200" s="14">
        <v>1.0568286649328407</v>
      </c>
      <c r="AD200" s="14">
        <v>0.97810451242860541</v>
      </c>
      <c r="AG200" s="20">
        <v>49591</v>
      </c>
    </row>
    <row r="201" spans="18:33" x14ac:dyDescent="0.4">
      <c r="R201" s="15">
        <v>18</v>
      </c>
      <c r="S201" s="14">
        <v>20250612</v>
      </c>
      <c r="T201" s="14">
        <v>20250912</v>
      </c>
      <c r="U201" s="14">
        <v>20250916</v>
      </c>
      <c r="V201" s="14">
        <v>1.9E-2</v>
      </c>
      <c r="W201" s="14">
        <v>0.47890410958904112</v>
      </c>
      <c r="X201" s="14">
        <v>0.9824608745257547</v>
      </c>
      <c r="Y201" s="14">
        <v>20250612</v>
      </c>
      <c r="Z201" s="14">
        <v>20250912</v>
      </c>
      <c r="AA201" s="14">
        <v>20250916</v>
      </c>
      <c r="AB201" s="14">
        <v>3.9307839001370047E-2</v>
      </c>
      <c r="AC201" s="14">
        <v>1.0045336633683455</v>
      </c>
      <c r="AD201" s="14">
        <v>0.96839584644885923</v>
      </c>
      <c r="AG201" s="20">
        <v>49668</v>
      </c>
    </row>
    <row r="202" spans="18:33" x14ac:dyDescent="0.4">
      <c r="R202" s="15">
        <v>18</v>
      </c>
      <c r="S202" s="14">
        <v>20250912</v>
      </c>
      <c r="T202" s="14">
        <v>20251212</v>
      </c>
      <c r="U202" s="14">
        <v>20251216</v>
      </c>
      <c r="V202" s="14">
        <v>1.9E-2</v>
      </c>
      <c r="W202" s="14">
        <v>0.47369863013698627</v>
      </c>
      <c r="X202" s="14">
        <v>0.97848810988448698</v>
      </c>
      <c r="Y202" s="14">
        <v>20250912</v>
      </c>
      <c r="Z202" s="14">
        <v>20251212</v>
      </c>
      <c r="AA202" s="14">
        <v>20251216</v>
      </c>
      <c r="AB202" s="14">
        <v>3.8115538737094092E-2</v>
      </c>
      <c r="AC202" s="14">
        <v>0.96347611807654499</v>
      </c>
      <c r="AD202" s="14">
        <v>0.95916401323373646</v>
      </c>
      <c r="AG202" s="20">
        <v>49675</v>
      </c>
    </row>
    <row r="203" spans="18:33" x14ac:dyDescent="0.4">
      <c r="R203" s="15">
        <v>18</v>
      </c>
      <c r="S203" s="14">
        <v>20251212</v>
      </c>
      <c r="T203" s="14">
        <v>20260312</v>
      </c>
      <c r="U203" s="14">
        <v>20260316</v>
      </c>
      <c r="V203" s="14">
        <v>1.9E-2</v>
      </c>
      <c r="W203" s="14">
        <v>0.46849315068493147</v>
      </c>
      <c r="X203" s="14">
        <v>0.97397125187931066</v>
      </c>
      <c r="Y203" s="14">
        <v>20251212</v>
      </c>
      <c r="Z203" s="14">
        <v>20260312</v>
      </c>
      <c r="AA203" s="14">
        <v>20260316</v>
      </c>
      <c r="AB203" s="14">
        <v>3.7650041912233867E-2</v>
      </c>
      <c r="AC203" s="14">
        <v>0.94125104780584667</v>
      </c>
      <c r="AD203" s="14">
        <v>0.95022207032432959</v>
      </c>
      <c r="AG203" s="20">
        <v>49702</v>
      </c>
    </row>
    <row r="204" spans="18:33" x14ac:dyDescent="0.4">
      <c r="R204" s="15">
        <v>18</v>
      </c>
      <c r="S204" s="14">
        <v>20260312</v>
      </c>
      <c r="T204" s="14">
        <v>20260612</v>
      </c>
      <c r="U204" s="14">
        <v>20260616</v>
      </c>
      <c r="V204" s="14">
        <v>1.9E-2</v>
      </c>
      <c r="W204" s="14">
        <v>0.47890410958904112</v>
      </c>
      <c r="X204" s="14">
        <v>0.96962934720959448</v>
      </c>
      <c r="Y204" s="14">
        <v>20260312</v>
      </c>
      <c r="Z204" s="14">
        <v>20260612</v>
      </c>
      <c r="AA204" s="14">
        <v>20260616</v>
      </c>
      <c r="AB204" s="14">
        <v>3.6505589419326689E-2</v>
      </c>
      <c r="AC204" s="14">
        <v>0.93292061849390429</v>
      </c>
      <c r="AD204" s="14">
        <v>0.94145168001126112</v>
      </c>
      <c r="AG204" s="20">
        <v>49703</v>
      </c>
    </row>
    <row r="205" spans="18:33" x14ac:dyDescent="0.4">
      <c r="R205" s="15">
        <v>18</v>
      </c>
      <c r="S205" s="14">
        <v>20260612</v>
      </c>
      <c r="T205" s="14">
        <v>20260914</v>
      </c>
      <c r="U205" s="14">
        <v>20260916</v>
      </c>
      <c r="V205" s="14">
        <v>1.9E-2</v>
      </c>
      <c r="W205" s="14">
        <v>0.48931506849315065</v>
      </c>
      <c r="X205" s="14">
        <v>0.96527436697370961</v>
      </c>
      <c r="Y205" s="14">
        <v>20260612</v>
      </c>
      <c r="Z205" s="14">
        <v>20260914</v>
      </c>
      <c r="AA205" s="14">
        <v>20260916</v>
      </c>
      <c r="AB205" s="14">
        <v>3.665192740209311E-2</v>
      </c>
      <c r="AC205" s="14">
        <v>0.95702254883243132</v>
      </c>
      <c r="AD205" s="14">
        <v>0.93271013681990811</v>
      </c>
      <c r="AG205" s="20">
        <v>49704</v>
      </c>
    </row>
    <row r="206" spans="18:33" x14ac:dyDescent="0.4">
      <c r="R206" s="15">
        <v>18</v>
      </c>
      <c r="S206" s="14">
        <v>20260914</v>
      </c>
      <c r="T206" s="14">
        <v>20261214</v>
      </c>
      <c r="U206" s="14">
        <v>20261216</v>
      </c>
      <c r="V206" s="14">
        <v>1.9E-2</v>
      </c>
      <c r="W206" s="14">
        <v>0.47369863013698627</v>
      </c>
      <c r="X206" s="14">
        <v>0.96115573199374194</v>
      </c>
      <c r="Y206" s="14">
        <v>20260914</v>
      </c>
      <c r="Z206" s="14">
        <v>20261214</v>
      </c>
      <c r="AA206" s="14">
        <v>20261216</v>
      </c>
      <c r="AB206" s="14">
        <v>3.5895347904791812E-2</v>
      </c>
      <c r="AC206" s="14">
        <v>0.90735462759334862</v>
      </c>
      <c r="AD206" s="14">
        <v>0.92432726502282114</v>
      </c>
      <c r="AG206" s="20">
        <v>49737</v>
      </c>
    </row>
    <row r="207" spans="18:33" x14ac:dyDescent="0.4">
      <c r="R207" s="15">
        <v>18</v>
      </c>
      <c r="S207" s="14">
        <v>20261214</v>
      </c>
      <c r="T207" s="14">
        <v>20270312</v>
      </c>
      <c r="U207" s="14">
        <v>20270316</v>
      </c>
      <c r="V207" s="14">
        <v>1.9E-2</v>
      </c>
      <c r="W207" s="14">
        <v>0.45808219178082193</v>
      </c>
      <c r="X207" s="14">
        <v>0.95673227636049363</v>
      </c>
      <c r="Y207" s="14">
        <v>20261214</v>
      </c>
      <c r="Z207" s="14">
        <v>20270312</v>
      </c>
      <c r="AA207" s="14">
        <v>20270316</v>
      </c>
      <c r="AB207" s="14">
        <v>3.6467158129272738E-2</v>
      </c>
      <c r="AC207" s="14">
        <v>0.89141942093777793</v>
      </c>
      <c r="AD207" s="14">
        <v>0.915972896403355</v>
      </c>
      <c r="AG207" s="20">
        <v>49796</v>
      </c>
    </row>
    <row r="208" spans="18:33" x14ac:dyDescent="0.4">
      <c r="R208" s="15">
        <v>18</v>
      </c>
      <c r="S208" s="14">
        <v>20270312</v>
      </c>
      <c r="T208" s="14">
        <v>20270614</v>
      </c>
      <c r="U208" s="14">
        <v>20270616</v>
      </c>
      <c r="V208" s="14">
        <v>1.9E-2</v>
      </c>
      <c r="W208" s="14">
        <v>0.48931506849315065</v>
      </c>
      <c r="X208" s="14">
        <v>0.9522812889989285</v>
      </c>
      <c r="Y208" s="14">
        <v>20270312</v>
      </c>
      <c r="Z208" s="14">
        <v>20270614</v>
      </c>
      <c r="AA208" s="14">
        <v>20270616</v>
      </c>
      <c r="AB208" s="14">
        <v>3.6023325792759735E-2</v>
      </c>
      <c r="AC208" s="14">
        <v>0.94060906236650421</v>
      </c>
      <c r="AD208" s="14">
        <v>0.90762189050154718</v>
      </c>
      <c r="AG208" s="20">
        <v>49800</v>
      </c>
    </row>
    <row r="209" spans="18:33" x14ac:dyDescent="0.4">
      <c r="R209" s="15">
        <v>18</v>
      </c>
      <c r="S209" s="14">
        <v>20270614</v>
      </c>
      <c r="T209" s="14">
        <v>20270913</v>
      </c>
      <c r="U209" s="14">
        <v>20270920</v>
      </c>
      <c r="V209" s="14">
        <v>1.9E-2</v>
      </c>
      <c r="W209" s="14">
        <v>0.47369863013698627</v>
      </c>
      <c r="X209" s="14">
        <v>0.94771219825361941</v>
      </c>
      <c r="Y209" s="14">
        <v>20270614</v>
      </c>
      <c r="Z209" s="14">
        <v>20270913</v>
      </c>
      <c r="AA209" s="14">
        <v>20270920</v>
      </c>
      <c r="AB209" s="14">
        <v>3.5527171756109518E-2</v>
      </c>
      <c r="AC209" s="14">
        <v>0.89804795272387938</v>
      </c>
      <c r="AD209" s="14">
        <v>0.89910745629996247</v>
      </c>
      <c r="AG209" s="20">
        <v>49832</v>
      </c>
    </row>
    <row r="210" spans="18:33" x14ac:dyDescent="0.4">
      <c r="R210" s="15">
        <v>18</v>
      </c>
      <c r="S210" s="14">
        <v>20270913</v>
      </c>
      <c r="T210" s="14">
        <v>20271213</v>
      </c>
      <c r="U210" s="14">
        <v>20271215</v>
      </c>
      <c r="V210" s="14">
        <v>1.9E-2</v>
      </c>
      <c r="W210" s="14">
        <v>0.47369863013698627</v>
      </c>
      <c r="X210" s="14">
        <v>0.94368373780435177</v>
      </c>
      <c r="Y210" s="14">
        <v>20270913</v>
      </c>
      <c r="Z210" s="14">
        <v>20271213</v>
      </c>
      <c r="AA210" s="14">
        <v>20271215</v>
      </c>
      <c r="AB210" s="14">
        <v>3.5044424523607037E-2</v>
      </c>
      <c r="AC210" s="14">
        <v>0.88584517545784447</v>
      </c>
      <c r="AD210" s="14">
        <v>0.89164970448652192</v>
      </c>
      <c r="AG210" s="20">
        <v>49902</v>
      </c>
    </row>
    <row r="211" spans="18:33" x14ac:dyDescent="0.4">
      <c r="R211" s="15">
        <v>18</v>
      </c>
      <c r="S211" s="14">
        <v>20271213</v>
      </c>
      <c r="T211" s="14">
        <v>20280313</v>
      </c>
      <c r="U211" s="14">
        <v>20280315</v>
      </c>
      <c r="V211" s="14">
        <v>1.9E-2</v>
      </c>
      <c r="W211" s="14">
        <v>0.47369863013698627</v>
      </c>
      <c r="X211" s="14">
        <v>0.93944778580762001</v>
      </c>
      <c r="Y211" s="14">
        <v>20271213</v>
      </c>
      <c r="Z211" s="14">
        <v>20280313</v>
      </c>
      <c r="AA211" s="14">
        <v>20280315</v>
      </c>
      <c r="AB211" s="14">
        <v>3.5647286444950882E-2</v>
      </c>
      <c r="AC211" s="14">
        <v>0.90108418513625832</v>
      </c>
      <c r="AD211" s="14">
        <v>0.88368347566748184</v>
      </c>
      <c r="AG211" s="20">
        <v>49951</v>
      </c>
    </row>
    <row r="212" spans="18:33" x14ac:dyDescent="0.4">
      <c r="R212" s="15">
        <v>18</v>
      </c>
      <c r="S212" s="14">
        <v>20280313</v>
      </c>
      <c r="T212" s="14">
        <v>20280612</v>
      </c>
      <c r="U212" s="14">
        <v>20280614</v>
      </c>
      <c r="V212" s="14">
        <v>1.9E-2</v>
      </c>
      <c r="W212" s="14">
        <v>0.47369863013698627</v>
      </c>
      <c r="X212" s="14">
        <v>0.93527320518470214</v>
      </c>
      <c r="Y212" s="14">
        <v>20280313</v>
      </c>
      <c r="Z212" s="14">
        <v>20280612</v>
      </c>
      <c r="AA212" s="14">
        <v>20280614</v>
      </c>
      <c r="AB212" s="14">
        <v>3.5356958687746812E-2</v>
      </c>
      <c r="AC212" s="14">
        <v>0.89374534460693322</v>
      </c>
      <c r="AD212" s="14">
        <v>0.87585706618054726</v>
      </c>
      <c r="AG212" s="20">
        <v>49952</v>
      </c>
    </row>
    <row r="213" spans="18:33" x14ac:dyDescent="0.4">
      <c r="R213" s="15">
        <v>18</v>
      </c>
      <c r="S213" s="14">
        <v>20280612</v>
      </c>
      <c r="T213" s="14">
        <v>20280912</v>
      </c>
      <c r="U213" s="14">
        <v>20280914</v>
      </c>
      <c r="V213" s="14">
        <v>1.9E-2</v>
      </c>
      <c r="W213" s="14">
        <v>0.47890410958904112</v>
      </c>
      <c r="X213" s="14">
        <v>0.93111447358942956</v>
      </c>
      <c r="Y213" s="14">
        <v>20280612</v>
      </c>
      <c r="Z213" s="14">
        <v>20280912</v>
      </c>
      <c r="AA213" s="14">
        <v>20280914</v>
      </c>
      <c r="AB213" s="14">
        <v>3.5044106704373086E-2</v>
      </c>
      <c r="AC213" s="14">
        <v>0.89557161577842326</v>
      </c>
      <c r="AD213" s="14">
        <v>0.86808427517649245</v>
      </c>
      <c r="AG213" s="20">
        <v>49954</v>
      </c>
    </row>
    <row r="214" spans="18:33" x14ac:dyDescent="0.4">
      <c r="R214" s="15">
        <v>18</v>
      </c>
      <c r="S214" s="14">
        <v>20280912</v>
      </c>
      <c r="T214" s="14">
        <v>20281212</v>
      </c>
      <c r="U214" s="14">
        <v>20281214</v>
      </c>
      <c r="V214" s="14">
        <v>1.9E-2</v>
      </c>
      <c r="W214" s="14">
        <v>0.47369863013698627</v>
      </c>
      <c r="X214" s="14">
        <v>0.92706135352108632</v>
      </c>
      <c r="Y214" s="14">
        <v>20280912</v>
      </c>
      <c r="Z214" s="14">
        <v>20281212</v>
      </c>
      <c r="AA214" s="14">
        <v>20281214</v>
      </c>
      <c r="AB214" s="14">
        <v>3.4727878398949613E-2</v>
      </c>
      <c r="AC214" s="14">
        <v>0.87784359286233737</v>
      </c>
      <c r="AD214" s="14">
        <v>0.86053164863011777</v>
      </c>
      <c r="AG214" s="20">
        <v>49957</v>
      </c>
    </row>
    <row r="215" spans="18:33" x14ac:dyDescent="0.4">
      <c r="R215" s="15">
        <v>18</v>
      </c>
      <c r="S215" s="14">
        <v>20281212</v>
      </c>
      <c r="T215" s="14">
        <v>20290312</v>
      </c>
      <c r="U215" s="14">
        <v>20290314</v>
      </c>
      <c r="V215" s="14">
        <v>1.9E-2</v>
      </c>
      <c r="W215" s="14">
        <v>0.46849315068493147</v>
      </c>
      <c r="X215" s="14">
        <v>0.92290911396968633</v>
      </c>
      <c r="Y215" s="14">
        <v>20281212</v>
      </c>
      <c r="Z215" s="14">
        <v>20290312</v>
      </c>
      <c r="AA215" s="14">
        <v>20290314</v>
      </c>
      <c r="AB215" s="14">
        <v>3.543628345363814E-2</v>
      </c>
      <c r="AC215" s="14">
        <v>0.8859070863409535</v>
      </c>
      <c r="AD215" s="14">
        <v>0.85297134492395654</v>
      </c>
      <c r="AG215" s="20">
        <v>50034</v>
      </c>
    </row>
    <row r="216" spans="18:33" x14ac:dyDescent="0.4">
      <c r="R216" s="15">
        <v>18</v>
      </c>
      <c r="S216" s="14">
        <v>20290312</v>
      </c>
      <c r="T216" s="14">
        <v>20290612</v>
      </c>
      <c r="U216" s="14">
        <v>20290614</v>
      </c>
      <c r="V216" s="14">
        <v>1.9E-2</v>
      </c>
      <c r="W216" s="14">
        <v>0.47890410958904112</v>
      </c>
      <c r="X216" s="14">
        <v>0.91870181781535598</v>
      </c>
      <c r="Y216" s="14">
        <v>20290312</v>
      </c>
      <c r="Z216" s="14">
        <v>20290612</v>
      </c>
      <c r="AA216" s="14">
        <v>20290614</v>
      </c>
      <c r="AB216" s="14">
        <v>3.5271177168033775E-2</v>
      </c>
      <c r="AC216" s="14">
        <v>0.90137452762752979</v>
      </c>
      <c r="AD216" s="14">
        <v>0.84535245745771204</v>
      </c>
      <c r="AG216" s="20">
        <v>50041</v>
      </c>
    </row>
    <row r="217" spans="18:33" x14ac:dyDescent="0.4">
      <c r="R217" s="15">
        <v>18</v>
      </c>
      <c r="S217" s="14">
        <v>20290612</v>
      </c>
      <c r="T217" s="14">
        <v>20290912</v>
      </c>
      <c r="U217" s="14">
        <v>20290914</v>
      </c>
      <c r="V217" s="14">
        <v>1.9E-2</v>
      </c>
      <c r="W217" s="14">
        <v>0.47890410958904112</v>
      </c>
      <c r="X217" s="14">
        <v>0.91453181070083656</v>
      </c>
      <c r="Y217" s="14">
        <v>20290612</v>
      </c>
      <c r="Z217" s="14">
        <v>20290912</v>
      </c>
      <c r="AA217" s="14">
        <v>20290914</v>
      </c>
      <c r="AB217" s="14">
        <v>3.5078639927735716E-2</v>
      </c>
      <c r="AC217" s="14">
        <v>0.89645413148657926</v>
      </c>
      <c r="AD217" s="14">
        <v>0.83784248010644946</v>
      </c>
      <c r="AG217" s="20">
        <v>50085</v>
      </c>
    </row>
    <row r="218" spans="18:33" x14ac:dyDescent="0.4">
      <c r="R218" s="15">
        <v>18</v>
      </c>
      <c r="S218" s="14">
        <v>20290912</v>
      </c>
      <c r="T218" s="14">
        <v>20291212</v>
      </c>
      <c r="U218" s="14">
        <v>20291214</v>
      </c>
      <c r="V218" s="14">
        <v>1.9E-2</v>
      </c>
      <c r="W218" s="14">
        <v>0.47369863013698627</v>
      </c>
      <c r="X218" s="14">
        <v>0.9104434855978476</v>
      </c>
      <c r="Y218" s="14">
        <v>20290912</v>
      </c>
      <c r="Z218" s="14">
        <v>20291212</v>
      </c>
      <c r="AA218" s="14">
        <v>20291214</v>
      </c>
      <c r="AB218" s="14">
        <v>3.4885473017893777E-2</v>
      </c>
      <c r="AC218" s="14">
        <v>0.88182723461898149</v>
      </c>
      <c r="AD218" s="14">
        <v>0.83051961055272827</v>
      </c>
      <c r="AG218" s="20">
        <v>50087</v>
      </c>
    </row>
    <row r="219" spans="18:33" x14ac:dyDescent="0.4">
      <c r="R219" s="15">
        <v>18</v>
      </c>
      <c r="S219" s="14">
        <v>20291212</v>
      </c>
      <c r="T219" s="14">
        <v>20300312</v>
      </c>
      <c r="U219" s="14">
        <v>20300314</v>
      </c>
      <c r="V219" s="14">
        <v>1.9E-2</v>
      </c>
      <c r="W219" s="14">
        <v>0.46849315068493147</v>
      </c>
      <c r="X219" s="14">
        <v>0.90619009715106424</v>
      </c>
      <c r="Y219" s="14">
        <v>20291212</v>
      </c>
      <c r="Z219" s="14">
        <v>20300312</v>
      </c>
      <c r="AA219" s="14">
        <v>20300314</v>
      </c>
      <c r="AB219" s="14">
        <v>3.5803934099056356E-2</v>
      </c>
      <c r="AC219" s="14">
        <v>0.8950983524764089</v>
      </c>
      <c r="AD219" s="14">
        <v>0.82314706276071026</v>
      </c>
      <c r="AG219" s="20">
        <v>50088</v>
      </c>
    </row>
    <row r="220" spans="18:33" x14ac:dyDescent="0.4">
      <c r="R220" s="15">
        <v>18</v>
      </c>
      <c r="S220" s="14">
        <v>20300312</v>
      </c>
      <c r="T220" s="14">
        <v>20300612</v>
      </c>
      <c r="U220" s="14">
        <v>20300614</v>
      </c>
      <c r="V220" s="14">
        <v>1.9E-2</v>
      </c>
      <c r="W220" s="14">
        <v>0.47890410958904112</v>
      </c>
      <c r="X220" s="14">
        <v>0.90185674419715978</v>
      </c>
      <c r="Y220" s="14">
        <v>20300312</v>
      </c>
      <c r="Z220" s="14">
        <v>20300612</v>
      </c>
      <c r="AA220" s="14">
        <v>20300614</v>
      </c>
      <c r="AB220" s="14">
        <v>3.5748759544124202E-2</v>
      </c>
      <c r="AC220" s="14">
        <v>0.91357941057206293</v>
      </c>
      <c r="AD220" s="14">
        <v>0.81569541656398015</v>
      </c>
      <c r="AG220" s="20">
        <v>50101</v>
      </c>
    </row>
    <row r="221" spans="18:33" x14ac:dyDescent="0.4">
      <c r="R221" s="15">
        <v>18</v>
      </c>
      <c r="S221" s="14">
        <v>20300612</v>
      </c>
      <c r="T221" s="14">
        <v>20300916</v>
      </c>
      <c r="U221" s="14">
        <v>20300918</v>
      </c>
      <c r="V221" s="14">
        <v>1.9E-2</v>
      </c>
      <c r="W221" s="14">
        <v>0.49972602739726019</v>
      </c>
      <c r="X221" s="14">
        <v>0.89735066006463637</v>
      </c>
      <c r="Y221" s="14">
        <v>20300612</v>
      </c>
      <c r="Z221" s="14">
        <v>20300912</v>
      </c>
      <c r="AA221" s="14">
        <v>20300918</v>
      </c>
      <c r="AB221" s="14">
        <v>3.567031262192738E-2</v>
      </c>
      <c r="AC221" s="14">
        <v>0.95120833658473014</v>
      </c>
      <c r="AD221" s="14">
        <v>0.80800995063938141</v>
      </c>
      <c r="AG221" s="20">
        <v>50161</v>
      </c>
    </row>
    <row r="222" spans="18:33" x14ac:dyDescent="0.4">
      <c r="R222" s="15">
        <v>18</v>
      </c>
      <c r="S222" s="14">
        <v>20300916</v>
      </c>
      <c r="T222" s="14">
        <v>20301212</v>
      </c>
      <c r="U222" s="14">
        <v>20301216</v>
      </c>
      <c r="V222" s="14">
        <v>1.9E-2</v>
      </c>
      <c r="W222" s="14">
        <v>0.45287671232876708</v>
      </c>
      <c r="X222" s="14">
        <v>0.89318743280872581</v>
      </c>
      <c r="Y222" s="14">
        <v>20300916</v>
      </c>
      <c r="Z222" s="14">
        <v>20301212</v>
      </c>
      <c r="AA222" s="14">
        <v>20301216</v>
      </c>
      <c r="AB222" s="14">
        <v>3.5571286935239081E-2</v>
      </c>
      <c r="AC222" s="14">
        <v>0.85963943426827782</v>
      </c>
      <c r="AD222" s="14">
        <v>0.80096609080747205</v>
      </c>
      <c r="AG222" s="20">
        <v>50165</v>
      </c>
    </row>
    <row r="223" spans="18:33" x14ac:dyDescent="0.4">
      <c r="R223" s="15">
        <v>18</v>
      </c>
      <c r="S223" s="14">
        <v>20301212</v>
      </c>
      <c r="T223" s="14">
        <v>20310312</v>
      </c>
      <c r="U223" s="14">
        <v>20310314</v>
      </c>
      <c r="V223" s="14">
        <v>1.9E-2</v>
      </c>
      <c r="W223" s="14">
        <v>0.46849315068493147</v>
      </c>
      <c r="X223" s="14">
        <v>0.88908516418005434</v>
      </c>
      <c r="Y223" s="14">
        <v>20301212</v>
      </c>
      <c r="Z223" s="14">
        <v>20310312</v>
      </c>
      <c r="AA223" s="14">
        <v>20310314</v>
      </c>
      <c r="AB223" s="14">
        <v>3.5982207828288537E-2</v>
      </c>
      <c r="AC223" s="14">
        <v>0.89955519570721343</v>
      </c>
      <c r="AD223" s="14">
        <v>0.79397927730487272</v>
      </c>
      <c r="AG223" s="20">
        <v>50182</v>
      </c>
    </row>
    <row r="224" spans="18:33" x14ac:dyDescent="0.4">
      <c r="R224" s="15">
        <v>18</v>
      </c>
      <c r="S224" s="14">
        <v>20310312</v>
      </c>
      <c r="T224" s="14">
        <v>20310612</v>
      </c>
      <c r="U224" s="14">
        <v>20310616</v>
      </c>
      <c r="V224" s="14">
        <v>1.9E-2</v>
      </c>
      <c r="W224" s="14">
        <v>0.47890410958904112</v>
      </c>
      <c r="X224" s="14">
        <v>0.8847180661505506</v>
      </c>
      <c r="Y224" s="14">
        <v>20310312</v>
      </c>
      <c r="Z224" s="14">
        <v>20310612</v>
      </c>
      <c r="AA224" s="14">
        <v>20310616</v>
      </c>
      <c r="AB224" s="14">
        <v>3.5965316700576615E-2</v>
      </c>
      <c r="AC224" s="14">
        <v>0.91911364901473558</v>
      </c>
      <c r="AD224" s="14">
        <v>0.78659198620247639</v>
      </c>
      <c r="AG224" s="20">
        <v>50197</v>
      </c>
    </row>
    <row r="225" spans="18:33" x14ac:dyDescent="0.4">
      <c r="R225" s="15">
        <v>18</v>
      </c>
      <c r="S225" s="14">
        <v>20310612</v>
      </c>
      <c r="T225" s="14">
        <v>20310912</v>
      </c>
      <c r="U225" s="14">
        <v>20310916</v>
      </c>
      <c r="V225" s="14">
        <v>1.9E-2</v>
      </c>
      <c r="W225" s="14">
        <v>0.47890410958904112</v>
      </c>
      <c r="X225" s="14">
        <v>0.88045874515845013</v>
      </c>
      <c r="Y225" s="14">
        <v>20310612</v>
      </c>
      <c r="Z225" s="14">
        <v>20310912</v>
      </c>
      <c r="AA225" s="14">
        <v>20310916</v>
      </c>
      <c r="AB225" s="14">
        <v>3.5922651100779114E-2</v>
      </c>
      <c r="AC225" s="14">
        <v>0.91802330590879944</v>
      </c>
      <c r="AD225" s="14">
        <v>0.77943694291121279</v>
      </c>
      <c r="AG225" s="20">
        <v>50269</v>
      </c>
    </row>
    <row r="226" spans="18:33" x14ac:dyDescent="0.4">
      <c r="R226" s="15">
        <v>18</v>
      </c>
      <c r="S226" s="14">
        <v>20310912</v>
      </c>
      <c r="T226" s="14">
        <v>20311212</v>
      </c>
      <c r="U226" s="14">
        <v>20311216</v>
      </c>
      <c r="V226" s="14">
        <v>1.9E-2</v>
      </c>
      <c r="W226" s="14">
        <v>0.47369863013698627</v>
      </c>
      <c r="X226" s="14">
        <v>0.87626016845347043</v>
      </c>
      <c r="Y226" s="14">
        <v>20310912</v>
      </c>
      <c r="Z226" s="14">
        <v>20311212</v>
      </c>
      <c r="AA226" s="14">
        <v>20311216</v>
      </c>
      <c r="AB226" s="14">
        <v>3.5878435293902909E-2</v>
      </c>
      <c r="AC226" s="14">
        <v>0.90692711437365681</v>
      </c>
      <c r="AD226" s="14">
        <v>0.77243191063230876</v>
      </c>
      <c r="AG226" s="20">
        <v>50306</v>
      </c>
    </row>
    <row r="227" spans="18:33" x14ac:dyDescent="0.4">
      <c r="R227" s="15">
        <v>18</v>
      </c>
      <c r="S227" s="14">
        <v>20311212</v>
      </c>
      <c r="T227" s="14">
        <v>20320312</v>
      </c>
      <c r="U227" s="14">
        <v>20320316</v>
      </c>
      <c r="V227" s="14">
        <v>1.9E-2</v>
      </c>
      <c r="W227" s="14">
        <v>0.47369863013698627</v>
      </c>
      <c r="X227" s="14">
        <v>0.87216086783321656</v>
      </c>
      <c r="Y227" s="14">
        <v>20311212</v>
      </c>
      <c r="Z227" s="14">
        <v>20320312</v>
      </c>
      <c r="AA227" s="14">
        <v>20320316</v>
      </c>
      <c r="AB227" s="14">
        <v>3.6345272880791271E-2</v>
      </c>
      <c r="AC227" s="14">
        <v>0.91872773115333484</v>
      </c>
      <c r="AD227" s="14">
        <v>0.7653956832121831</v>
      </c>
      <c r="AG227" s="20">
        <v>50307</v>
      </c>
    </row>
    <row r="228" spans="18:33" x14ac:dyDescent="0.4">
      <c r="R228" s="15">
        <v>18</v>
      </c>
      <c r="S228" s="14">
        <v>20320312</v>
      </c>
      <c r="T228" s="14">
        <v>20320614</v>
      </c>
      <c r="U228" s="14">
        <v>20320616</v>
      </c>
      <c r="V228" s="14">
        <v>1.9E-2</v>
      </c>
      <c r="W228" s="14">
        <v>0.48931506849315065</v>
      </c>
      <c r="X228" s="14">
        <v>0.86803617433212443</v>
      </c>
      <c r="Y228" s="14">
        <v>20320312</v>
      </c>
      <c r="Z228" s="14">
        <v>20320614</v>
      </c>
      <c r="AA228" s="14">
        <v>20320616</v>
      </c>
      <c r="AB228" s="14">
        <v>3.6367656269225002E-2</v>
      </c>
      <c r="AC228" s="14">
        <v>0.9495999136964306</v>
      </c>
      <c r="AD228" s="14">
        <v>0.75834837196605331</v>
      </c>
      <c r="AG228" s="20">
        <v>50308</v>
      </c>
    </row>
    <row r="229" spans="18:33" x14ac:dyDescent="0.4">
      <c r="R229" s="15">
        <v>18</v>
      </c>
      <c r="S229" s="14">
        <v>20320614</v>
      </c>
      <c r="T229" s="14">
        <v>20320913</v>
      </c>
      <c r="U229" s="14">
        <v>20320915</v>
      </c>
      <c r="V229" s="14">
        <v>1.9E-2</v>
      </c>
      <c r="W229" s="14">
        <v>0.47369863013698627</v>
      </c>
      <c r="X229" s="14">
        <v>0.8639756624327497</v>
      </c>
      <c r="Y229" s="14">
        <v>20320614</v>
      </c>
      <c r="Z229" s="14">
        <v>20320913</v>
      </c>
      <c r="AA229" s="14">
        <v>20320915</v>
      </c>
      <c r="AB229" s="14">
        <v>3.635645237501569E-2</v>
      </c>
      <c r="AC229" s="14">
        <v>0.91901032392400772</v>
      </c>
      <c r="AD229" s="14">
        <v>0.75144256070952442</v>
      </c>
      <c r="AG229" s="20">
        <v>50318</v>
      </c>
    </row>
    <row r="230" spans="18:33" x14ac:dyDescent="0.4">
      <c r="R230" s="15">
        <v>18</v>
      </c>
      <c r="S230" s="14">
        <v>20320913</v>
      </c>
      <c r="T230" s="14">
        <v>20321213</v>
      </c>
      <c r="U230" s="14">
        <v>20321215</v>
      </c>
      <c r="V230" s="14">
        <v>1.9E-2</v>
      </c>
      <c r="W230" s="14">
        <v>0.47369863013698627</v>
      </c>
      <c r="X230" s="14">
        <v>0.85993430096618129</v>
      </c>
      <c r="Y230" s="14">
        <v>20320913</v>
      </c>
      <c r="Z230" s="14">
        <v>20321213</v>
      </c>
      <c r="AA230" s="14">
        <v>20321215</v>
      </c>
      <c r="AB230" s="14">
        <v>3.6350834044769818E-2</v>
      </c>
      <c r="AC230" s="14">
        <v>0.91886830502057038</v>
      </c>
      <c r="AD230" s="14">
        <v>0.74460068426401982</v>
      </c>
      <c r="AG230" s="20">
        <v>50322</v>
      </c>
    </row>
    <row r="231" spans="18:33" x14ac:dyDescent="0.4">
      <c r="R231" s="15">
        <v>18</v>
      </c>
      <c r="S231" s="14">
        <v>20321213</v>
      </c>
      <c r="T231" s="14">
        <v>20330314</v>
      </c>
      <c r="U231" s="14">
        <v>20330316</v>
      </c>
      <c r="V231" s="14">
        <v>1.9E-2</v>
      </c>
      <c r="W231" s="14">
        <v>0.47369863013698627</v>
      </c>
      <c r="X231" s="14">
        <v>0.85600623289144451</v>
      </c>
      <c r="Y231" s="14">
        <v>20321213</v>
      </c>
      <c r="Z231" s="14">
        <v>20330314</v>
      </c>
      <c r="AA231" s="14">
        <v>20330316</v>
      </c>
      <c r="AB231" s="14">
        <v>3.6691174666200164E-2</v>
      </c>
      <c r="AC231" s="14">
        <v>0.92747135961783744</v>
      </c>
      <c r="AD231" s="14">
        <v>0.73775673126790764</v>
      </c>
      <c r="AG231" s="20">
        <v>50399</v>
      </c>
    </row>
    <row r="232" spans="18:33" x14ac:dyDescent="0.4">
      <c r="R232" s="15">
        <v>18</v>
      </c>
      <c r="S232" s="14">
        <v>20330314</v>
      </c>
      <c r="T232" s="14">
        <v>20330613</v>
      </c>
      <c r="U232" s="14">
        <v>20330615</v>
      </c>
      <c r="V232" s="14">
        <v>1.9E-2</v>
      </c>
      <c r="W232" s="14">
        <v>0.47369863013698627</v>
      </c>
      <c r="X232" s="14">
        <v>0.85210191955002301</v>
      </c>
      <c r="Y232" s="14">
        <v>20330314</v>
      </c>
      <c r="Z232" s="14">
        <v>20330613</v>
      </c>
      <c r="AA232" s="14">
        <v>20330615</v>
      </c>
      <c r="AB232" s="14">
        <v>3.6714442942515108E-2</v>
      </c>
      <c r="AC232" s="14">
        <v>0.92805952993579854</v>
      </c>
      <c r="AD232" s="14">
        <v>0.73097280462183711</v>
      </c>
      <c r="AG232" s="20">
        <v>50406</v>
      </c>
    </row>
    <row r="233" spans="18:33" x14ac:dyDescent="0.4">
      <c r="R233" s="15">
        <v>18</v>
      </c>
      <c r="S233" s="14">
        <v>20330613</v>
      </c>
      <c r="T233" s="14">
        <v>20330912</v>
      </c>
      <c r="U233" s="14">
        <v>20330914</v>
      </c>
      <c r="V233" s="14">
        <v>1.9E-2</v>
      </c>
      <c r="W233" s="14">
        <v>0.47369863013698627</v>
      </c>
      <c r="X233" s="14">
        <v>0.8482211994564024</v>
      </c>
      <c r="Y233" s="14">
        <v>20330613</v>
      </c>
      <c r="Z233" s="14">
        <v>20330912</v>
      </c>
      <c r="AA233" s="14">
        <v>20330914</v>
      </c>
      <c r="AB233" s="14">
        <v>3.6730171159862532E-2</v>
      </c>
      <c r="AC233" s="14">
        <v>0.92845710431874728</v>
      </c>
      <c r="AD233" s="14">
        <v>0.72424840556325143</v>
      </c>
      <c r="AG233" s="20">
        <v>50439</v>
      </c>
    </row>
    <row r="234" spans="18:33" x14ac:dyDescent="0.4">
      <c r="R234" s="15">
        <v>18</v>
      </c>
      <c r="S234" s="14">
        <v>20330912</v>
      </c>
      <c r="T234" s="14">
        <v>20331212</v>
      </c>
      <c r="U234" s="14">
        <v>20331214</v>
      </c>
      <c r="V234" s="14">
        <v>1.9E-2</v>
      </c>
      <c r="W234" s="14">
        <v>0.47369863013698627</v>
      </c>
      <c r="X234" s="14">
        <v>0.84436391234273123</v>
      </c>
      <c r="Y234" s="14">
        <v>20330912</v>
      </c>
      <c r="Z234" s="14">
        <v>20331212</v>
      </c>
      <c r="AA234" s="14">
        <v>20331214</v>
      </c>
      <c r="AB234" s="14">
        <v>3.674589943917006E-2</v>
      </c>
      <c r="AC234" s="14">
        <v>0.92885468026790985</v>
      </c>
      <c r="AD234" s="14">
        <v>0.7175830392166278</v>
      </c>
      <c r="AG234" s="20">
        <v>50440</v>
      </c>
    </row>
    <row r="235" spans="18:33" x14ac:dyDescent="0.4">
      <c r="R235" s="15">
        <v>18</v>
      </c>
      <c r="S235" s="14">
        <v>20331212</v>
      </c>
      <c r="T235" s="14">
        <v>20340313</v>
      </c>
      <c r="U235" s="14">
        <v>20340315</v>
      </c>
      <c r="V235" s="14">
        <v>1.9E-2</v>
      </c>
      <c r="W235" s="14">
        <v>0.47369863013698627</v>
      </c>
      <c r="X235" s="14">
        <v>0.84000003431610726</v>
      </c>
      <c r="Y235" s="14">
        <v>20331212</v>
      </c>
      <c r="Z235" s="14">
        <v>20340313</v>
      </c>
      <c r="AA235" s="14">
        <v>20340315</v>
      </c>
      <c r="AB235" s="14">
        <v>3.7162514371449282E-2</v>
      </c>
      <c r="AC235" s="14">
        <v>0.93938577994496786</v>
      </c>
      <c r="AD235" s="14">
        <v>0.71090319106942368</v>
      </c>
      <c r="AG235" s="20">
        <v>50441</v>
      </c>
    </row>
    <row r="236" spans="18:33" x14ac:dyDescent="0.4">
      <c r="R236" s="15">
        <v>18</v>
      </c>
      <c r="S236" s="14">
        <v>20340313</v>
      </c>
      <c r="T236" s="14">
        <v>20340612</v>
      </c>
      <c r="U236" s="14">
        <v>20340614</v>
      </c>
      <c r="V236" s="14">
        <v>1.9E-2</v>
      </c>
      <c r="W236" s="14">
        <v>0.47369863013698627</v>
      </c>
      <c r="X236" s="14">
        <v>0.83563605187680767</v>
      </c>
      <c r="Y236" s="14">
        <v>20340313</v>
      </c>
      <c r="Z236" s="14">
        <v>20340612</v>
      </c>
      <c r="AA236" s="14">
        <v>20340614</v>
      </c>
      <c r="AB236" s="14">
        <v>3.720908357250291E-2</v>
      </c>
      <c r="AC236" s="14">
        <v>0.94056294586049027</v>
      </c>
      <c r="AD236" s="14">
        <v>0.70427885719366079</v>
      </c>
      <c r="AG236" s="20">
        <v>50465</v>
      </c>
    </row>
    <row r="237" spans="18:33" x14ac:dyDescent="0.4">
      <c r="R237" s="15">
        <v>18</v>
      </c>
      <c r="S237" s="14">
        <v>20340612</v>
      </c>
      <c r="T237" s="14">
        <v>20340912</v>
      </c>
      <c r="U237" s="14">
        <v>20340914</v>
      </c>
      <c r="V237" s="14">
        <v>1.9E-2</v>
      </c>
      <c r="W237" s="14">
        <v>0.47890410958904112</v>
      </c>
      <c r="X237" s="14">
        <v>0.83122424881500512</v>
      </c>
      <c r="Y237" s="14">
        <v>20340612</v>
      </c>
      <c r="Z237" s="14">
        <v>20340912</v>
      </c>
      <c r="AA237" s="14">
        <v>20340914</v>
      </c>
      <c r="AB237" s="14">
        <v>3.7249015161941824E-2</v>
      </c>
      <c r="AC237" s="14">
        <v>0.95191927636073537</v>
      </c>
      <c r="AD237" s="14">
        <v>0.69763776072866024</v>
      </c>
      <c r="AG237" s="20">
        <v>50526</v>
      </c>
    </row>
    <row r="238" spans="18:33" x14ac:dyDescent="0.4">
      <c r="R238" s="15">
        <v>18</v>
      </c>
      <c r="S238" s="14">
        <v>20340912</v>
      </c>
      <c r="T238" s="14">
        <v>20341212</v>
      </c>
      <c r="U238" s="14">
        <v>20341214</v>
      </c>
      <c r="V238" s="14">
        <v>1.9E-2</v>
      </c>
      <c r="W238" s="14">
        <v>0.47369863013698627</v>
      </c>
      <c r="X238" s="14">
        <v>0.82686077137997505</v>
      </c>
      <c r="Y238" s="14">
        <v>20340912</v>
      </c>
      <c r="Z238" s="14">
        <v>20341212</v>
      </c>
      <c r="AA238" s="14">
        <v>20341214</v>
      </c>
      <c r="AB238" s="14">
        <v>3.7285105280239733E-2</v>
      </c>
      <c r="AC238" s="14">
        <v>0.94248460569494874</v>
      </c>
      <c r="AD238" s="14">
        <v>0.69112387940945996</v>
      </c>
      <c r="AG238" s="20">
        <v>50530</v>
      </c>
    </row>
    <row r="239" spans="18:33" x14ac:dyDescent="0.4">
      <c r="R239" s="15">
        <v>19</v>
      </c>
      <c r="S239" s="14">
        <v>20241212</v>
      </c>
      <c r="T239" s="14">
        <v>20250312</v>
      </c>
      <c r="U239" s="14">
        <v>20250314</v>
      </c>
      <c r="V239" s="14">
        <v>1.9E-2</v>
      </c>
      <c r="W239" s="14">
        <v>0.46849315068493147</v>
      </c>
      <c r="X239" s="14">
        <v>0.99270901377394938</v>
      </c>
      <c r="Y239" s="14">
        <v>20241212</v>
      </c>
      <c r="Z239" s="14">
        <v>20250312</v>
      </c>
      <c r="AA239" s="14">
        <v>20250314</v>
      </c>
      <c r="AB239" s="14">
        <v>4.3954996023273907E-2</v>
      </c>
      <c r="AC239" s="14">
        <v>1.0988749005818477</v>
      </c>
      <c r="AD239" s="14">
        <v>0.9886424392876334</v>
      </c>
      <c r="AG239" s="20">
        <v>50536</v>
      </c>
    </row>
    <row r="240" spans="18:33" x14ac:dyDescent="0.4">
      <c r="R240" s="15">
        <v>19</v>
      </c>
      <c r="S240" s="14">
        <v>20250312</v>
      </c>
      <c r="T240" s="14">
        <v>20250612</v>
      </c>
      <c r="U240" s="14">
        <v>20250616</v>
      </c>
      <c r="V240" s="14">
        <v>1.9E-2</v>
      </c>
      <c r="W240" s="14">
        <v>0.47890410958904112</v>
      </c>
      <c r="X240" s="14">
        <v>0.98730258544302441</v>
      </c>
      <c r="Y240" s="14">
        <v>20250312</v>
      </c>
      <c r="Z240" s="14">
        <v>20250612</v>
      </c>
      <c r="AA240" s="14">
        <v>20250616</v>
      </c>
      <c r="AB240" s="14">
        <v>4.1354165149545943E-2</v>
      </c>
      <c r="AC240" s="14">
        <v>1.0568286649328407</v>
      </c>
      <c r="AD240" s="14">
        <v>0.97810451242860541</v>
      </c>
      <c r="AG240" s="20">
        <v>50562</v>
      </c>
    </row>
    <row r="241" spans="18:33" x14ac:dyDescent="0.4">
      <c r="R241" s="15">
        <v>19</v>
      </c>
      <c r="S241" s="14">
        <v>20250612</v>
      </c>
      <c r="T241" s="14">
        <v>20250912</v>
      </c>
      <c r="U241" s="14">
        <v>20250916</v>
      </c>
      <c r="V241" s="14">
        <v>1.9E-2</v>
      </c>
      <c r="W241" s="14">
        <v>0.47890410958904112</v>
      </c>
      <c r="X241" s="14">
        <v>0.9824608745257547</v>
      </c>
      <c r="Y241" s="14">
        <v>20250612</v>
      </c>
      <c r="Z241" s="14">
        <v>20250912</v>
      </c>
      <c r="AA241" s="14">
        <v>20250916</v>
      </c>
      <c r="AB241" s="14">
        <v>3.9307839001370047E-2</v>
      </c>
      <c r="AC241" s="14">
        <v>1.0045336633683455</v>
      </c>
      <c r="AD241" s="14">
        <v>0.96839584644885923</v>
      </c>
      <c r="AG241" s="20">
        <v>50633</v>
      </c>
    </row>
    <row r="242" spans="18:33" x14ac:dyDescent="0.4">
      <c r="R242" s="15">
        <v>19</v>
      </c>
      <c r="S242" s="14">
        <v>20250912</v>
      </c>
      <c r="T242" s="14">
        <v>20251212</v>
      </c>
      <c r="U242" s="14">
        <v>20251216</v>
      </c>
      <c r="V242" s="14">
        <v>1.9E-2</v>
      </c>
      <c r="W242" s="14">
        <v>0.47369863013698627</v>
      </c>
      <c r="X242" s="14">
        <v>0.97848810988448698</v>
      </c>
      <c r="Y242" s="14">
        <v>20250912</v>
      </c>
      <c r="Z242" s="14">
        <v>20251212</v>
      </c>
      <c r="AA242" s="14">
        <v>20251216</v>
      </c>
      <c r="AB242" s="14">
        <v>3.8115538737094092E-2</v>
      </c>
      <c r="AC242" s="14">
        <v>0.96347611807654499</v>
      </c>
      <c r="AD242" s="14">
        <v>0.95916401323373646</v>
      </c>
      <c r="AG242" s="20">
        <v>50661</v>
      </c>
    </row>
    <row r="243" spans="18:33" x14ac:dyDescent="0.4">
      <c r="R243" s="15">
        <v>19</v>
      </c>
      <c r="S243" s="14">
        <v>20251212</v>
      </c>
      <c r="T243" s="14">
        <v>20260312</v>
      </c>
      <c r="U243" s="14">
        <v>20260316</v>
      </c>
      <c r="V243" s="14">
        <v>1.9E-2</v>
      </c>
      <c r="W243" s="14">
        <v>0.46849315068493147</v>
      </c>
      <c r="X243" s="14">
        <v>0.97397125187931066</v>
      </c>
      <c r="Y243" s="14">
        <v>20251212</v>
      </c>
      <c r="Z243" s="14">
        <v>20260312</v>
      </c>
      <c r="AA243" s="14">
        <v>20260316</v>
      </c>
      <c r="AB243" s="14">
        <v>3.7650041912233867E-2</v>
      </c>
      <c r="AC243" s="14">
        <v>0.94125104780584667</v>
      </c>
      <c r="AD243" s="14">
        <v>0.95022207032432959</v>
      </c>
      <c r="AG243" s="20">
        <v>50662</v>
      </c>
    </row>
    <row r="244" spans="18:33" x14ac:dyDescent="0.4">
      <c r="R244" s="15">
        <v>19</v>
      </c>
      <c r="S244" s="14">
        <v>20260312</v>
      </c>
      <c r="T244" s="14">
        <v>20260612</v>
      </c>
      <c r="U244" s="14">
        <v>20260616</v>
      </c>
      <c r="V244" s="14">
        <v>1.9E-2</v>
      </c>
      <c r="W244" s="14">
        <v>0.47890410958904112</v>
      </c>
      <c r="X244" s="14">
        <v>0.96962934720959448</v>
      </c>
      <c r="Y244" s="14">
        <v>20260312</v>
      </c>
      <c r="Z244" s="14">
        <v>20260612</v>
      </c>
      <c r="AA244" s="14">
        <v>20260616</v>
      </c>
      <c r="AB244" s="14">
        <v>3.6505589419326689E-2</v>
      </c>
      <c r="AC244" s="14">
        <v>0.93292061849390429</v>
      </c>
      <c r="AD244" s="14">
        <v>0.94145168001126112</v>
      </c>
      <c r="AG244" s="20">
        <v>50663</v>
      </c>
    </row>
    <row r="245" spans="18:33" x14ac:dyDescent="0.4">
      <c r="R245" s="15">
        <v>19</v>
      </c>
      <c r="S245" s="14">
        <v>20260612</v>
      </c>
      <c r="T245" s="14">
        <v>20260914</v>
      </c>
      <c r="U245" s="14">
        <v>20260916</v>
      </c>
      <c r="V245" s="14">
        <v>1.9E-2</v>
      </c>
      <c r="W245" s="14">
        <v>0.48931506849315065</v>
      </c>
      <c r="X245" s="14">
        <v>0.96527436697370961</v>
      </c>
      <c r="Y245" s="14">
        <v>20260612</v>
      </c>
      <c r="Z245" s="14">
        <v>20260914</v>
      </c>
      <c r="AA245" s="14">
        <v>20260916</v>
      </c>
      <c r="AB245" s="14">
        <v>3.665192740209311E-2</v>
      </c>
      <c r="AC245" s="14">
        <v>0.95702254883243132</v>
      </c>
      <c r="AD245" s="14">
        <v>0.93271013681990811</v>
      </c>
      <c r="AG245" s="20">
        <v>50682</v>
      </c>
    </row>
    <row r="246" spans="18:33" x14ac:dyDescent="0.4">
      <c r="R246" s="15">
        <v>19</v>
      </c>
      <c r="S246" s="14">
        <v>20260914</v>
      </c>
      <c r="T246" s="14">
        <v>20261214</v>
      </c>
      <c r="U246" s="14">
        <v>20261216</v>
      </c>
      <c r="V246" s="14">
        <v>1.9E-2</v>
      </c>
      <c r="W246" s="14">
        <v>0.47369863013698627</v>
      </c>
      <c r="X246" s="14">
        <v>0.96115573199374194</v>
      </c>
      <c r="Y246" s="14">
        <v>20260914</v>
      </c>
      <c r="Z246" s="14">
        <v>20261214</v>
      </c>
      <c r="AA246" s="14">
        <v>20261216</v>
      </c>
      <c r="AB246" s="14">
        <v>3.5895347904791812E-2</v>
      </c>
      <c r="AC246" s="14">
        <v>0.90735462759334862</v>
      </c>
      <c r="AD246" s="14">
        <v>0.92432726502282114</v>
      </c>
      <c r="AG246" s="20">
        <v>50689</v>
      </c>
    </row>
    <row r="247" spans="18:33" x14ac:dyDescent="0.4">
      <c r="R247" s="15">
        <v>19</v>
      </c>
      <c r="S247" s="14">
        <v>20261214</v>
      </c>
      <c r="T247" s="14">
        <v>20270312</v>
      </c>
      <c r="U247" s="14">
        <v>20270316</v>
      </c>
      <c r="V247" s="14">
        <v>1.9E-2</v>
      </c>
      <c r="W247" s="14">
        <v>0.45808219178082193</v>
      </c>
      <c r="X247" s="14">
        <v>0.95673227636049363</v>
      </c>
      <c r="Y247" s="14">
        <v>20261214</v>
      </c>
      <c r="Z247" s="14">
        <v>20270312</v>
      </c>
      <c r="AA247" s="14">
        <v>20270316</v>
      </c>
      <c r="AB247" s="14">
        <v>3.6467158129272738E-2</v>
      </c>
      <c r="AC247" s="14">
        <v>0.89141942093777793</v>
      </c>
      <c r="AD247" s="14">
        <v>0.915972896403355</v>
      </c>
      <c r="AG247" s="20">
        <v>50766</v>
      </c>
    </row>
    <row r="248" spans="18:33" x14ac:dyDescent="0.4">
      <c r="R248" s="15">
        <v>19</v>
      </c>
      <c r="S248" s="14">
        <v>20270312</v>
      </c>
      <c r="T248" s="14">
        <v>20270614</v>
      </c>
      <c r="U248" s="14">
        <v>20270616</v>
      </c>
      <c r="V248" s="14">
        <v>1.9E-2</v>
      </c>
      <c r="W248" s="14">
        <v>0.48931506849315065</v>
      </c>
      <c r="X248" s="14">
        <v>0.9522812889989285</v>
      </c>
      <c r="Y248" s="14">
        <v>20270312</v>
      </c>
      <c r="Z248" s="14">
        <v>20270614</v>
      </c>
      <c r="AA248" s="14">
        <v>20270616</v>
      </c>
      <c r="AB248" s="14">
        <v>3.6023325792759735E-2</v>
      </c>
      <c r="AC248" s="14">
        <v>0.94060906236650421</v>
      </c>
      <c r="AD248" s="14">
        <v>0.90762189050154718</v>
      </c>
      <c r="AG248" s="20">
        <v>50771</v>
      </c>
    </row>
    <row r="249" spans="18:33" x14ac:dyDescent="0.4">
      <c r="R249" s="15">
        <v>19</v>
      </c>
      <c r="S249" s="14">
        <v>20270614</v>
      </c>
      <c r="T249" s="14">
        <v>20270913</v>
      </c>
      <c r="U249" s="14">
        <v>20270920</v>
      </c>
      <c r="V249" s="14">
        <v>1.9E-2</v>
      </c>
      <c r="W249" s="14">
        <v>0.47369863013698627</v>
      </c>
      <c r="X249" s="14">
        <v>0.94771219825361941</v>
      </c>
      <c r="Y249" s="14">
        <v>20270614</v>
      </c>
      <c r="Z249" s="14">
        <v>20270913</v>
      </c>
      <c r="AA249" s="14">
        <v>20270920</v>
      </c>
      <c r="AB249" s="14">
        <v>3.5527171756109518E-2</v>
      </c>
      <c r="AC249" s="14">
        <v>0.89804795272387938</v>
      </c>
      <c r="AD249" s="14">
        <v>0.89910745629996247</v>
      </c>
      <c r="AG249" s="20">
        <v>50794</v>
      </c>
    </row>
    <row r="250" spans="18:33" x14ac:dyDescent="0.4">
      <c r="R250" s="15">
        <v>19</v>
      </c>
      <c r="S250" s="14">
        <v>20270913</v>
      </c>
      <c r="T250" s="14">
        <v>20271213</v>
      </c>
      <c r="U250" s="14">
        <v>20271215</v>
      </c>
      <c r="V250" s="14">
        <v>1.9E-2</v>
      </c>
      <c r="W250" s="14">
        <v>0.47369863013698627</v>
      </c>
      <c r="X250" s="14">
        <v>0.94368373780435177</v>
      </c>
      <c r="Y250" s="14">
        <v>20270913</v>
      </c>
      <c r="Z250" s="14">
        <v>20271213</v>
      </c>
      <c r="AA250" s="14">
        <v>20271215</v>
      </c>
      <c r="AB250" s="14">
        <v>3.5044424523607037E-2</v>
      </c>
      <c r="AC250" s="14">
        <v>0.88584517545784447</v>
      </c>
      <c r="AD250" s="14">
        <v>0.89164970448652192</v>
      </c>
      <c r="AG250" s="20">
        <v>50795</v>
      </c>
    </row>
    <row r="251" spans="18:33" x14ac:dyDescent="0.4">
      <c r="R251" s="15">
        <v>19</v>
      </c>
      <c r="S251" s="14">
        <v>20271213</v>
      </c>
      <c r="T251" s="14">
        <v>20280313</v>
      </c>
      <c r="U251" s="14">
        <v>20280315</v>
      </c>
      <c r="V251" s="14">
        <v>1.9E-2</v>
      </c>
      <c r="W251" s="14">
        <v>0.47369863013698627</v>
      </c>
      <c r="X251" s="14">
        <v>0.93944778580762001</v>
      </c>
      <c r="Y251" s="14">
        <v>20271213</v>
      </c>
      <c r="Z251" s="14">
        <v>20280313</v>
      </c>
      <c r="AA251" s="14">
        <v>20280315</v>
      </c>
      <c r="AB251" s="14">
        <v>3.5647286444950882E-2</v>
      </c>
      <c r="AC251" s="14">
        <v>0.90108418513625832</v>
      </c>
      <c r="AD251" s="14">
        <v>0.88368347566748184</v>
      </c>
      <c r="AG251" s="20">
        <v>50796</v>
      </c>
    </row>
    <row r="252" spans="18:33" x14ac:dyDescent="0.4">
      <c r="R252" s="15">
        <v>19</v>
      </c>
      <c r="S252" s="14">
        <v>20280313</v>
      </c>
      <c r="T252" s="14">
        <v>20280612</v>
      </c>
      <c r="U252" s="14">
        <v>20280614</v>
      </c>
      <c r="V252" s="14">
        <v>1.9E-2</v>
      </c>
      <c r="W252" s="14">
        <v>0.47369863013698627</v>
      </c>
      <c r="X252" s="14">
        <v>0.93527320518470214</v>
      </c>
      <c r="Y252" s="14">
        <v>20280313</v>
      </c>
      <c r="Z252" s="14">
        <v>20280612</v>
      </c>
      <c r="AA252" s="14">
        <v>20280614</v>
      </c>
      <c r="AB252" s="14">
        <v>3.5356958687746812E-2</v>
      </c>
      <c r="AC252" s="14">
        <v>0.89374534460693322</v>
      </c>
      <c r="AD252" s="14">
        <v>0.87585706618054726</v>
      </c>
      <c r="AG252" s="20">
        <v>50830</v>
      </c>
    </row>
    <row r="253" spans="18:33" x14ac:dyDescent="0.4">
      <c r="R253" s="15">
        <v>19</v>
      </c>
      <c r="S253" s="14">
        <v>20280612</v>
      </c>
      <c r="T253" s="14">
        <v>20280912</v>
      </c>
      <c r="U253" s="14">
        <v>20280914</v>
      </c>
      <c r="V253" s="14">
        <v>1.9E-2</v>
      </c>
      <c r="W253" s="14">
        <v>0.47890410958904112</v>
      </c>
      <c r="X253" s="14">
        <v>0.93111447358942956</v>
      </c>
      <c r="Y253" s="14">
        <v>20280612</v>
      </c>
      <c r="Z253" s="14">
        <v>20280912</v>
      </c>
      <c r="AA253" s="14">
        <v>20280914</v>
      </c>
      <c r="AB253" s="14">
        <v>3.5044106704373086E-2</v>
      </c>
      <c r="AC253" s="14">
        <v>0.89557161577842326</v>
      </c>
      <c r="AD253" s="14">
        <v>0.86808427517649245</v>
      </c>
      <c r="AG253" s="20">
        <v>50891</v>
      </c>
    </row>
    <row r="254" spans="18:33" x14ac:dyDescent="0.4">
      <c r="R254" s="15">
        <v>19</v>
      </c>
      <c r="S254" s="14">
        <v>20280912</v>
      </c>
      <c r="T254" s="14">
        <v>20281212</v>
      </c>
      <c r="U254" s="14">
        <v>20281214</v>
      </c>
      <c r="V254" s="14">
        <v>1.9E-2</v>
      </c>
      <c r="W254" s="14">
        <v>0.47369863013698627</v>
      </c>
      <c r="X254" s="14">
        <v>0.92706135352108632</v>
      </c>
      <c r="Y254" s="14">
        <v>20280912</v>
      </c>
      <c r="Z254" s="14">
        <v>20281212</v>
      </c>
      <c r="AA254" s="14">
        <v>20281214</v>
      </c>
      <c r="AB254" s="14">
        <v>3.4727878398949613E-2</v>
      </c>
      <c r="AC254" s="14">
        <v>0.87784359286233737</v>
      </c>
      <c r="AD254" s="14">
        <v>0.86053164863011777</v>
      </c>
      <c r="AG254" s="20">
        <v>50892</v>
      </c>
    </row>
    <row r="255" spans="18:33" x14ac:dyDescent="0.4">
      <c r="R255" s="15">
        <v>19</v>
      </c>
      <c r="S255" s="14">
        <v>20281212</v>
      </c>
      <c r="T255" s="14">
        <v>20290312</v>
      </c>
      <c r="U255" s="14">
        <v>20290314</v>
      </c>
      <c r="V255" s="14">
        <v>1.9E-2</v>
      </c>
      <c r="W255" s="14">
        <v>0.46849315068493147</v>
      </c>
      <c r="X255" s="14">
        <v>0.92290911396968633</v>
      </c>
      <c r="Y255" s="14">
        <v>20281212</v>
      </c>
      <c r="Z255" s="14">
        <v>20290312</v>
      </c>
      <c r="AA255" s="14">
        <v>20290314</v>
      </c>
      <c r="AB255" s="14">
        <v>3.543628345363814E-2</v>
      </c>
      <c r="AC255" s="14">
        <v>0.8859070863409535</v>
      </c>
      <c r="AD255" s="14">
        <v>0.85297134492395654</v>
      </c>
      <c r="AG255" s="20">
        <v>50895</v>
      </c>
    </row>
    <row r="256" spans="18:33" x14ac:dyDescent="0.4">
      <c r="R256" s="15">
        <v>19</v>
      </c>
      <c r="S256" s="14">
        <v>20290312</v>
      </c>
      <c r="T256" s="14">
        <v>20290612</v>
      </c>
      <c r="U256" s="14">
        <v>20290614</v>
      </c>
      <c r="V256" s="14">
        <v>1.9E-2</v>
      </c>
      <c r="W256" s="14">
        <v>0.47890410958904112</v>
      </c>
      <c r="X256" s="14">
        <v>0.91870181781535598</v>
      </c>
      <c r="Y256" s="14">
        <v>20290312</v>
      </c>
      <c r="Z256" s="14">
        <v>20290612</v>
      </c>
      <c r="AA256" s="14">
        <v>20290614</v>
      </c>
      <c r="AB256" s="14">
        <v>3.5271177168033775E-2</v>
      </c>
      <c r="AC256" s="14">
        <v>0.90137452762752979</v>
      </c>
      <c r="AD256" s="14">
        <v>0.84535245745771204</v>
      </c>
      <c r="AG256" s="20">
        <v>50927</v>
      </c>
    </row>
    <row r="257" spans="18:33" x14ac:dyDescent="0.4">
      <c r="R257" s="15">
        <v>19</v>
      </c>
      <c r="S257" s="14">
        <v>20290612</v>
      </c>
      <c r="T257" s="14">
        <v>20290912</v>
      </c>
      <c r="U257" s="14">
        <v>20290914</v>
      </c>
      <c r="V257" s="14">
        <v>1.9E-2</v>
      </c>
      <c r="W257" s="14">
        <v>0.47890410958904112</v>
      </c>
      <c r="X257" s="14">
        <v>0.91453181070083656</v>
      </c>
      <c r="Y257" s="14">
        <v>20290612</v>
      </c>
      <c r="Z257" s="14">
        <v>20290912</v>
      </c>
      <c r="AA257" s="14">
        <v>20290914</v>
      </c>
      <c r="AB257" s="14">
        <v>3.5078639927735716E-2</v>
      </c>
      <c r="AC257" s="14">
        <v>0.89645413148657926</v>
      </c>
      <c r="AD257" s="14">
        <v>0.83784248010644946</v>
      </c>
      <c r="AG257" s="20">
        <v>50997</v>
      </c>
    </row>
    <row r="258" spans="18:33" x14ac:dyDescent="0.4">
      <c r="R258" s="15">
        <v>19</v>
      </c>
      <c r="S258" s="14">
        <v>20290912</v>
      </c>
      <c r="T258" s="14">
        <v>20291212</v>
      </c>
      <c r="U258" s="14">
        <v>20291214</v>
      </c>
      <c r="V258" s="14">
        <v>1.9E-2</v>
      </c>
      <c r="W258" s="14">
        <v>0.47369863013698627</v>
      </c>
      <c r="X258" s="14">
        <v>0.9104434855978476</v>
      </c>
      <c r="Y258" s="14">
        <v>20290912</v>
      </c>
      <c r="Z258" s="14">
        <v>20291212</v>
      </c>
      <c r="AA258" s="14">
        <v>20291214</v>
      </c>
      <c r="AB258" s="14">
        <v>3.4885473017893777E-2</v>
      </c>
      <c r="AC258" s="14">
        <v>0.88182723461898149</v>
      </c>
      <c r="AD258" s="14">
        <v>0.83051961055272827</v>
      </c>
      <c r="AG258" s="20">
        <v>51044</v>
      </c>
    </row>
    <row r="259" spans="18:33" x14ac:dyDescent="0.4">
      <c r="R259" s="15">
        <v>19</v>
      </c>
      <c r="S259" s="14">
        <v>20291212</v>
      </c>
      <c r="T259" s="14">
        <v>20300312</v>
      </c>
      <c r="U259" s="14">
        <v>20300314</v>
      </c>
      <c r="V259" s="14">
        <v>1.9E-2</v>
      </c>
      <c r="W259" s="14">
        <v>0.46849315068493147</v>
      </c>
      <c r="X259" s="14">
        <v>0.90619009715106424</v>
      </c>
      <c r="Y259" s="14">
        <v>20291212</v>
      </c>
      <c r="Z259" s="14">
        <v>20300312</v>
      </c>
      <c r="AA259" s="14">
        <v>20300314</v>
      </c>
      <c r="AB259" s="14">
        <v>3.5803934099056356E-2</v>
      </c>
      <c r="AC259" s="14">
        <v>0.8950983524764089</v>
      </c>
      <c r="AD259" s="14">
        <v>0.82314706276071026</v>
      </c>
      <c r="AG259" s="20">
        <v>51046</v>
      </c>
    </row>
    <row r="260" spans="18:33" x14ac:dyDescent="0.4">
      <c r="R260" s="15">
        <v>19</v>
      </c>
      <c r="S260" s="14">
        <v>20300312</v>
      </c>
      <c r="T260" s="14">
        <v>20300612</v>
      </c>
      <c r="U260" s="14">
        <v>20300614</v>
      </c>
      <c r="V260" s="14">
        <v>1.9E-2</v>
      </c>
      <c r="W260" s="14">
        <v>0.47890410958904112</v>
      </c>
      <c r="X260" s="14">
        <v>0.90185674419715978</v>
      </c>
      <c r="Y260" s="14">
        <v>20300312</v>
      </c>
      <c r="Z260" s="14">
        <v>20300612</v>
      </c>
      <c r="AA260" s="14">
        <v>20300614</v>
      </c>
      <c r="AB260" s="14">
        <v>3.5748759544124202E-2</v>
      </c>
      <c r="AC260" s="14">
        <v>0.91357941057206293</v>
      </c>
      <c r="AD260" s="14">
        <v>0.81569541656398015</v>
      </c>
      <c r="AG260" s="20">
        <v>51047</v>
      </c>
    </row>
    <row r="261" spans="18:33" x14ac:dyDescent="0.4">
      <c r="R261" s="15">
        <v>19</v>
      </c>
      <c r="S261" s="14">
        <v>20300612</v>
      </c>
      <c r="T261" s="14">
        <v>20300916</v>
      </c>
      <c r="U261" s="14">
        <v>20300918</v>
      </c>
      <c r="V261" s="14">
        <v>1.9E-2</v>
      </c>
      <c r="W261" s="14">
        <v>0.49972602739726019</v>
      </c>
      <c r="X261" s="14">
        <v>0.89735066006463637</v>
      </c>
      <c r="Y261" s="14">
        <v>20300612</v>
      </c>
      <c r="Z261" s="14">
        <v>20300912</v>
      </c>
      <c r="AA261" s="14">
        <v>20300918</v>
      </c>
      <c r="AB261" s="14">
        <v>3.567031262192738E-2</v>
      </c>
      <c r="AC261" s="14">
        <v>0.95120833658473014</v>
      </c>
      <c r="AD261" s="14">
        <v>0.80800995063938141</v>
      </c>
      <c r="AG261" s="20">
        <v>51053</v>
      </c>
    </row>
    <row r="262" spans="18:33" x14ac:dyDescent="0.4">
      <c r="R262" s="15">
        <v>19</v>
      </c>
      <c r="S262" s="14">
        <v>20300916</v>
      </c>
      <c r="T262" s="14">
        <v>20301212</v>
      </c>
      <c r="U262" s="14">
        <v>20301216</v>
      </c>
      <c r="V262" s="14">
        <v>1.9E-2</v>
      </c>
      <c r="W262" s="14">
        <v>0.45287671232876708</v>
      </c>
      <c r="X262" s="14">
        <v>0.89318743280872581</v>
      </c>
      <c r="Y262" s="14">
        <v>20300916</v>
      </c>
      <c r="Z262" s="14">
        <v>20301212</v>
      </c>
      <c r="AA262" s="14">
        <v>20301216</v>
      </c>
      <c r="AB262" s="14">
        <v>3.5571286935239081E-2</v>
      </c>
      <c r="AC262" s="14">
        <v>0.85963943426827782</v>
      </c>
      <c r="AD262" s="14">
        <v>0.80096609080747205</v>
      </c>
      <c r="AG262" s="20">
        <v>51130</v>
      </c>
    </row>
    <row r="263" spans="18:33" x14ac:dyDescent="0.4">
      <c r="R263" s="15">
        <v>19</v>
      </c>
      <c r="S263" s="14">
        <v>20301212</v>
      </c>
      <c r="T263" s="14">
        <v>20310312</v>
      </c>
      <c r="U263" s="14">
        <v>20310314</v>
      </c>
      <c r="V263" s="14">
        <v>1.9E-2</v>
      </c>
      <c r="W263" s="14">
        <v>0.46849315068493147</v>
      </c>
      <c r="X263" s="14">
        <v>0.88908516418005434</v>
      </c>
      <c r="Y263" s="14">
        <v>20301212</v>
      </c>
      <c r="Z263" s="14">
        <v>20310312</v>
      </c>
      <c r="AA263" s="14">
        <v>20310314</v>
      </c>
      <c r="AB263" s="14">
        <v>3.5982207828288537E-2</v>
      </c>
      <c r="AC263" s="14">
        <v>0.89955519570721343</v>
      </c>
      <c r="AD263" s="14">
        <v>0.79397927730487272</v>
      </c>
      <c r="AG263" s="20">
        <v>51136</v>
      </c>
    </row>
    <row r="264" spans="18:33" x14ac:dyDescent="0.4">
      <c r="R264" s="15">
        <v>19</v>
      </c>
      <c r="S264" s="14">
        <v>20310312</v>
      </c>
      <c r="T264" s="14">
        <v>20310612</v>
      </c>
      <c r="U264" s="14">
        <v>20310616</v>
      </c>
      <c r="V264" s="14">
        <v>1.9E-2</v>
      </c>
      <c r="W264" s="14">
        <v>0.47890410958904112</v>
      </c>
      <c r="X264" s="14">
        <v>0.8847180661505506</v>
      </c>
      <c r="Y264" s="14">
        <v>20310312</v>
      </c>
      <c r="Z264" s="14">
        <v>20310612</v>
      </c>
      <c r="AA264" s="14">
        <v>20310616</v>
      </c>
      <c r="AB264" s="14">
        <v>3.5965316700576615E-2</v>
      </c>
      <c r="AC264" s="14">
        <v>0.91911364901473558</v>
      </c>
      <c r="AD264" s="14">
        <v>0.78659198620247639</v>
      </c>
      <c r="AG264" s="20">
        <v>51177</v>
      </c>
    </row>
    <row r="265" spans="18:33" x14ac:dyDescent="0.4">
      <c r="R265" s="15">
        <v>19</v>
      </c>
      <c r="S265" s="14">
        <v>20310612</v>
      </c>
      <c r="T265" s="14">
        <v>20310912</v>
      </c>
      <c r="U265" s="14">
        <v>20310916</v>
      </c>
      <c r="V265" s="14">
        <v>1.9E-2</v>
      </c>
      <c r="W265" s="14">
        <v>0.47890410958904112</v>
      </c>
      <c r="X265" s="14">
        <v>0.88045874515845013</v>
      </c>
      <c r="Y265" s="14">
        <v>20310612</v>
      </c>
      <c r="Z265" s="14">
        <v>20310912</v>
      </c>
      <c r="AA265" s="14">
        <v>20310916</v>
      </c>
      <c r="AB265" s="14">
        <v>3.5922651100779114E-2</v>
      </c>
      <c r="AC265" s="14">
        <v>0.91802330590879944</v>
      </c>
      <c r="AD265" s="14">
        <v>0.77943694291121279</v>
      </c>
      <c r="AG265" s="20">
        <v>51179</v>
      </c>
    </row>
    <row r="266" spans="18:33" x14ac:dyDescent="0.4">
      <c r="R266" s="15">
        <v>19</v>
      </c>
      <c r="S266" s="14">
        <v>20310912</v>
      </c>
      <c r="T266" s="14">
        <v>20311212</v>
      </c>
      <c r="U266" s="14">
        <v>20311216</v>
      </c>
      <c r="V266" s="14">
        <v>1.9E-2</v>
      </c>
      <c r="W266" s="14">
        <v>0.47369863013698627</v>
      </c>
      <c r="X266" s="14">
        <v>0.87626016845347043</v>
      </c>
      <c r="Y266" s="14">
        <v>20310912</v>
      </c>
      <c r="Z266" s="14">
        <v>20311212</v>
      </c>
      <c r="AA266" s="14">
        <v>20311216</v>
      </c>
      <c r="AB266" s="14">
        <v>3.5878435293902909E-2</v>
      </c>
      <c r="AC266" s="14">
        <v>0.90692711437365681</v>
      </c>
      <c r="AD266" s="14">
        <v>0.77243191063230876</v>
      </c>
      <c r="AG266" s="20">
        <v>51180</v>
      </c>
    </row>
    <row r="267" spans="18:33" x14ac:dyDescent="0.4">
      <c r="R267" s="15">
        <v>19</v>
      </c>
      <c r="S267" s="14">
        <v>20311212</v>
      </c>
      <c r="T267" s="14">
        <v>20320312</v>
      </c>
      <c r="U267" s="14">
        <v>20320316</v>
      </c>
      <c r="V267" s="14">
        <v>1.9E-2</v>
      </c>
      <c r="W267" s="14">
        <v>0.47369863013698627</v>
      </c>
      <c r="X267" s="14">
        <v>0.87216086783321656</v>
      </c>
      <c r="Y267" s="14">
        <v>20311212</v>
      </c>
      <c r="Z267" s="14">
        <v>20320312</v>
      </c>
      <c r="AA267" s="14">
        <v>20320316</v>
      </c>
      <c r="AB267" s="14">
        <v>3.6345272880791271E-2</v>
      </c>
      <c r="AC267" s="14">
        <v>0.91872773115333484</v>
      </c>
      <c r="AD267" s="14">
        <v>0.7653956832121831</v>
      </c>
      <c r="AG267" s="20">
        <v>51196</v>
      </c>
    </row>
    <row r="268" spans="18:33" x14ac:dyDescent="0.4">
      <c r="R268" s="15">
        <v>19</v>
      </c>
      <c r="S268" s="14">
        <v>20320312</v>
      </c>
      <c r="T268" s="14">
        <v>20320614</v>
      </c>
      <c r="U268" s="14">
        <v>20320616</v>
      </c>
      <c r="V268" s="14">
        <v>1.9E-2</v>
      </c>
      <c r="W268" s="14">
        <v>0.48931506849315065</v>
      </c>
      <c r="X268" s="14">
        <v>0.86803617433212443</v>
      </c>
      <c r="Y268" s="14">
        <v>20320312</v>
      </c>
      <c r="Z268" s="14">
        <v>20320614</v>
      </c>
      <c r="AA268" s="14">
        <v>20320616</v>
      </c>
      <c r="AB268" s="14">
        <v>3.6367656269225002E-2</v>
      </c>
      <c r="AC268" s="14">
        <v>0.9495999136964306</v>
      </c>
      <c r="AD268" s="14">
        <v>0.75834837196605331</v>
      </c>
      <c r="AG268" s="20">
        <v>51257</v>
      </c>
    </row>
    <row r="269" spans="18:33" x14ac:dyDescent="0.4">
      <c r="R269" s="15">
        <v>19</v>
      </c>
      <c r="S269" s="14">
        <v>20320614</v>
      </c>
      <c r="T269" s="14">
        <v>20320913</v>
      </c>
      <c r="U269" s="14">
        <v>20320915</v>
      </c>
      <c r="V269" s="14">
        <v>1.9E-2</v>
      </c>
      <c r="W269" s="14">
        <v>0.47369863013698627</v>
      </c>
      <c r="X269" s="14">
        <v>0.8639756624327497</v>
      </c>
      <c r="Y269" s="14">
        <v>20320614</v>
      </c>
      <c r="Z269" s="14">
        <v>20320913</v>
      </c>
      <c r="AA269" s="14">
        <v>20320915</v>
      </c>
      <c r="AB269" s="14">
        <v>3.635645237501569E-2</v>
      </c>
      <c r="AC269" s="14">
        <v>0.91901032392400772</v>
      </c>
      <c r="AD269" s="14">
        <v>0.75144256070952442</v>
      </c>
      <c r="AG269" s="20">
        <v>51263</v>
      </c>
    </row>
    <row r="270" spans="18:33" x14ac:dyDescent="0.4">
      <c r="R270" s="15">
        <v>19</v>
      </c>
      <c r="S270" s="14">
        <v>20320913</v>
      </c>
      <c r="T270" s="14">
        <v>20321213</v>
      </c>
      <c r="U270" s="14">
        <v>20321215</v>
      </c>
      <c r="V270" s="14">
        <v>1.9E-2</v>
      </c>
      <c r="W270" s="14">
        <v>0.47369863013698627</v>
      </c>
      <c r="X270" s="14">
        <v>0.85993430096618129</v>
      </c>
      <c r="Y270" s="14">
        <v>20320913</v>
      </c>
      <c r="Z270" s="14">
        <v>20321213</v>
      </c>
      <c r="AA270" s="14">
        <v>20321215</v>
      </c>
      <c r="AB270" s="14">
        <v>3.6350834044769818E-2</v>
      </c>
      <c r="AC270" s="14">
        <v>0.91886830502057038</v>
      </c>
      <c r="AD270" s="14">
        <v>0.74460068426401982</v>
      </c>
      <c r="AG270" s="20">
        <v>51274</v>
      </c>
    </row>
    <row r="271" spans="18:33" x14ac:dyDescent="0.4">
      <c r="R271" s="15">
        <v>19</v>
      </c>
      <c r="S271" s="14">
        <v>20321213</v>
      </c>
      <c r="T271" s="14">
        <v>20330314</v>
      </c>
      <c r="U271" s="14">
        <v>20330316</v>
      </c>
      <c r="V271" s="14">
        <v>1.9E-2</v>
      </c>
      <c r="W271" s="14">
        <v>0.47369863013698627</v>
      </c>
      <c r="X271" s="14">
        <v>0.85600623289144451</v>
      </c>
      <c r="Y271" s="14">
        <v>20321213</v>
      </c>
      <c r="Z271" s="14">
        <v>20330314</v>
      </c>
      <c r="AA271" s="14">
        <v>20330316</v>
      </c>
      <c r="AB271" s="14">
        <v>3.6691174666200164E-2</v>
      </c>
      <c r="AC271" s="14">
        <v>0.92747135961783744</v>
      </c>
      <c r="AD271" s="14">
        <v>0.73775673126790764</v>
      </c>
      <c r="AG271" s="20">
        <v>51293</v>
      </c>
    </row>
    <row r="272" spans="18:33" x14ac:dyDescent="0.4">
      <c r="R272" s="15">
        <v>19</v>
      </c>
      <c r="S272" s="14">
        <v>20330314</v>
      </c>
      <c r="T272" s="14">
        <v>20330613</v>
      </c>
      <c r="U272" s="14">
        <v>20330615</v>
      </c>
      <c r="V272" s="14">
        <v>1.9E-2</v>
      </c>
      <c r="W272" s="14">
        <v>0.47369863013698627</v>
      </c>
      <c r="X272" s="14">
        <v>0.85210191955002301</v>
      </c>
      <c r="Y272" s="14">
        <v>20330314</v>
      </c>
      <c r="Z272" s="14">
        <v>20330613</v>
      </c>
      <c r="AA272" s="14">
        <v>20330615</v>
      </c>
      <c r="AB272" s="14">
        <v>3.6714442942515108E-2</v>
      </c>
      <c r="AC272" s="14">
        <v>0.92805952993579854</v>
      </c>
      <c r="AD272" s="14">
        <v>0.73097280462183711</v>
      </c>
      <c r="AG272" s="20">
        <v>51363</v>
      </c>
    </row>
    <row r="273" spans="18:33" x14ac:dyDescent="0.4">
      <c r="R273" s="15">
        <v>19</v>
      </c>
      <c r="S273" s="14">
        <v>20330613</v>
      </c>
      <c r="T273" s="14">
        <v>20330912</v>
      </c>
      <c r="U273" s="14">
        <v>20330914</v>
      </c>
      <c r="V273" s="14">
        <v>1.9E-2</v>
      </c>
      <c r="W273" s="14">
        <v>0.47369863013698627</v>
      </c>
      <c r="X273" s="14">
        <v>0.8482211994564024</v>
      </c>
      <c r="Y273" s="14">
        <v>20330613</v>
      </c>
      <c r="Z273" s="14">
        <v>20330912</v>
      </c>
      <c r="AA273" s="14">
        <v>20330914</v>
      </c>
      <c r="AB273" s="14">
        <v>3.6730171159862532E-2</v>
      </c>
      <c r="AC273" s="14">
        <v>0.92845710431874728</v>
      </c>
      <c r="AD273" s="14">
        <v>0.72424840556325143</v>
      </c>
      <c r="AG273" s="20">
        <v>51399</v>
      </c>
    </row>
    <row r="274" spans="18:33" x14ac:dyDescent="0.4">
      <c r="R274" s="15">
        <v>19</v>
      </c>
      <c r="S274" s="14">
        <v>20330912</v>
      </c>
      <c r="T274" s="14">
        <v>20331212</v>
      </c>
      <c r="U274" s="14">
        <v>20331214</v>
      </c>
      <c r="V274" s="14">
        <v>1.9E-2</v>
      </c>
      <c r="W274" s="14">
        <v>0.47369863013698627</v>
      </c>
      <c r="X274" s="14">
        <v>0.84436391234273123</v>
      </c>
      <c r="Y274" s="14">
        <v>20330912</v>
      </c>
      <c r="Z274" s="14">
        <v>20331212</v>
      </c>
      <c r="AA274" s="14">
        <v>20331214</v>
      </c>
      <c r="AB274" s="14">
        <v>3.674589943917006E-2</v>
      </c>
      <c r="AC274" s="14">
        <v>0.92885468026790985</v>
      </c>
      <c r="AD274" s="14">
        <v>0.7175830392166278</v>
      </c>
      <c r="AG274" s="20">
        <v>51400</v>
      </c>
    </row>
    <row r="275" spans="18:33" x14ac:dyDescent="0.4">
      <c r="R275" s="15">
        <v>19</v>
      </c>
      <c r="S275" s="14">
        <v>20331212</v>
      </c>
      <c r="T275" s="14">
        <v>20340313</v>
      </c>
      <c r="U275" s="14">
        <v>20340315</v>
      </c>
      <c r="V275" s="14">
        <v>1.9E-2</v>
      </c>
      <c r="W275" s="14">
        <v>0.47369863013698627</v>
      </c>
      <c r="X275" s="14">
        <v>0.84000003431610726</v>
      </c>
      <c r="Y275" s="14">
        <v>20331212</v>
      </c>
      <c r="Z275" s="14">
        <v>20340313</v>
      </c>
      <c r="AA275" s="14">
        <v>20340315</v>
      </c>
      <c r="AB275" s="14">
        <v>3.7162514371449282E-2</v>
      </c>
      <c r="AC275" s="14">
        <v>0.93938577994496786</v>
      </c>
      <c r="AD275" s="14">
        <v>0.71090319106942368</v>
      </c>
      <c r="AG275" s="20">
        <v>51401</v>
      </c>
    </row>
    <row r="276" spans="18:33" x14ac:dyDescent="0.4">
      <c r="R276" s="15">
        <v>19</v>
      </c>
      <c r="S276" s="14">
        <v>20340313</v>
      </c>
      <c r="T276" s="14">
        <v>20340612</v>
      </c>
      <c r="U276" s="14">
        <v>20340614</v>
      </c>
      <c r="V276" s="14">
        <v>1.9E-2</v>
      </c>
      <c r="W276" s="14">
        <v>0.47369863013698627</v>
      </c>
      <c r="X276" s="14">
        <v>0.83563605187680767</v>
      </c>
      <c r="Y276" s="14">
        <v>20340313</v>
      </c>
      <c r="Z276" s="14">
        <v>20340612</v>
      </c>
      <c r="AA276" s="14">
        <v>20340614</v>
      </c>
      <c r="AB276" s="14">
        <v>3.720908357250291E-2</v>
      </c>
      <c r="AC276" s="14">
        <v>0.94056294586049027</v>
      </c>
      <c r="AD276" s="14">
        <v>0.70427885719366079</v>
      </c>
      <c r="AG276" s="20">
        <v>51412</v>
      </c>
    </row>
    <row r="277" spans="18:33" x14ac:dyDescent="0.4">
      <c r="R277" s="15">
        <v>19</v>
      </c>
      <c r="S277" s="14">
        <v>20340612</v>
      </c>
      <c r="T277" s="14">
        <v>20340912</v>
      </c>
      <c r="U277" s="14">
        <v>20340914</v>
      </c>
      <c r="V277" s="14">
        <v>1.9E-2</v>
      </c>
      <c r="W277" s="14">
        <v>0.47890410958904112</v>
      </c>
      <c r="X277" s="14">
        <v>0.83122424881500512</v>
      </c>
      <c r="Y277" s="14">
        <v>20340612</v>
      </c>
      <c r="Z277" s="14">
        <v>20340912</v>
      </c>
      <c r="AA277" s="14">
        <v>20340914</v>
      </c>
      <c r="AB277" s="14">
        <v>3.7249015161941824E-2</v>
      </c>
      <c r="AC277" s="14">
        <v>0.95191927636073537</v>
      </c>
      <c r="AD277" s="14">
        <v>0.69763776072866024</v>
      </c>
      <c r="AG277" s="20">
        <v>51418</v>
      </c>
    </row>
    <row r="278" spans="18:33" x14ac:dyDescent="0.4">
      <c r="R278" s="15">
        <v>19</v>
      </c>
      <c r="S278" s="14">
        <v>20340912</v>
      </c>
      <c r="T278" s="14">
        <v>20341212</v>
      </c>
      <c r="U278" s="14">
        <v>20341214</v>
      </c>
      <c r="V278" s="14">
        <v>1.9E-2</v>
      </c>
      <c r="W278" s="14">
        <v>0.47369863013698627</v>
      </c>
      <c r="X278" s="14">
        <v>0.82686077137997505</v>
      </c>
      <c r="Y278" s="14">
        <v>20340912</v>
      </c>
      <c r="Z278" s="14">
        <v>20341212</v>
      </c>
      <c r="AA278" s="14">
        <v>20341214</v>
      </c>
      <c r="AB278" s="14">
        <v>3.7285105280239733E-2</v>
      </c>
      <c r="AC278" s="14">
        <v>0.94248460569494874</v>
      </c>
      <c r="AD278" s="14">
        <v>0.69112387940945996</v>
      </c>
      <c r="AG278" s="20">
        <v>51495</v>
      </c>
    </row>
    <row r="279" spans="18:33" x14ac:dyDescent="0.4">
      <c r="R279" s="15">
        <v>19</v>
      </c>
      <c r="S279" s="14">
        <v>20341212</v>
      </c>
      <c r="T279" s="14">
        <v>20350312</v>
      </c>
      <c r="U279" s="14">
        <v>20350314</v>
      </c>
      <c r="V279" s="14">
        <v>1.9E-2</v>
      </c>
      <c r="W279" s="14">
        <v>0.46849315068493147</v>
      </c>
      <c r="X279" s="14">
        <v>0.82300626315606429</v>
      </c>
      <c r="Y279" s="14">
        <v>20341212</v>
      </c>
      <c r="Z279" s="14">
        <v>20350312</v>
      </c>
      <c r="AA279" s="14">
        <v>20350314</v>
      </c>
      <c r="AB279" s="14">
        <v>3.7723281562690225E-2</v>
      </c>
      <c r="AC279" s="14">
        <v>0.94308203906725563</v>
      </c>
      <c r="AD279" s="14">
        <v>0.68466517932266679</v>
      </c>
      <c r="AG279" s="20">
        <v>51502</v>
      </c>
    </row>
    <row r="280" spans="18:33" x14ac:dyDescent="0.4">
      <c r="R280" s="15">
        <v>19</v>
      </c>
      <c r="S280" s="14">
        <v>20350312</v>
      </c>
      <c r="T280" s="14">
        <v>20350612</v>
      </c>
      <c r="U280" s="14">
        <v>20350614</v>
      </c>
      <c r="V280" s="14">
        <v>1.9E-2</v>
      </c>
      <c r="W280" s="14">
        <v>0.47890410958904112</v>
      </c>
      <c r="X280" s="14">
        <v>0.81908498157077259</v>
      </c>
      <c r="Y280" s="14">
        <v>20350312</v>
      </c>
      <c r="Z280" s="14">
        <v>20350612</v>
      </c>
      <c r="AA280" s="14">
        <v>20350614</v>
      </c>
      <c r="AB280" s="14">
        <v>3.7793981155064514E-2</v>
      </c>
      <c r="AC280" s="14">
        <v>0.96584618507387088</v>
      </c>
      <c r="AD280" s="14">
        <v>0.67811540727787045</v>
      </c>
      <c r="AG280" s="20">
        <v>51532</v>
      </c>
    </row>
    <row r="281" spans="18:33" x14ac:dyDescent="0.4">
      <c r="R281" s="15">
        <v>19</v>
      </c>
      <c r="S281" s="14">
        <v>20350612</v>
      </c>
      <c r="T281" s="14">
        <v>20350912</v>
      </c>
      <c r="U281" s="14">
        <v>20350914</v>
      </c>
      <c r="V281" s="14">
        <v>1.9E-2</v>
      </c>
      <c r="W281" s="14">
        <v>0.47890410958904112</v>
      </c>
      <c r="X281" s="14">
        <v>0.81518269657878739</v>
      </c>
      <c r="Y281" s="14">
        <v>20350612</v>
      </c>
      <c r="Z281" s="14">
        <v>20350912</v>
      </c>
      <c r="AA281" s="14">
        <v>20350914</v>
      </c>
      <c r="AB281" s="14">
        <v>3.7852445928708608E-2</v>
      </c>
      <c r="AC281" s="14">
        <v>0.96734028484477541</v>
      </c>
      <c r="AD281" s="14">
        <v>0.6716183542308064</v>
      </c>
      <c r="AG281" s="20">
        <v>51533</v>
      </c>
    </row>
    <row r="282" spans="18:33" x14ac:dyDescent="0.4">
      <c r="R282" s="15">
        <v>19</v>
      </c>
      <c r="S282" s="14">
        <v>20350912</v>
      </c>
      <c r="T282" s="14">
        <v>20351212</v>
      </c>
      <c r="U282" s="14">
        <v>20351214</v>
      </c>
      <c r="V282" s="14">
        <v>1.9E-2</v>
      </c>
      <c r="W282" s="14">
        <v>0.47369863013698627</v>
      </c>
      <c r="X282" s="14">
        <v>0.81134142407115517</v>
      </c>
      <c r="Y282" s="14">
        <v>20350912</v>
      </c>
      <c r="Z282" s="14">
        <v>20351212</v>
      </c>
      <c r="AA282" s="14">
        <v>20351214</v>
      </c>
      <c r="AB282" s="14">
        <v>3.7908604172672944E-2</v>
      </c>
      <c r="AC282" s="14">
        <v>0.95824527214256605</v>
      </c>
      <c r="AD282" s="14">
        <v>0.66524347636265169</v>
      </c>
      <c r="AG282" s="20">
        <v>51534</v>
      </c>
    </row>
    <row r="283" spans="18:33" x14ac:dyDescent="0.4">
      <c r="R283" s="15">
        <v>20</v>
      </c>
      <c r="S283" s="14">
        <v>20241212</v>
      </c>
      <c r="T283" s="14">
        <v>20250312</v>
      </c>
      <c r="U283" s="14">
        <v>20250314</v>
      </c>
      <c r="V283" s="14">
        <v>1.8799999999999997E-2</v>
      </c>
      <c r="W283" s="14">
        <v>0.46356164383561632</v>
      </c>
      <c r="X283" s="14">
        <v>0.99270901377394938</v>
      </c>
      <c r="Y283" s="14">
        <v>20241212</v>
      </c>
      <c r="Z283" s="14">
        <v>20250312</v>
      </c>
      <c r="AA283" s="14">
        <v>20250314</v>
      </c>
      <c r="AB283" s="14">
        <v>4.3954996023273907E-2</v>
      </c>
      <c r="AC283" s="14">
        <v>1.0988749005818477</v>
      </c>
      <c r="AD283" s="14">
        <v>0.9886424392876334</v>
      </c>
      <c r="AG283" s="20">
        <v>51561</v>
      </c>
    </row>
    <row r="284" spans="18:33" x14ac:dyDescent="0.4">
      <c r="R284" s="15">
        <v>20</v>
      </c>
      <c r="S284" s="14">
        <v>20250312</v>
      </c>
      <c r="T284" s="14">
        <v>20250612</v>
      </c>
      <c r="U284" s="14">
        <v>20250616</v>
      </c>
      <c r="V284" s="14">
        <v>1.8799999999999997E-2</v>
      </c>
      <c r="W284" s="14">
        <v>0.4738630136986301</v>
      </c>
      <c r="X284" s="14">
        <v>0.98730258544302441</v>
      </c>
      <c r="Y284" s="14">
        <v>20250312</v>
      </c>
      <c r="Z284" s="14">
        <v>20250612</v>
      </c>
      <c r="AA284" s="14">
        <v>20250616</v>
      </c>
      <c r="AB284" s="14">
        <v>4.1354165149545943E-2</v>
      </c>
      <c r="AC284" s="14">
        <v>1.0568286649328407</v>
      </c>
      <c r="AD284" s="14">
        <v>0.97810451242860541</v>
      </c>
      <c r="AG284" s="20">
        <v>51622</v>
      </c>
    </row>
    <row r="285" spans="18:33" x14ac:dyDescent="0.4">
      <c r="R285" s="15">
        <v>20</v>
      </c>
      <c r="S285" s="14">
        <v>20250612</v>
      </c>
      <c r="T285" s="14">
        <v>20250912</v>
      </c>
      <c r="U285" s="14">
        <v>20250916</v>
      </c>
      <c r="V285" s="14">
        <v>1.8799999999999997E-2</v>
      </c>
      <c r="W285" s="14">
        <v>0.4738630136986301</v>
      </c>
      <c r="X285" s="14">
        <v>0.9824608745257547</v>
      </c>
      <c r="Y285" s="14">
        <v>20250612</v>
      </c>
      <c r="Z285" s="14">
        <v>20250912</v>
      </c>
      <c r="AA285" s="14">
        <v>20250916</v>
      </c>
      <c r="AB285" s="14">
        <v>3.9307839001370047E-2</v>
      </c>
      <c r="AC285" s="14">
        <v>1.0045336633683455</v>
      </c>
      <c r="AD285" s="14">
        <v>0.96839584644885923</v>
      </c>
      <c r="AG285" s="20">
        <v>51627</v>
      </c>
    </row>
    <row r="286" spans="18:33" x14ac:dyDescent="0.4">
      <c r="R286" s="15">
        <v>20</v>
      </c>
      <c r="S286" s="14">
        <v>20250912</v>
      </c>
      <c r="T286" s="14">
        <v>20251212</v>
      </c>
      <c r="U286" s="14">
        <v>20251216</v>
      </c>
      <c r="V286" s="14">
        <v>1.8799999999999997E-2</v>
      </c>
      <c r="W286" s="14">
        <v>0.46871232876712321</v>
      </c>
      <c r="X286" s="14">
        <v>0.97848810988448698</v>
      </c>
      <c r="Y286" s="14">
        <v>20250912</v>
      </c>
      <c r="Z286" s="14">
        <v>20251212</v>
      </c>
      <c r="AA286" s="14">
        <v>20251216</v>
      </c>
      <c r="AB286" s="14">
        <v>3.8115538737094092E-2</v>
      </c>
      <c r="AC286" s="14">
        <v>0.96347611807654499</v>
      </c>
      <c r="AD286" s="14">
        <v>0.95916401323373646</v>
      </c>
      <c r="AG286" s="20">
        <v>51628</v>
      </c>
    </row>
    <row r="287" spans="18:33" x14ac:dyDescent="0.4">
      <c r="R287" s="15">
        <v>20</v>
      </c>
      <c r="S287" s="14">
        <v>20251212</v>
      </c>
      <c r="T287" s="14">
        <v>20260312</v>
      </c>
      <c r="U287" s="14">
        <v>20260316</v>
      </c>
      <c r="V287" s="14">
        <v>1.8799999999999997E-2</v>
      </c>
      <c r="W287" s="14">
        <v>0.46356164383561632</v>
      </c>
      <c r="X287" s="14">
        <v>0.97397125187931066</v>
      </c>
      <c r="Y287" s="14">
        <v>20251212</v>
      </c>
      <c r="Z287" s="14">
        <v>20260312</v>
      </c>
      <c r="AA287" s="14">
        <v>20260316</v>
      </c>
      <c r="AB287" s="14">
        <v>3.7650041912233867E-2</v>
      </c>
      <c r="AC287" s="14">
        <v>0.94125104780584667</v>
      </c>
      <c r="AD287" s="14">
        <v>0.95022207032432959</v>
      </c>
      <c r="AG287" s="20">
        <v>51658</v>
      </c>
    </row>
    <row r="288" spans="18:33" x14ac:dyDescent="0.4">
      <c r="R288" s="15">
        <v>20</v>
      </c>
      <c r="S288" s="14">
        <v>20260312</v>
      </c>
      <c r="T288" s="14">
        <v>20260612</v>
      </c>
      <c r="U288" s="14">
        <v>20260616</v>
      </c>
      <c r="V288" s="14">
        <v>1.8799999999999997E-2</v>
      </c>
      <c r="W288" s="14">
        <v>0.4738630136986301</v>
      </c>
      <c r="X288" s="14">
        <v>0.96962934720959448</v>
      </c>
      <c r="Y288" s="14">
        <v>20260312</v>
      </c>
      <c r="Z288" s="14">
        <v>20260612</v>
      </c>
      <c r="AA288" s="14">
        <v>20260616</v>
      </c>
      <c r="AB288" s="14">
        <v>3.6505589419326689E-2</v>
      </c>
      <c r="AC288" s="14">
        <v>0.93292061849390429</v>
      </c>
      <c r="AD288" s="14">
        <v>0.94145168001126112</v>
      </c>
      <c r="AG288" s="20">
        <v>51728</v>
      </c>
    </row>
    <row r="289" spans="18:33" x14ac:dyDescent="0.4">
      <c r="R289" s="15">
        <v>20</v>
      </c>
      <c r="S289" s="14">
        <v>20260612</v>
      </c>
      <c r="T289" s="14">
        <v>20260914</v>
      </c>
      <c r="U289" s="14">
        <v>20260916</v>
      </c>
      <c r="V289" s="14">
        <v>1.8799999999999997E-2</v>
      </c>
      <c r="W289" s="14">
        <v>0.48416438356164376</v>
      </c>
      <c r="X289" s="14">
        <v>0.96527436697370961</v>
      </c>
      <c r="Y289" s="14">
        <v>20260612</v>
      </c>
      <c r="Z289" s="14">
        <v>20260914</v>
      </c>
      <c r="AA289" s="14">
        <v>20260916</v>
      </c>
      <c r="AB289" s="14">
        <v>3.665192740209311E-2</v>
      </c>
      <c r="AC289" s="14">
        <v>0.95702254883243132</v>
      </c>
      <c r="AD289" s="14">
        <v>0.93271013681990811</v>
      </c>
      <c r="AG289" s="20">
        <v>51753</v>
      </c>
    </row>
    <row r="290" spans="18:33" x14ac:dyDescent="0.4">
      <c r="R290" s="15">
        <v>20</v>
      </c>
      <c r="S290" s="14">
        <v>20260914</v>
      </c>
      <c r="T290" s="14">
        <v>20261214</v>
      </c>
      <c r="U290" s="14">
        <v>20261216</v>
      </c>
      <c r="V290" s="14">
        <v>1.8799999999999997E-2</v>
      </c>
      <c r="W290" s="14">
        <v>0.46871232876712321</v>
      </c>
      <c r="X290" s="14">
        <v>0.96115573199374194</v>
      </c>
      <c r="Y290" s="14">
        <v>20260914</v>
      </c>
      <c r="Z290" s="14">
        <v>20261214</v>
      </c>
      <c r="AA290" s="14">
        <v>20261216</v>
      </c>
      <c r="AB290" s="14">
        <v>3.5895347904791812E-2</v>
      </c>
      <c r="AC290" s="14">
        <v>0.90735462759334862</v>
      </c>
      <c r="AD290" s="14">
        <v>0.92432726502282114</v>
      </c>
      <c r="AG290" s="20">
        <v>51754</v>
      </c>
    </row>
    <row r="291" spans="18:33" x14ac:dyDescent="0.4">
      <c r="R291" s="15">
        <v>20</v>
      </c>
      <c r="S291" s="14">
        <v>20261214</v>
      </c>
      <c r="T291" s="14">
        <v>20270312</v>
      </c>
      <c r="U291" s="14">
        <v>20270316</v>
      </c>
      <c r="V291" s="14">
        <v>1.8799999999999997E-2</v>
      </c>
      <c r="W291" s="14">
        <v>0.45326027397260266</v>
      </c>
      <c r="X291" s="14">
        <v>0.95673227636049363</v>
      </c>
      <c r="Y291" s="14">
        <v>20261214</v>
      </c>
      <c r="Z291" s="14">
        <v>20270312</v>
      </c>
      <c r="AA291" s="14">
        <v>20270316</v>
      </c>
      <c r="AB291" s="14">
        <v>3.6467158129272738E-2</v>
      </c>
      <c r="AC291" s="14">
        <v>0.89141942093777793</v>
      </c>
      <c r="AD291" s="14">
        <v>0.915972896403355</v>
      </c>
      <c r="AG291" s="20">
        <v>51755</v>
      </c>
    </row>
    <row r="292" spans="18:33" x14ac:dyDescent="0.4">
      <c r="R292" s="15">
        <v>20</v>
      </c>
      <c r="S292" s="14">
        <v>20270312</v>
      </c>
      <c r="T292" s="14">
        <v>20270614</v>
      </c>
      <c r="U292" s="14">
        <v>20270616</v>
      </c>
      <c r="V292" s="14">
        <v>1.8799999999999997E-2</v>
      </c>
      <c r="W292" s="14">
        <v>0.48416438356164376</v>
      </c>
      <c r="X292" s="14">
        <v>0.9522812889989285</v>
      </c>
      <c r="Y292" s="14">
        <v>20270312</v>
      </c>
      <c r="Z292" s="14">
        <v>20270614</v>
      </c>
      <c r="AA292" s="14">
        <v>20270616</v>
      </c>
      <c r="AB292" s="14">
        <v>3.6023325792759735E-2</v>
      </c>
      <c r="AC292" s="14">
        <v>0.94060906236650421</v>
      </c>
      <c r="AD292" s="14">
        <v>0.90762189050154718</v>
      </c>
      <c r="AG292" s="20">
        <v>51777</v>
      </c>
    </row>
    <row r="293" spans="18:33" x14ac:dyDescent="0.4">
      <c r="R293" s="15">
        <v>20</v>
      </c>
      <c r="S293" s="14">
        <v>20270614</v>
      </c>
      <c r="T293" s="14">
        <v>20270913</v>
      </c>
      <c r="U293" s="14">
        <v>20270920</v>
      </c>
      <c r="V293" s="14">
        <v>1.8799999999999997E-2</v>
      </c>
      <c r="W293" s="14">
        <v>0.46871232876712321</v>
      </c>
      <c r="X293" s="14">
        <v>0.94771219825361941</v>
      </c>
      <c r="Y293" s="14">
        <v>20270614</v>
      </c>
      <c r="Z293" s="14">
        <v>20270913</v>
      </c>
      <c r="AA293" s="14">
        <v>20270920</v>
      </c>
      <c r="AB293" s="14">
        <v>3.5527171756109518E-2</v>
      </c>
      <c r="AC293" s="14">
        <v>0.89804795272387938</v>
      </c>
      <c r="AD293" s="14">
        <v>0.89910745629996247</v>
      </c>
      <c r="AG293" s="20">
        <v>51783</v>
      </c>
    </row>
    <row r="294" spans="18:33" x14ac:dyDescent="0.4">
      <c r="R294" s="15">
        <v>20</v>
      </c>
      <c r="S294" s="14">
        <v>20270913</v>
      </c>
      <c r="T294" s="14">
        <v>20271213</v>
      </c>
      <c r="U294" s="14">
        <v>20271215</v>
      </c>
      <c r="V294" s="14">
        <v>1.8799999999999997E-2</v>
      </c>
      <c r="W294" s="14">
        <v>0.46871232876712321</v>
      </c>
      <c r="X294" s="14">
        <v>0.94368373780435177</v>
      </c>
      <c r="Y294" s="14">
        <v>20270913</v>
      </c>
      <c r="Z294" s="14">
        <v>20271213</v>
      </c>
      <c r="AA294" s="14">
        <v>20271215</v>
      </c>
      <c r="AB294" s="14">
        <v>3.5044424523607037E-2</v>
      </c>
      <c r="AC294" s="14">
        <v>0.88584517545784447</v>
      </c>
      <c r="AD294" s="14">
        <v>0.89164970448652192</v>
      </c>
      <c r="AG294" s="20">
        <v>51860</v>
      </c>
    </row>
    <row r="295" spans="18:33" x14ac:dyDescent="0.4">
      <c r="R295" s="15">
        <v>20</v>
      </c>
      <c r="S295" s="14">
        <v>20271213</v>
      </c>
      <c r="T295" s="14">
        <v>20280313</v>
      </c>
      <c r="U295" s="14">
        <v>20280315</v>
      </c>
      <c r="V295" s="14">
        <v>1.8799999999999997E-2</v>
      </c>
      <c r="W295" s="14">
        <v>0.46871232876712321</v>
      </c>
      <c r="X295" s="14">
        <v>0.93944778580762001</v>
      </c>
      <c r="Y295" s="14">
        <v>20271213</v>
      </c>
      <c r="Z295" s="14">
        <v>20280313</v>
      </c>
      <c r="AA295" s="14">
        <v>20280315</v>
      </c>
      <c r="AB295" s="14">
        <v>3.5647286444950882E-2</v>
      </c>
      <c r="AC295" s="14">
        <v>0.90108418513625832</v>
      </c>
      <c r="AD295" s="14">
        <v>0.88368347566748184</v>
      </c>
      <c r="AG295" s="20">
        <v>51867</v>
      </c>
    </row>
    <row r="296" spans="18:33" x14ac:dyDescent="0.4">
      <c r="R296" s="15">
        <v>20</v>
      </c>
      <c r="S296" s="14">
        <v>20280313</v>
      </c>
      <c r="T296" s="14">
        <v>20280612</v>
      </c>
      <c r="U296" s="14">
        <v>20280614</v>
      </c>
      <c r="V296" s="14">
        <v>1.8799999999999997E-2</v>
      </c>
      <c r="W296" s="14">
        <v>0.46871232876712321</v>
      </c>
      <c r="X296" s="14">
        <v>0.93527320518470214</v>
      </c>
      <c r="Y296" s="14">
        <v>20280313</v>
      </c>
      <c r="Z296" s="14">
        <v>20280612</v>
      </c>
      <c r="AA296" s="14">
        <v>20280614</v>
      </c>
      <c r="AB296" s="14">
        <v>3.5356958687746812E-2</v>
      </c>
      <c r="AC296" s="14">
        <v>0.89374534460693322</v>
      </c>
      <c r="AD296" s="14">
        <v>0.87585706618054726</v>
      </c>
      <c r="AG296" s="20">
        <v>51887</v>
      </c>
    </row>
    <row r="297" spans="18:33" x14ac:dyDescent="0.4">
      <c r="R297" s="15">
        <v>20</v>
      </c>
      <c r="S297" s="14">
        <v>20280612</v>
      </c>
      <c r="T297" s="14">
        <v>20280912</v>
      </c>
      <c r="U297" s="14">
        <v>20280914</v>
      </c>
      <c r="V297" s="14">
        <v>1.8799999999999997E-2</v>
      </c>
      <c r="W297" s="14">
        <v>0.4738630136986301</v>
      </c>
      <c r="X297" s="14">
        <v>0.93111447358942956</v>
      </c>
      <c r="Y297" s="14">
        <v>20280612</v>
      </c>
      <c r="Z297" s="14">
        <v>20280912</v>
      </c>
      <c r="AA297" s="14">
        <v>20280914</v>
      </c>
      <c r="AB297" s="14">
        <v>3.5044106704373086E-2</v>
      </c>
      <c r="AC297" s="14">
        <v>0.89557161577842326</v>
      </c>
      <c r="AD297" s="14">
        <v>0.86808427517649245</v>
      </c>
      <c r="AG297" s="20">
        <v>51888</v>
      </c>
    </row>
    <row r="298" spans="18:33" x14ac:dyDescent="0.4">
      <c r="R298" s="15">
        <v>20</v>
      </c>
      <c r="S298" s="14">
        <v>20280912</v>
      </c>
      <c r="T298" s="14">
        <v>20281212</v>
      </c>
      <c r="U298" s="14">
        <v>20281214</v>
      </c>
      <c r="V298" s="14">
        <v>1.8799999999999997E-2</v>
      </c>
      <c r="W298" s="14">
        <v>0.46871232876712321</v>
      </c>
      <c r="X298" s="14">
        <v>0.92706135352108632</v>
      </c>
      <c r="Y298" s="14">
        <v>20280912</v>
      </c>
      <c r="Z298" s="14">
        <v>20281212</v>
      </c>
      <c r="AA298" s="14">
        <v>20281214</v>
      </c>
      <c r="AB298" s="14">
        <v>3.4727878398949613E-2</v>
      </c>
      <c r="AC298" s="14">
        <v>0.87784359286233737</v>
      </c>
      <c r="AD298" s="14">
        <v>0.86053164863011777</v>
      </c>
      <c r="AG298" s="20">
        <v>51889</v>
      </c>
    </row>
    <row r="299" spans="18:33" x14ac:dyDescent="0.4">
      <c r="R299" s="15">
        <v>20</v>
      </c>
      <c r="S299" s="14">
        <v>20281212</v>
      </c>
      <c r="T299" s="14">
        <v>20290312</v>
      </c>
      <c r="U299" s="14">
        <v>20290314</v>
      </c>
      <c r="V299" s="14">
        <v>1.8799999999999997E-2</v>
      </c>
      <c r="W299" s="14">
        <v>0.46356164383561632</v>
      </c>
      <c r="X299" s="14">
        <v>0.92290911396968633</v>
      </c>
      <c r="Y299" s="14">
        <v>20281212</v>
      </c>
      <c r="Z299" s="14">
        <v>20290312</v>
      </c>
      <c r="AA299" s="14">
        <v>20290314</v>
      </c>
      <c r="AB299" s="14">
        <v>3.543628345363814E-2</v>
      </c>
      <c r="AC299" s="14">
        <v>0.8859070863409535</v>
      </c>
      <c r="AD299" s="14">
        <v>0.85297134492395654</v>
      </c>
      <c r="AG299" s="20">
        <v>51928</v>
      </c>
    </row>
    <row r="300" spans="18:33" x14ac:dyDescent="0.4">
      <c r="R300" s="15">
        <v>20</v>
      </c>
      <c r="S300" s="14">
        <v>20290312</v>
      </c>
      <c r="T300" s="14">
        <v>20290612</v>
      </c>
      <c r="U300" s="14">
        <v>20290614</v>
      </c>
      <c r="V300" s="14">
        <v>1.8799999999999997E-2</v>
      </c>
      <c r="W300" s="14">
        <v>0.4738630136986301</v>
      </c>
      <c r="X300" s="14">
        <v>0.91870181781535598</v>
      </c>
      <c r="Y300" s="14">
        <v>20290312</v>
      </c>
      <c r="Z300" s="14">
        <v>20290612</v>
      </c>
      <c r="AA300" s="14">
        <v>20290614</v>
      </c>
      <c r="AB300" s="14">
        <v>3.5271177168033775E-2</v>
      </c>
      <c r="AC300" s="14">
        <v>0.90137452762752979</v>
      </c>
      <c r="AD300" s="14">
        <v>0.84535245745771204</v>
      </c>
      <c r="AG300" s="20">
        <v>51987</v>
      </c>
    </row>
    <row r="301" spans="18:33" x14ac:dyDescent="0.4">
      <c r="R301" s="15">
        <v>20</v>
      </c>
      <c r="S301" s="14">
        <v>20290612</v>
      </c>
      <c r="T301" s="14">
        <v>20290912</v>
      </c>
      <c r="U301" s="14">
        <v>20290914</v>
      </c>
      <c r="V301" s="14">
        <v>1.8799999999999997E-2</v>
      </c>
      <c r="W301" s="14">
        <v>0.4738630136986301</v>
      </c>
      <c r="X301" s="14">
        <v>0.91453181070083656</v>
      </c>
      <c r="Y301" s="14">
        <v>20290612</v>
      </c>
      <c r="Z301" s="14">
        <v>20290912</v>
      </c>
      <c r="AA301" s="14">
        <v>20290914</v>
      </c>
      <c r="AB301" s="14">
        <v>3.5078639927735716E-2</v>
      </c>
      <c r="AC301" s="14">
        <v>0.89645413148657926</v>
      </c>
      <c r="AD301" s="14">
        <v>0.83784248010644946</v>
      </c>
      <c r="AG301" s="20">
        <v>51991</v>
      </c>
    </row>
    <row r="302" spans="18:33" x14ac:dyDescent="0.4">
      <c r="R302" s="15">
        <v>20</v>
      </c>
      <c r="S302" s="14">
        <v>20290912</v>
      </c>
      <c r="T302" s="14">
        <v>20291212</v>
      </c>
      <c r="U302" s="14">
        <v>20291214</v>
      </c>
      <c r="V302" s="14">
        <v>1.8799999999999997E-2</v>
      </c>
      <c r="W302" s="14">
        <v>0.46871232876712321</v>
      </c>
      <c r="X302" s="14">
        <v>0.9104434855978476</v>
      </c>
      <c r="Y302" s="14">
        <v>20290912</v>
      </c>
      <c r="Z302" s="14">
        <v>20291212</v>
      </c>
      <c r="AA302" s="14">
        <v>20291214</v>
      </c>
      <c r="AB302" s="14">
        <v>3.4885473017893777E-2</v>
      </c>
      <c r="AC302" s="14">
        <v>0.88182723461898149</v>
      </c>
      <c r="AD302" s="14">
        <v>0.83051961055272827</v>
      </c>
      <c r="AG302" s="20">
        <v>52012</v>
      </c>
    </row>
    <row r="303" spans="18:33" x14ac:dyDescent="0.4">
      <c r="R303" s="15">
        <v>20</v>
      </c>
      <c r="S303" s="14">
        <v>20291212</v>
      </c>
      <c r="T303" s="14">
        <v>20300312</v>
      </c>
      <c r="U303" s="14">
        <v>20300314</v>
      </c>
      <c r="V303" s="14">
        <v>1.8799999999999997E-2</v>
      </c>
      <c r="W303" s="14">
        <v>0.46356164383561632</v>
      </c>
      <c r="X303" s="14">
        <v>0.90619009715106424</v>
      </c>
      <c r="Y303" s="14">
        <v>20291212</v>
      </c>
      <c r="Z303" s="14">
        <v>20300312</v>
      </c>
      <c r="AA303" s="14">
        <v>20300314</v>
      </c>
      <c r="AB303" s="14">
        <v>3.5803934099056356E-2</v>
      </c>
      <c r="AC303" s="14">
        <v>0.8950983524764089</v>
      </c>
      <c r="AD303" s="14">
        <v>0.82314706276071026</v>
      </c>
      <c r="AG303" s="20">
        <v>52023</v>
      </c>
    </row>
    <row r="304" spans="18:33" x14ac:dyDescent="0.4">
      <c r="R304" s="15">
        <v>20</v>
      </c>
      <c r="S304" s="14">
        <v>20300312</v>
      </c>
      <c r="T304" s="14">
        <v>20300612</v>
      </c>
      <c r="U304" s="14">
        <v>20300614</v>
      </c>
      <c r="V304" s="14">
        <v>1.8799999999999997E-2</v>
      </c>
      <c r="W304" s="14">
        <v>0.4738630136986301</v>
      </c>
      <c r="X304" s="14">
        <v>0.90185674419715978</v>
      </c>
      <c r="Y304" s="14">
        <v>20300312</v>
      </c>
      <c r="Z304" s="14">
        <v>20300612</v>
      </c>
      <c r="AA304" s="14">
        <v>20300614</v>
      </c>
      <c r="AB304" s="14">
        <v>3.5748759544124202E-2</v>
      </c>
      <c r="AC304" s="14">
        <v>0.91357941057206293</v>
      </c>
      <c r="AD304" s="14">
        <v>0.81569541656398015</v>
      </c>
      <c r="AG304" s="20">
        <v>52093</v>
      </c>
    </row>
    <row r="305" spans="18:33" x14ac:dyDescent="0.4">
      <c r="R305" s="15">
        <v>20</v>
      </c>
      <c r="S305" s="14">
        <v>20300612</v>
      </c>
      <c r="T305" s="14">
        <v>20300916</v>
      </c>
      <c r="U305" s="14">
        <v>20300918</v>
      </c>
      <c r="V305" s="14">
        <v>1.8799999999999997E-2</v>
      </c>
      <c r="W305" s="14">
        <v>0.49446575342465737</v>
      </c>
      <c r="X305" s="14">
        <v>0.89735066006463637</v>
      </c>
      <c r="Y305" s="14">
        <v>20300612</v>
      </c>
      <c r="Z305" s="14">
        <v>20300912</v>
      </c>
      <c r="AA305" s="14">
        <v>20300918</v>
      </c>
      <c r="AB305" s="14">
        <v>3.567031262192738E-2</v>
      </c>
      <c r="AC305" s="14">
        <v>0.95120833658473014</v>
      </c>
      <c r="AD305" s="14">
        <v>0.80800995063938141</v>
      </c>
      <c r="AG305" s="20">
        <v>52136</v>
      </c>
    </row>
    <row r="306" spans="18:33" x14ac:dyDescent="0.4">
      <c r="R306" s="15">
        <v>20</v>
      </c>
      <c r="S306" s="14">
        <v>20300916</v>
      </c>
      <c r="T306" s="14">
        <v>20301212</v>
      </c>
      <c r="U306" s="14">
        <v>20301216</v>
      </c>
      <c r="V306" s="14">
        <v>1.8799999999999997E-2</v>
      </c>
      <c r="W306" s="14">
        <v>0.44810958904109582</v>
      </c>
      <c r="X306" s="14">
        <v>0.89318743280872581</v>
      </c>
      <c r="Y306" s="14">
        <v>20300916</v>
      </c>
      <c r="Z306" s="14">
        <v>20301212</v>
      </c>
      <c r="AA306" s="14">
        <v>20301216</v>
      </c>
      <c r="AB306" s="14">
        <v>3.5571286935239081E-2</v>
      </c>
      <c r="AC306" s="14">
        <v>0.85963943426827782</v>
      </c>
      <c r="AD306" s="14">
        <v>0.80096609080747205</v>
      </c>
      <c r="AG306" s="20">
        <v>52138</v>
      </c>
    </row>
    <row r="307" spans="18:33" x14ac:dyDescent="0.4">
      <c r="R307" s="15">
        <v>20</v>
      </c>
      <c r="S307" s="14">
        <v>20301212</v>
      </c>
      <c r="T307" s="14">
        <v>20310312</v>
      </c>
      <c r="U307" s="14">
        <v>20310314</v>
      </c>
      <c r="V307" s="14">
        <v>1.8799999999999997E-2</v>
      </c>
      <c r="W307" s="14">
        <v>0.46356164383561632</v>
      </c>
      <c r="X307" s="14">
        <v>0.88908516418005434</v>
      </c>
      <c r="Y307" s="14">
        <v>20301212</v>
      </c>
      <c r="Z307" s="14">
        <v>20310312</v>
      </c>
      <c r="AA307" s="14">
        <v>20310314</v>
      </c>
      <c r="AB307" s="14">
        <v>3.5982207828288537E-2</v>
      </c>
      <c r="AC307" s="14">
        <v>0.89955519570721343</v>
      </c>
      <c r="AD307" s="14">
        <v>0.79397927730487272</v>
      </c>
      <c r="AG307" s="20">
        <v>52139</v>
      </c>
    </row>
    <row r="308" spans="18:33" x14ac:dyDescent="0.4">
      <c r="R308" s="15">
        <v>20</v>
      </c>
      <c r="S308" s="14">
        <v>20310312</v>
      </c>
      <c r="T308" s="14">
        <v>20310612</v>
      </c>
      <c r="U308" s="14">
        <v>20310616</v>
      </c>
      <c r="V308" s="14">
        <v>1.8799999999999997E-2</v>
      </c>
      <c r="W308" s="14">
        <v>0.4738630136986301</v>
      </c>
      <c r="X308" s="14">
        <v>0.8847180661505506</v>
      </c>
      <c r="Y308" s="14">
        <v>20310312</v>
      </c>
      <c r="Z308" s="14">
        <v>20310612</v>
      </c>
      <c r="AA308" s="14">
        <v>20310616</v>
      </c>
      <c r="AB308" s="14">
        <v>3.5965316700576615E-2</v>
      </c>
      <c r="AC308" s="14">
        <v>0.91911364901473558</v>
      </c>
      <c r="AD308" s="14">
        <v>0.78659198620247639</v>
      </c>
      <c r="AG308" s="20">
        <v>52142</v>
      </c>
    </row>
    <row r="309" spans="18:33" x14ac:dyDescent="0.4">
      <c r="R309" s="15">
        <v>20</v>
      </c>
      <c r="S309" s="14">
        <v>20310612</v>
      </c>
      <c r="T309" s="14">
        <v>20310912</v>
      </c>
      <c r="U309" s="14">
        <v>20310916</v>
      </c>
      <c r="V309" s="14">
        <v>1.8799999999999997E-2</v>
      </c>
      <c r="W309" s="14">
        <v>0.4738630136986301</v>
      </c>
      <c r="X309" s="14">
        <v>0.88045874515845013</v>
      </c>
      <c r="Y309" s="14">
        <v>20310612</v>
      </c>
      <c r="Z309" s="14">
        <v>20310912</v>
      </c>
      <c r="AA309" s="14">
        <v>20310916</v>
      </c>
      <c r="AB309" s="14">
        <v>3.5922651100779114E-2</v>
      </c>
      <c r="AC309" s="14">
        <v>0.91802330590879944</v>
      </c>
      <c r="AD309" s="14">
        <v>0.77943694291121279</v>
      </c>
      <c r="AG309" s="20">
        <v>52148</v>
      </c>
    </row>
    <row r="310" spans="18:33" x14ac:dyDescent="0.4">
      <c r="R310" s="15">
        <v>20</v>
      </c>
      <c r="S310" s="14">
        <v>20310912</v>
      </c>
      <c r="T310" s="14">
        <v>20311212</v>
      </c>
      <c r="U310" s="14">
        <v>20311216</v>
      </c>
      <c r="V310" s="14">
        <v>1.8799999999999997E-2</v>
      </c>
      <c r="W310" s="14">
        <v>0.46871232876712321</v>
      </c>
      <c r="X310" s="14">
        <v>0.87626016845347043</v>
      </c>
      <c r="Y310" s="14">
        <v>20310912</v>
      </c>
      <c r="Z310" s="14">
        <v>20311212</v>
      </c>
      <c r="AA310" s="14">
        <v>20311216</v>
      </c>
      <c r="AB310" s="14">
        <v>3.5878435293902909E-2</v>
      </c>
      <c r="AC310" s="14">
        <v>0.90692711437365681</v>
      </c>
      <c r="AD310" s="14">
        <v>0.77243191063230876</v>
      </c>
      <c r="AG310" s="20">
        <v>52225</v>
      </c>
    </row>
    <row r="311" spans="18:33" x14ac:dyDescent="0.4">
      <c r="R311" s="15">
        <v>20</v>
      </c>
      <c r="S311" s="14">
        <v>20311212</v>
      </c>
      <c r="T311" s="14">
        <v>20320312</v>
      </c>
      <c r="U311" s="14">
        <v>20320316</v>
      </c>
      <c r="V311" s="14">
        <v>1.8799999999999997E-2</v>
      </c>
      <c r="W311" s="14">
        <v>0.46871232876712321</v>
      </c>
      <c r="X311" s="14">
        <v>0.87216086783321656</v>
      </c>
      <c r="Y311" s="14">
        <v>20311212</v>
      </c>
      <c r="Z311" s="14">
        <v>20320312</v>
      </c>
      <c r="AA311" s="14">
        <v>20320316</v>
      </c>
      <c r="AB311" s="14">
        <v>3.6345272880791271E-2</v>
      </c>
      <c r="AC311" s="14">
        <v>0.91872773115333484</v>
      </c>
      <c r="AD311" s="14">
        <v>0.7653956832121831</v>
      </c>
      <c r="AG311" s="20">
        <v>52232</v>
      </c>
    </row>
    <row r="312" spans="18:33" x14ac:dyDescent="0.4">
      <c r="R312" s="15">
        <v>20</v>
      </c>
      <c r="S312" s="14">
        <v>20320312</v>
      </c>
      <c r="T312" s="14">
        <v>20320614</v>
      </c>
      <c r="U312" s="14">
        <v>20320616</v>
      </c>
      <c r="V312" s="14">
        <v>1.8799999999999997E-2</v>
      </c>
      <c r="W312" s="14">
        <v>0.48416438356164376</v>
      </c>
      <c r="X312" s="14">
        <v>0.86803617433212443</v>
      </c>
      <c r="Y312" s="14">
        <v>20320312</v>
      </c>
      <c r="Z312" s="14">
        <v>20320614</v>
      </c>
      <c r="AA312" s="14">
        <v>20320616</v>
      </c>
      <c r="AB312" s="14">
        <v>3.6367656269225002E-2</v>
      </c>
      <c r="AC312" s="14">
        <v>0.9495999136964306</v>
      </c>
      <c r="AD312" s="14">
        <v>0.75834837196605331</v>
      </c>
      <c r="AG312" s="20">
        <v>52271</v>
      </c>
    </row>
    <row r="313" spans="18:33" x14ac:dyDescent="0.4">
      <c r="R313" s="15">
        <v>20</v>
      </c>
      <c r="S313" s="14">
        <v>20320614</v>
      </c>
      <c r="T313" s="14">
        <v>20320913</v>
      </c>
      <c r="U313" s="14">
        <v>20320915</v>
      </c>
      <c r="V313" s="14">
        <v>1.8799999999999997E-2</v>
      </c>
      <c r="W313" s="14">
        <v>0.46871232876712321</v>
      </c>
      <c r="X313" s="14">
        <v>0.8639756624327497</v>
      </c>
      <c r="Y313" s="14">
        <v>20320614</v>
      </c>
      <c r="Z313" s="14">
        <v>20320913</v>
      </c>
      <c r="AA313" s="14">
        <v>20320915</v>
      </c>
      <c r="AB313" s="14">
        <v>3.635645237501569E-2</v>
      </c>
      <c r="AC313" s="14">
        <v>0.91901032392400772</v>
      </c>
      <c r="AD313" s="14">
        <v>0.75144256070952442</v>
      </c>
      <c r="AG313" s="20">
        <v>52272</v>
      </c>
    </row>
    <row r="314" spans="18:33" x14ac:dyDescent="0.4">
      <c r="R314" s="15">
        <v>20</v>
      </c>
      <c r="S314" s="14">
        <v>20320913</v>
      </c>
      <c r="T314" s="14">
        <v>20321213</v>
      </c>
      <c r="U314" s="14">
        <v>20321215</v>
      </c>
      <c r="V314" s="14">
        <v>1.8799999999999997E-2</v>
      </c>
      <c r="W314" s="14">
        <v>0.46871232876712321</v>
      </c>
      <c r="X314" s="14">
        <v>0.85993430096618129</v>
      </c>
      <c r="Y314" s="14">
        <v>20320913</v>
      </c>
      <c r="Z314" s="14">
        <v>20321213</v>
      </c>
      <c r="AA314" s="14">
        <v>20321215</v>
      </c>
      <c r="AB314" s="14">
        <v>3.6350834044769818E-2</v>
      </c>
      <c r="AC314" s="14">
        <v>0.91886830502057038</v>
      </c>
      <c r="AD314" s="14">
        <v>0.74460068426401982</v>
      </c>
      <c r="AG314" s="20">
        <v>52273</v>
      </c>
    </row>
    <row r="315" spans="18:33" x14ac:dyDescent="0.4">
      <c r="R315" s="15">
        <v>20</v>
      </c>
      <c r="S315" s="14">
        <v>20321213</v>
      </c>
      <c r="T315" s="14">
        <v>20330314</v>
      </c>
      <c r="U315" s="14">
        <v>20330316</v>
      </c>
      <c r="V315" s="14">
        <v>1.8799999999999997E-2</v>
      </c>
      <c r="W315" s="14">
        <v>0.46871232876712321</v>
      </c>
      <c r="X315" s="14">
        <v>0.85600623289144451</v>
      </c>
      <c r="Y315" s="14">
        <v>20321213</v>
      </c>
      <c r="Z315" s="14">
        <v>20330314</v>
      </c>
      <c r="AA315" s="14">
        <v>20330316</v>
      </c>
      <c r="AB315" s="14">
        <v>3.6691174666200164E-2</v>
      </c>
      <c r="AC315" s="14">
        <v>0.92747135961783744</v>
      </c>
      <c r="AD315" s="14">
        <v>0.73775673126790764</v>
      </c>
      <c r="AG315" s="20">
        <v>52292</v>
      </c>
    </row>
    <row r="316" spans="18:33" x14ac:dyDescent="0.4">
      <c r="R316" s="15">
        <v>20</v>
      </c>
      <c r="S316" s="14">
        <v>20330314</v>
      </c>
      <c r="T316" s="14">
        <v>20330613</v>
      </c>
      <c r="U316" s="14">
        <v>20330615</v>
      </c>
      <c r="V316" s="14">
        <v>1.8799999999999997E-2</v>
      </c>
      <c r="W316" s="14">
        <v>0.46871232876712321</v>
      </c>
      <c r="X316" s="14">
        <v>0.85210191955002301</v>
      </c>
      <c r="Y316" s="14">
        <v>20330314</v>
      </c>
      <c r="Z316" s="14">
        <v>20330613</v>
      </c>
      <c r="AA316" s="14">
        <v>20330615</v>
      </c>
      <c r="AB316" s="14">
        <v>3.6714442942515108E-2</v>
      </c>
      <c r="AC316" s="14">
        <v>0.92805952993579854</v>
      </c>
      <c r="AD316" s="14">
        <v>0.73097280462183711</v>
      </c>
      <c r="AG316" s="20">
        <v>52352</v>
      </c>
    </row>
    <row r="317" spans="18:33" x14ac:dyDescent="0.4">
      <c r="R317" s="15">
        <v>20</v>
      </c>
      <c r="S317" s="14">
        <v>20330613</v>
      </c>
      <c r="T317" s="14">
        <v>20330912</v>
      </c>
      <c r="U317" s="14">
        <v>20330914</v>
      </c>
      <c r="V317" s="14">
        <v>1.8799999999999997E-2</v>
      </c>
      <c r="W317" s="14">
        <v>0.46871232876712321</v>
      </c>
      <c r="X317" s="14">
        <v>0.8482211994564024</v>
      </c>
      <c r="Y317" s="14">
        <v>20330613</v>
      </c>
      <c r="Z317" s="14">
        <v>20330912</v>
      </c>
      <c r="AA317" s="14">
        <v>20330914</v>
      </c>
      <c r="AB317" s="14">
        <v>3.6730171159862532E-2</v>
      </c>
      <c r="AC317" s="14">
        <v>0.92845710431874728</v>
      </c>
      <c r="AD317" s="14">
        <v>0.72424840556325143</v>
      </c>
      <c r="AG317" s="20">
        <v>52356</v>
      </c>
    </row>
    <row r="318" spans="18:33" x14ac:dyDescent="0.4">
      <c r="R318" s="15">
        <v>20</v>
      </c>
      <c r="S318" s="14">
        <v>20330912</v>
      </c>
      <c r="T318" s="14">
        <v>20331212</v>
      </c>
      <c r="U318" s="14">
        <v>20331214</v>
      </c>
      <c r="V318" s="14">
        <v>1.8799999999999997E-2</v>
      </c>
      <c r="W318" s="14">
        <v>0.46871232876712321</v>
      </c>
      <c r="X318" s="14">
        <v>0.84436391234273123</v>
      </c>
      <c r="Y318" s="14">
        <v>20330912</v>
      </c>
      <c r="Z318" s="14">
        <v>20331212</v>
      </c>
      <c r="AA318" s="14">
        <v>20331214</v>
      </c>
      <c r="AB318" s="14">
        <v>3.674589943917006E-2</v>
      </c>
      <c r="AC318" s="14">
        <v>0.92885468026790985</v>
      </c>
      <c r="AD318" s="14">
        <v>0.7175830392166278</v>
      </c>
      <c r="AG318" s="20">
        <v>52369</v>
      </c>
    </row>
    <row r="319" spans="18:33" x14ac:dyDescent="0.4">
      <c r="R319" s="15">
        <v>20</v>
      </c>
      <c r="S319" s="14">
        <v>20331212</v>
      </c>
      <c r="T319" s="14">
        <v>20340313</v>
      </c>
      <c r="U319" s="14">
        <v>20340315</v>
      </c>
      <c r="V319" s="14">
        <v>1.8799999999999997E-2</v>
      </c>
      <c r="W319" s="14">
        <v>0.46871232876712321</v>
      </c>
      <c r="X319" s="14">
        <v>0.84000003431610726</v>
      </c>
      <c r="Y319" s="14">
        <v>20331212</v>
      </c>
      <c r="Z319" s="14">
        <v>20340313</v>
      </c>
      <c r="AA319" s="14">
        <v>20340315</v>
      </c>
      <c r="AB319" s="14">
        <v>3.7162514371449282E-2</v>
      </c>
      <c r="AC319" s="14">
        <v>0.93938577994496786</v>
      </c>
      <c r="AD319" s="14">
        <v>0.71090319106942368</v>
      </c>
      <c r="AG319" s="20">
        <v>52388</v>
      </c>
    </row>
    <row r="320" spans="18:33" x14ac:dyDescent="0.4">
      <c r="R320" s="15">
        <v>20</v>
      </c>
      <c r="S320" s="14">
        <v>20340313</v>
      </c>
      <c r="T320" s="14">
        <v>20340612</v>
      </c>
      <c r="U320" s="14">
        <v>20340614</v>
      </c>
      <c r="V320" s="14">
        <v>1.8799999999999997E-2</v>
      </c>
      <c r="W320" s="14">
        <v>0.46871232876712321</v>
      </c>
      <c r="X320" s="14">
        <v>0.83563605187680767</v>
      </c>
      <c r="Y320" s="14">
        <v>20340313</v>
      </c>
      <c r="Z320" s="14">
        <v>20340612</v>
      </c>
      <c r="AA320" s="14">
        <v>20340614</v>
      </c>
      <c r="AB320" s="14">
        <v>3.720908357250291E-2</v>
      </c>
      <c r="AC320" s="14">
        <v>0.94056294586049027</v>
      </c>
      <c r="AD320" s="14">
        <v>0.70427885719366079</v>
      </c>
      <c r="AG320" s="20">
        <v>52460</v>
      </c>
    </row>
    <row r="321" spans="18:33" x14ac:dyDescent="0.4">
      <c r="R321" s="15">
        <v>20</v>
      </c>
      <c r="S321" s="14">
        <v>20340612</v>
      </c>
      <c r="T321" s="14">
        <v>20340912</v>
      </c>
      <c r="U321" s="14">
        <v>20340914</v>
      </c>
      <c r="V321" s="14">
        <v>1.8799999999999997E-2</v>
      </c>
      <c r="W321" s="14">
        <v>0.4738630136986301</v>
      </c>
      <c r="X321" s="14">
        <v>0.83122424881500512</v>
      </c>
      <c r="Y321" s="14">
        <v>20340612</v>
      </c>
      <c r="Z321" s="14">
        <v>20340912</v>
      </c>
      <c r="AA321" s="14">
        <v>20340914</v>
      </c>
      <c r="AB321" s="14">
        <v>3.7249015161941824E-2</v>
      </c>
      <c r="AC321" s="14">
        <v>0.95191927636073537</v>
      </c>
      <c r="AD321" s="14">
        <v>0.69763776072866024</v>
      </c>
      <c r="AG321" s="20">
        <v>52490</v>
      </c>
    </row>
    <row r="322" spans="18:33" x14ac:dyDescent="0.4">
      <c r="R322" s="15">
        <v>20</v>
      </c>
      <c r="S322" s="14">
        <v>20340912</v>
      </c>
      <c r="T322" s="14">
        <v>20341212</v>
      </c>
      <c r="U322" s="14">
        <v>20341214</v>
      </c>
      <c r="V322" s="14">
        <v>1.8799999999999997E-2</v>
      </c>
      <c r="W322" s="14">
        <v>0.46871232876712321</v>
      </c>
      <c r="X322" s="14">
        <v>0.82686077137997505</v>
      </c>
      <c r="Y322" s="14">
        <v>20340912</v>
      </c>
      <c r="Z322" s="14">
        <v>20341212</v>
      </c>
      <c r="AA322" s="14">
        <v>20341214</v>
      </c>
      <c r="AB322" s="14">
        <v>3.7285105280239733E-2</v>
      </c>
      <c r="AC322" s="14">
        <v>0.94248460569494874</v>
      </c>
      <c r="AD322" s="14">
        <v>0.69112387940945996</v>
      </c>
      <c r="AG322" s="20">
        <v>52491</v>
      </c>
    </row>
    <row r="323" spans="18:33" x14ac:dyDescent="0.4">
      <c r="R323" s="15">
        <v>20</v>
      </c>
      <c r="S323" s="14">
        <v>20341212</v>
      </c>
      <c r="T323" s="14">
        <v>20350312</v>
      </c>
      <c r="U323" s="14">
        <v>20350314</v>
      </c>
      <c r="V323" s="14">
        <v>1.8799999999999997E-2</v>
      </c>
      <c r="W323" s="14">
        <v>0.46356164383561632</v>
      </c>
      <c r="X323" s="14">
        <v>0.82300626315606429</v>
      </c>
      <c r="Y323" s="14">
        <v>20341212</v>
      </c>
      <c r="Z323" s="14">
        <v>20350312</v>
      </c>
      <c r="AA323" s="14">
        <v>20350314</v>
      </c>
      <c r="AB323" s="14">
        <v>3.7723281562690225E-2</v>
      </c>
      <c r="AC323" s="14">
        <v>0.94308203906725563</v>
      </c>
      <c r="AD323" s="14">
        <v>0.68466517932266679</v>
      </c>
      <c r="AG323" s="20">
        <v>52492</v>
      </c>
    </row>
    <row r="324" spans="18:33" x14ac:dyDescent="0.4">
      <c r="R324" s="15">
        <v>20</v>
      </c>
      <c r="S324" s="14">
        <v>20350312</v>
      </c>
      <c r="T324" s="14">
        <v>20350612</v>
      </c>
      <c r="U324" s="14">
        <v>20350614</v>
      </c>
      <c r="V324" s="14">
        <v>1.8799999999999997E-2</v>
      </c>
      <c r="W324" s="14">
        <v>0.4738630136986301</v>
      </c>
      <c r="X324" s="14">
        <v>0.81908498157077259</v>
      </c>
      <c r="Y324" s="14">
        <v>20350312</v>
      </c>
      <c r="Z324" s="14">
        <v>20350612</v>
      </c>
      <c r="AA324" s="14">
        <v>20350614</v>
      </c>
      <c r="AB324" s="14">
        <v>3.7793981155064514E-2</v>
      </c>
      <c r="AC324" s="14">
        <v>0.96584618507387088</v>
      </c>
      <c r="AD324" s="14">
        <v>0.67811540727787045</v>
      </c>
      <c r="AG324" s="20">
        <v>52509</v>
      </c>
    </row>
    <row r="325" spans="18:33" x14ac:dyDescent="0.4">
      <c r="R325" s="15">
        <v>20</v>
      </c>
      <c r="S325" s="14">
        <v>20350612</v>
      </c>
      <c r="T325" s="14">
        <v>20350912</v>
      </c>
      <c r="U325" s="14">
        <v>20350914</v>
      </c>
      <c r="V325" s="14">
        <v>1.8799999999999997E-2</v>
      </c>
      <c r="W325" s="14">
        <v>0.4738630136986301</v>
      </c>
      <c r="X325" s="14">
        <v>0.81518269657878739</v>
      </c>
      <c r="Y325" s="14">
        <v>20350612</v>
      </c>
      <c r="Z325" s="14">
        <v>20350912</v>
      </c>
      <c r="AA325" s="14">
        <v>20350914</v>
      </c>
      <c r="AB325" s="14">
        <v>3.7852445928708608E-2</v>
      </c>
      <c r="AC325" s="14">
        <v>0.96734028484477541</v>
      </c>
      <c r="AD325" s="14">
        <v>0.6716183542308064</v>
      </c>
      <c r="AG325" s="20">
        <v>52513</v>
      </c>
    </row>
    <row r="326" spans="18:33" x14ac:dyDescent="0.4">
      <c r="R326" s="15">
        <v>20</v>
      </c>
      <c r="S326" s="14">
        <v>20350912</v>
      </c>
      <c r="T326" s="14">
        <v>20351212</v>
      </c>
      <c r="U326" s="14">
        <v>20351214</v>
      </c>
      <c r="V326" s="14">
        <v>1.8799999999999997E-2</v>
      </c>
      <c r="W326" s="14">
        <v>0.46871232876712321</v>
      </c>
      <c r="X326" s="14">
        <v>0.81134142407115517</v>
      </c>
      <c r="Y326" s="14">
        <v>20350912</v>
      </c>
      <c r="Z326" s="14">
        <v>20351212</v>
      </c>
      <c r="AA326" s="14">
        <v>20351214</v>
      </c>
      <c r="AB326" s="14">
        <v>3.7908604172672944E-2</v>
      </c>
      <c r="AC326" s="14">
        <v>0.95824527214256605</v>
      </c>
      <c r="AD326" s="14">
        <v>0.66524347636265169</v>
      </c>
      <c r="AG326" s="20">
        <v>52590</v>
      </c>
    </row>
    <row r="327" spans="18:33" x14ac:dyDescent="0.4">
      <c r="R327" s="15">
        <v>20</v>
      </c>
      <c r="S327" s="14">
        <v>20351212</v>
      </c>
      <c r="T327" s="14">
        <v>20360312</v>
      </c>
      <c r="U327" s="14">
        <v>20360314</v>
      </c>
      <c r="V327" s="14">
        <v>1.8799999999999997E-2</v>
      </c>
      <c r="W327" s="14">
        <v>0.46871232876712321</v>
      </c>
      <c r="X327" s="14">
        <v>0.80801738270087431</v>
      </c>
      <c r="Y327" s="14">
        <v>20351212</v>
      </c>
      <c r="Z327" s="14">
        <v>20360312</v>
      </c>
      <c r="AA327" s="14">
        <v>20360314</v>
      </c>
      <c r="AB327" s="14">
        <v>3.7966429096890644E-2</v>
      </c>
      <c r="AC327" s="14">
        <v>0.95970695772695791</v>
      </c>
      <c r="AD327" s="14">
        <v>0.65891956774596983</v>
      </c>
      <c r="AG327" s="20">
        <v>52597</v>
      </c>
    </row>
    <row r="328" spans="18:33" x14ac:dyDescent="0.4">
      <c r="R328" s="15">
        <v>20</v>
      </c>
      <c r="S328" s="14">
        <v>20360312</v>
      </c>
      <c r="T328" s="14">
        <v>20360612</v>
      </c>
      <c r="U328" s="14">
        <v>20360616</v>
      </c>
      <c r="V328" s="14">
        <v>1.8799999999999997E-2</v>
      </c>
      <c r="W328" s="14">
        <v>0.4738630136986301</v>
      </c>
      <c r="X328" s="14">
        <v>0.80462146551659486</v>
      </c>
      <c r="Y328" s="14">
        <v>20360312</v>
      </c>
      <c r="Z328" s="14">
        <v>20360612</v>
      </c>
      <c r="AA328" s="14">
        <v>20360616</v>
      </c>
      <c r="AB328" s="14">
        <v>3.8026574401730039E-2</v>
      </c>
      <c r="AC328" s="14">
        <v>0.97179023471087866</v>
      </c>
      <c r="AD328" s="14">
        <v>0.6524403751597625</v>
      </c>
      <c r="AG328" s="20">
        <v>52657</v>
      </c>
    </row>
    <row r="329" spans="18:33" x14ac:dyDescent="0.4">
      <c r="R329" s="15">
        <v>20</v>
      </c>
      <c r="S329" s="14">
        <v>20360612</v>
      </c>
      <c r="T329" s="14">
        <v>20360912</v>
      </c>
      <c r="U329" s="14">
        <v>20360916</v>
      </c>
      <c r="V329" s="14">
        <v>1.8799999999999997E-2</v>
      </c>
      <c r="W329" s="14">
        <v>0.4738630136986301</v>
      </c>
      <c r="X329" s="14">
        <v>0.80133456327090213</v>
      </c>
      <c r="Y329" s="14">
        <v>20360612</v>
      </c>
      <c r="Z329" s="14">
        <v>20360912</v>
      </c>
      <c r="AA329" s="14">
        <v>20360916</v>
      </c>
      <c r="AB329" s="14">
        <v>3.8085042617305213E-2</v>
      </c>
      <c r="AC329" s="14">
        <v>0.97328442244224433</v>
      </c>
      <c r="AD329" s="14">
        <v>0.64615106769916153</v>
      </c>
      <c r="AG329" s="20">
        <v>52718</v>
      </c>
    </row>
    <row r="330" spans="18:33" x14ac:dyDescent="0.4">
      <c r="R330" s="15">
        <v>20</v>
      </c>
      <c r="S330" s="14">
        <v>20360912</v>
      </c>
      <c r="T330" s="14">
        <v>20361212</v>
      </c>
      <c r="U330" s="14">
        <v>20361216</v>
      </c>
      <c r="V330" s="14">
        <v>1.8799999999999997E-2</v>
      </c>
      <c r="W330" s="14">
        <v>0.46871232876712321</v>
      </c>
      <c r="X330" s="14">
        <v>0.79811883340241463</v>
      </c>
      <c r="Y330" s="14">
        <v>20360912</v>
      </c>
      <c r="Z330" s="14">
        <v>20361212</v>
      </c>
      <c r="AA330" s="14">
        <v>20361216</v>
      </c>
      <c r="AB330" s="14">
        <v>3.8141179834830577E-2</v>
      </c>
      <c r="AC330" s="14">
        <v>0.96412426804710627</v>
      </c>
      <c r="AD330" s="14">
        <v>0.63998044966518408</v>
      </c>
      <c r="AG330" s="20">
        <v>52722</v>
      </c>
    </row>
    <row r="331" spans="18:33" x14ac:dyDescent="0.4">
      <c r="R331" s="15">
        <v>21</v>
      </c>
      <c r="S331" s="14">
        <v>20241212</v>
      </c>
      <c r="T331" s="14">
        <v>20250312</v>
      </c>
      <c r="U331" s="14">
        <v>20250314</v>
      </c>
      <c r="V331" s="14">
        <v>1.84E-2</v>
      </c>
      <c r="W331" s="14">
        <v>0.45369863013698625</v>
      </c>
      <c r="X331" s="14">
        <v>0.99270901377394938</v>
      </c>
      <c r="Y331" s="14">
        <v>20241212</v>
      </c>
      <c r="Z331" s="14">
        <v>20250312</v>
      </c>
      <c r="AA331" s="14">
        <v>20250314</v>
      </c>
      <c r="AB331" s="14">
        <v>4.3954996023273907E-2</v>
      </c>
      <c r="AC331" s="14">
        <v>1.0988749005818477</v>
      </c>
      <c r="AD331" s="14">
        <v>0.9886424392876334</v>
      </c>
      <c r="AG331" s="20">
        <v>52754</v>
      </c>
    </row>
    <row r="332" spans="18:33" x14ac:dyDescent="0.4">
      <c r="R332" s="15">
        <v>21</v>
      </c>
      <c r="S332" s="14">
        <v>20250312</v>
      </c>
      <c r="T332" s="14">
        <v>20250612</v>
      </c>
      <c r="U332" s="14">
        <v>20250616</v>
      </c>
      <c r="V332" s="14">
        <v>1.84E-2</v>
      </c>
      <c r="W332" s="14">
        <v>0.46378082191780823</v>
      </c>
      <c r="X332" s="14">
        <v>0.98730258544302441</v>
      </c>
      <c r="Y332" s="14">
        <v>20250312</v>
      </c>
      <c r="Z332" s="14">
        <v>20250612</v>
      </c>
      <c r="AA332" s="14">
        <v>20250616</v>
      </c>
      <c r="AB332" s="14">
        <v>4.1354165149545943E-2</v>
      </c>
      <c r="AC332" s="14">
        <v>1.0568286649328407</v>
      </c>
      <c r="AD332" s="14">
        <v>0.97810451242860541</v>
      </c>
      <c r="AG332" s="20">
        <v>52824</v>
      </c>
    </row>
    <row r="333" spans="18:33" x14ac:dyDescent="0.4">
      <c r="R333" s="15">
        <v>21</v>
      </c>
      <c r="S333" s="14">
        <v>20250612</v>
      </c>
      <c r="T333" s="14">
        <v>20250912</v>
      </c>
      <c r="U333" s="14">
        <v>20250916</v>
      </c>
      <c r="V333" s="14">
        <v>1.84E-2</v>
      </c>
      <c r="W333" s="14">
        <v>0.46378082191780823</v>
      </c>
      <c r="X333" s="14">
        <v>0.9824608745257547</v>
      </c>
      <c r="Y333" s="14">
        <v>20250612</v>
      </c>
      <c r="Z333" s="14">
        <v>20250912</v>
      </c>
      <c r="AA333" s="14">
        <v>20250916</v>
      </c>
      <c r="AB333" s="14">
        <v>3.9307839001370047E-2</v>
      </c>
      <c r="AC333" s="14">
        <v>1.0045336633683455</v>
      </c>
      <c r="AD333" s="14">
        <v>0.96839584644885923</v>
      </c>
      <c r="AG333" s="20">
        <v>52873</v>
      </c>
    </row>
    <row r="334" spans="18:33" x14ac:dyDescent="0.4">
      <c r="R334" s="15">
        <v>21</v>
      </c>
      <c r="S334" s="14">
        <v>20250912</v>
      </c>
      <c r="T334" s="14">
        <v>20251212</v>
      </c>
      <c r="U334" s="14">
        <v>20251216</v>
      </c>
      <c r="V334" s="14">
        <v>1.84E-2</v>
      </c>
      <c r="W334" s="14">
        <v>0.45873972602739721</v>
      </c>
      <c r="X334" s="14">
        <v>0.97848810988448698</v>
      </c>
      <c r="Y334" s="14">
        <v>20250912</v>
      </c>
      <c r="Z334" s="14">
        <v>20251212</v>
      </c>
      <c r="AA334" s="14">
        <v>20251216</v>
      </c>
      <c r="AB334" s="14">
        <v>3.8115538737094092E-2</v>
      </c>
      <c r="AC334" s="14">
        <v>0.96347611807654499</v>
      </c>
      <c r="AD334" s="14">
        <v>0.95916401323373646</v>
      </c>
      <c r="AG334" s="20">
        <v>52880</v>
      </c>
    </row>
    <row r="335" spans="18:33" x14ac:dyDescent="0.4">
      <c r="R335" s="15">
        <v>21</v>
      </c>
      <c r="S335" s="14">
        <v>20251212</v>
      </c>
      <c r="T335" s="14">
        <v>20260312</v>
      </c>
      <c r="U335" s="14">
        <v>20260316</v>
      </c>
      <c r="V335" s="14">
        <v>1.84E-2</v>
      </c>
      <c r="W335" s="14">
        <v>0.45369863013698625</v>
      </c>
      <c r="X335" s="14">
        <v>0.97397125187931066</v>
      </c>
      <c r="Y335" s="14">
        <v>20251212</v>
      </c>
      <c r="Z335" s="14">
        <v>20260312</v>
      </c>
      <c r="AA335" s="14">
        <v>20260316</v>
      </c>
      <c r="AB335" s="14">
        <v>3.7650041912233867E-2</v>
      </c>
      <c r="AC335" s="14">
        <v>0.94125104780584667</v>
      </c>
      <c r="AD335" s="14">
        <v>0.95022207032432959</v>
      </c>
      <c r="AG335" s="20">
        <v>52957</v>
      </c>
    </row>
    <row r="336" spans="18:33" x14ac:dyDescent="0.4">
      <c r="R336" s="15">
        <v>21</v>
      </c>
      <c r="S336" s="14">
        <v>20260312</v>
      </c>
      <c r="T336" s="14">
        <v>20260612</v>
      </c>
      <c r="U336" s="14">
        <v>20260616</v>
      </c>
      <c r="V336" s="14">
        <v>1.84E-2</v>
      </c>
      <c r="W336" s="14">
        <v>0.46378082191780823</v>
      </c>
      <c r="X336" s="14">
        <v>0.96962934720959448</v>
      </c>
      <c r="Y336" s="14">
        <v>20260312</v>
      </c>
      <c r="Z336" s="14">
        <v>20260612</v>
      </c>
      <c r="AA336" s="14">
        <v>20260616</v>
      </c>
      <c r="AB336" s="14">
        <v>3.6505589419326689E-2</v>
      </c>
      <c r="AC336" s="14">
        <v>0.93292061849390429</v>
      </c>
      <c r="AD336" s="14">
        <v>0.94145168001126112</v>
      </c>
      <c r="AG336" s="20">
        <v>52963</v>
      </c>
    </row>
    <row r="337" spans="18:33" x14ac:dyDescent="0.4">
      <c r="R337" s="15">
        <v>21</v>
      </c>
      <c r="S337" s="14">
        <v>20260612</v>
      </c>
      <c r="T337" s="14">
        <v>20260914</v>
      </c>
      <c r="U337" s="14">
        <v>20260916</v>
      </c>
      <c r="V337" s="14">
        <v>1.84E-2</v>
      </c>
      <c r="W337" s="14">
        <v>0.4738630136986301</v>
      </c>
      <c r="X337" s="14">
        <v>0.96527436697370961</v>
      </c>
      <c r="Y337" s="14">
        <v>20260612</v>
      </c>
      <c r="Z337" s="14">
        <v>20260914</v>
      </c>
      <c r="AA337" s="14">
        <v>20260916</v>
      </c>
      <c r="AB337" s="14">
        <v>3.665192740209311E-2</v>
      </c>
      <c r="AC337" s="14">
        <v>0.95702254883243132</v>
      </c>
      <c r="AD337" s="14">
        <v>0.93271013681990811</v>
      </c>
      <c r="AG337" s="20">
        <v>53022</v>
      </c>
    </row>
    <row r="338" spans="18:33" x14ac:dyDescent="0.4">
      <c r="R338" s="15">
        <v>21</v>
      </c>
      <c r="S338" s="14">
        <v>20260914</v>
      </c>
      <c r="T338" s="14">
        <v>20261214</v>
      </c>
      <c r="U338" s="14">
        <v>20261216</v>
      </c>
      <c r="V338" s="14">
        <v>1.84E-2</v>
      </c>
      <c r="W338" s="14">
        <v>0.45873972602739721</v>
      </c>
      <c r="X338" s="14">
        <v>0.96115573199374194</v>
      </c>
      <c r="Y338" s="14">
        <v>20260914</v>
      </c>
      <c r="Z338" s="14">
        <v>20261214</v>
      </c>
      <c r="AA338" s="14">
        <v>20261216</v>
      </c>
      <c r="AB338" s="14">
        <v>3.5895347904791812E-2</v>
      </c>
      <c r="AC338" s="14">
        <v>0.90735462759334862</v>
      </c>
      <c r="AD338" s="14">
        <v>0.92432726502282114</v>
      </c>
      <c r="AG338" s="20">
        <v>53083</v>
      </c>
    </row>
    <row r="339" spans="18:33" x14ac:dyDescent="0.4">
      <c r="R339" s="15">
        <v>21</v>
      </c>
      <c r="S339" s="14">
        <v>20261214</v>
      </c>
      <c r="T339" s="14">
        <v>20270312</v>
      </c>
      <c r="U339" s="14">
        <v>20270316</v>
      </c>
      <c r="V339" s="14">
        <v>1.84E-2</v>
      </c>
      <c r="W339" s="14">
        <v>0.44361643835616438</v>
      </c>
      <c r="X339" s="14">
        <v>0.95673227636049363</v>
      </c>
      <c r="Y339" s="14">
        <v>20261214</v>
      </c>
      <c r="Z339" s="14">
        <v>20270312</v>
      </c>
      <c r="AA339" s="14">
        <v>20270316</v>
      </c>
      <c r="AB339" s="14">
        <v>3.6467158129272738E-2</v>
      </c>
      <c r="AC339" s="14">
        <v>0.89141942093777793</v>
      </c>
      <c r="AD339" s="14">
        <v>0.915972896403355</v>
      </c>
      <c r="AG339" s="20">
        <v>53087</v>
      </c>
    </row>
    <row r="340" spans="18:33" x14ac:dyDescent="0.4">
      <c r="R340" s="15">
        <v>21</v>
      </c>
      <c r="S340" s="14">
        <v>20270312</v>
      </c>
      <c r="T340" s="14">
        <v>20270614</v>
      </c>
      <c r="U340" s="14">
        <v>20270616</v>
      </c>
      <c r="V340" s="14">
        <v>1.84E-2</v>
      </c>
      <c r="W340" s="14">
        <v>0.4738630136986301</v>
      </c>
      <c r="X340" s="14">
        <v>0.9522812889989285</v>
      </c>
      <c r="Y340" s="14">
        <v>20270312</v>
      </c>
      <c r="Z340" s="14">
        <v>20270614</v>
      </c>
      <c r="AA340" s="14">
        <v>20270616</v>
      </c>
      <c r="AB340" s="14">
        <v>3.6023325792759735E-2</v>
      </c>
      <c r="AC340" s="14">
        <v>0.94060906236650421</v>
      </c>
      <c r="AD340" s="14">
        <v>0.90762189050154718</v>
      </c>
      <c r="AG340" s="20">
        <v>53119</v>
      </c>
    </row>
    <row r="341" spans="18:33" x14ac:dyDescent="0.4">
      <c r="R341" s="15">
        <v>21</v>
      </c>
      <c r="S341" s="14">
        <v>20270614</v>
      </c>
      <c r="T341" s="14">
        <v>20270913</v>
      </c>
      <c r="U341" s="14">
        <v>20270920</v>
      </c>
      <c r="V341" s="14">
        <v>1.84E-2</v>
      </c>
      <c r="W341" s="14">
        <v>0.45873972602739721</v>
      </c>
      <c r="X341" s="14">
        <v>0.94771219825361941</v>
      </c>
      <c r="Y341" s="14">
        <v>20270614</v>
      </c>
      <c r="Z341" s="14">
        <v>20270913</v>
      </c>
      <c r="AA341" s="14">
        <v>20270920</v>
      </c>
      <c r="AB341" s="14">
        <v>3.5527171756109518E-2</v>
      </c>
      <c r="AC341" s="14">
        <v>0.89804795272387938</v>
      </c>
      <c r="AD341" s="14">
        <v>0.89910745629996247</v>
      </c>
      <c r="AG341" s="20">
        <v>53189</v>
      </c>
    </row>
    <row r="342" spans="18:33" x14ac:dyDescent="0.4">
      <c r="R342" s="15">
        <v>21</v>
      </c>
      <c r="S342" s="14">
        <v>20270913</v>
      </c>
      <c r="T342" s="14">
        <v>20271213</v>
      </c>
      <c r="U342" s="14">
        <v>20271215</v>
      </c>
      <c r="V342" s="14">
        <v>1.84E-2</v>
      </c>
      <c r="W342" s="14">
        <v>0.45873972602739721</v>
      </c>
      <c r="X342" s="14">
        <v>0.94368373780435177</v>
      </c>
      <c r="Y342" s="14">
        <v>20270913</v>
      </c>
      <c r="Z342" s="14">
        <v>20271213</v>
      </c>
      <c r="AA342" s="14">
        <v>20271215</v>
      </c>
      <c r="AB342" s="14">
        <v>3.5044424523607037E-2</v>
      </c>
      <c r="AC342" s="14">
        <v>0.88584517545784447</v>
      </c>
      <c r="AD342" s="14">
        <v>0.89164970448652192</v>
      </c>
      <c r="AG342" s="20">
        <v>53238</v>
      </c>
    </row>
    <row r="343" spans="18:33" x14ac:dyDescent="0.4">
      <c r="R343" s="15">
        <v>21</v>
      </c>
      <c r="S343" s="14">
        <v>20271213</v>
      </c>
      <c r="T343" s="14">
        <v>20280313</v>
      </c>
      <c r="U343" s="14">
        <v>20280315</v>
      </c>
      <c r="V343" s="14">
        <v>1.84E-2</v>
      </c>
      <c r="W343" s="14">
        <v>0.45873972602739721</v>
      </c>
      <c r="X343" s="14">
        <v>0.93944778580762001</v>
      </c>
      <c r="Y343" s="14">
        <v>20271213</v>
      </c>
      <c r="Z343" s="14">
        <v>20280313</v>
      </c>
      <c r="AA343" s="14">
        <v>20280315</v>
      </c>
      <c r="AB343" s="14">
        <v>3.5647286444950882E-2</v>
      </c>
      <c r="AC343" s="14">
        <v>0.90108418513625832</v>
      </c>
      <c r="AD343" s="14">
        <v>0.88368347566748184</v>
      </c>
      <c r="AG343" s="20">
        <v>53244</v>
      </c>
    </row>
    <row r="344" spans="18:33" x14ac:dyDescent="0.4">
      <c r="R344" s="15">
        <v>21</v>
      </c>
      <c r="S344" s="14">
        <v>20280313</v>
      </c>
      <c r="T344" s="14">
        <v>20280612</v>
      </c>
      <c r="U344" s="14">
        <v>20280614</v>
      </c>
      <c r="V344" s="14">
        <v>1.84E-2</v>
      </c>
      <c r="W344" s="14">
        <v>0.45873972602739721</v>
      </c>
      <c r="X344" s="14">
        <v>0.93527320518470214</v>
      </c>
      <c r="Y344" s="14">
        <v>20280313</v>
      </c>
      <c r="Z344" s="14">
        <v>20280612</v>
      </c>
      <c r="AA344" s="14">
        <v>20280614</v>
      </c>
      <c r="AB344" s="14">
        <v>3.5356958687746812E-2</v>
      </c>
      <c r="AC344" s="14">
        <v>0.89374534460693322</v>
      </c>
      <c r="AD344" s="14">
        <v>0.87585706618054726</v>
      </c>
      <c r="AG344" s="20">
        <v>53321</v>
      </c>
    </row>
    <row r="345" spans="18:33" x14ac:dyDescent="0.4">
      <c r="R345" s="15">
        <v>21</v>
      </c>
      <c r="S345" s="14">
        <v>20280612</v>
      </c>
      <c r="T345" s="14">
        <v>20280912</v>
      </c>
      <c r="U345" s="14">
        <v>20280914</v>
      </c>
      <c r="V345" s="14">
        <v>1.84E-2</v>
      </c>
      <c r="W345" s="14">
        <v>0.46378082191780823</v>
      </c>
      <c r="X345" s="14">
        <v>0.93111447358942956</v>
      </c>
      <c r="Y345" s="14">
        <v>20280612</v>
      </c>
      <c r="Z345" s="14">
        <v>20280912</v>
      </c>
      <c r="AA345" s="14">
        <v>20280914</v>
      </c>
      <c r="AB345" s="14">
        <v>3.5044106704373086E-2</v>
      </c>
      <c r="AC345" s="14">
        <v>0.89557161577842326</v>
      </c>
      <c r="AD345" s="14">
        <v>0.86808427517649245</v>
      </c>
      <c r="AG345" s="20">
        <v>53328</v>
      </c>
    </row>
    <row r="346" spans="18:33" x14ac:dyDescent="0.4">
      <c r="R346" s="15">
        <v>21</v>
      </c>
      <c r="S346" s="14">
        <v>20280912</v>
      </c>
      <c r="T346" s="14">
        <v>20281212</v>
      </c>
      <c r="U346" s="14">
        <v>20281214</v>
      </c>
      <c r="V346" s="14">
        <v>1.84E-2</v>
      </c>
      <c r="W346" s="14">
        <v>0.45873972602739721</v>
      </c>
      <c r="X346" s="14">
        <v>0.92706135352108632</v>
      </c>
      <c r="Y346" s="14">
        <v>20280912</v>
      </c>
      <c r="Z346" s="14">
        <v>20281212</v>
      </c>
      <c r="AA346" s="14">
        <v>20281214</v>
      </c>
      <c r="AB346" s="14">
        <v>3.4727878398949613E-2</v>
      </c>
      <c r="AC346" s="14">
        <v>0.87784359286233737</v>
      </c>
      <c r="AD346" s="14">
        <v>0.86053164863011777</v>
      </c>
      <c r="AG346" s="20">
        <v>53387</v>
      </c>
    </row>
    <row r="347" spans="18:33" x14ac:dyDescent="0.4">
      <c r="R347" s="15">
        <v>21</v>
      </c>
      <c r="S347" s="14">
        <v>20281212</v>
      </c>
      <c r="T347" s="14">
        <v>20290312</v>
      </c>
      <c r="U347" s="14">
        <v>20290314</v>
      </c>
      <c r="V347" s="14">
        <v>1.84E-2</v>
      </c>
      <c r="W347" s="14">
        <v>0.45369863013698625</v>
      </c>
      <c r="X347" s="14">
        <v>0.92290911396968633</v>
      </c>
      <c r="Y347" s="14">
        <v>20281212</v>
      </c>
      <c r="Z347" s="14">
        <v>20290312</v>
      </c>
      <c r="AA347" s="14">
        <v>20290314</v>
      </c>
      <c r="AB347" s="14">
        <v>3.543628345363814E-2</v>
      </c>
      <c r="AC347" s="14">
        <v>0.8859070863409535</v>
      </c>
      <c r="AD347" s="14">
        <v>0.85297134492395654</v>
      </c>
      <c r="AG347" s="20">
        <v>53448</v>
      </c>
    </row>
    <row r="348" spans="18:33" x14ac:dyDescent="0.4">
      <c r="R348" s="15">
        <v>21</v>
      </c>
      <c r="S348" s="14">
        <v>20290312</v>
      </c>
      <c r="T348" s="14">
        <v>20290612</v>
      </c>
      <c r="U348" s="14">
        <v>20290614</v>
      </c>
      <c r="V348" s="14">
        <v>1.84E-2</v>
      </c>
      <c r="W348" s="14">
        <v>0.46378082191780823</v>
      </c>
      <c r="X348" s="14">
        <v>0.91870181781535598</v>
      </c>
      <c r="Y348" s="14">
        <v>20290312</v>
      </c>
      <c r="Z348" s="14">
        <v>20290612</v>
      </c>
      <c r="AA348" s="14">
        <v>20290614</v>
      </c>
      <c r="AB348" s="14">
        <v>3.5271177168033775E-2</v>
      </c>
      <c r="AC348" s="14">
        <v>0.90137452762752979</v>
      </c>
      <c r="AD348" s="14">
        <v>0.84535245745771204</v>
      </c>
      <c r="AG348" s="20">
        <v>53454</v>
      </c>
    </row>
    <row r="349" spans="18:33" x14ac:dyDescent="0.4">
      <c r="R349" s="15">
        <v>21</v>
      </c>
      <c r="S349" s="14">
        <v>20290612</v>
      </c>
      <c r="T349" s="14">
        <v>20290912</v>
      </c>
      <c r="U349" s="14">
        <v>20290914</v>
      </c>
      <c r="V349" s="14">
        <v>1.84E-2</v>
      </c>
      <c r="W349" s="14">
        <v>0.46378082191780823</v>
      </c>
      <c r="X349" s="14">
        <v>0.91453181070083656</v>
      </c>
      <c r="Y349" s="14">
        <v>20290612</v>
      </c>
      <c r="Z349" s="14">
        <v>20290912</v>
      </c>
      <c r="AA349" s="14">
        <v>20290914</v>
      </c>
      <c r="AB349" s="14">
        <v>3.5078639927735716E-2</v>
      </c>
      <c r="AC349" s="14">
        <v>0.89645413148657926</v>
      </c>
      <c r="AD349" s="14">
        <v>0.83784248010644946</v>
      </c>
      <c r="AG349" s="20">
        <v>53484</v>
      </c>
    </row>
    <row r="350" spans="18:33" x14ac:dyDescent="0.4">
      <c r="R350" s="15">
        <v>21</v>
      </c>
      <c r="S350" s="14">
        <v>20290912</v>
      </c>
      <c r="T350" s="14">
        <v>20291212</v>
      </c>
      <c r="U350" s="14">
        <v>20291214</v>
      </c>
      <c r="V350" s="14">
        <v>1.84E-2</v>
      </c>
      <c r="W350" s="14">
        <v>0.45873972602739721</v>
      </c>
      <c r="X350" s="14">
        <v>0.9104434855978476</v>
      </c>
      <c r="Y350" s="14">
        <v>20290912</v>
      </c>
      <c r="Z350" s="14">
        <v>20291212</v>
      </c>
      <c r="AA350" s="14">
        <v>20291214</v>
      </c>
      <c r="AB350" s="14">
        <v>3.4885473017893777E-2</v>
      </c>
      <c r="AC350" s="14">
        <v>0.88182723461898149</v>
      </c>
      <c r="AD350" s="14">
        <v>0.83051961055272827</v>
      </c>
      <c r="AG350" s="20">
        <v>53554</v>
      </c>
    </row>
    <row r="351" spans="18:33" x14ac:dyDescent="0.4">
      <c r="R351" s="15">
        <v>21</v>
      </c>
      <c r="S351" s="14">
        <v>20291212</v>
      </c>
      <c r="T351" s="14">
        <v>20300312</v>
      </c>
      <c r="U351" s="14">
        <v>20300314</v>
      </c>
      <c r="V351" s="14">
        <v>1.84E-2</v>
      </c>
      <c r="W351" s="14">
        <v>0.45369863013698625</v>
      </c>
      <c r="X351" s="14">
        <v>0.90619009715106424</v>
      </c>
      <c r="Y351" s="14">
        <v>20291212</v>
      </c>
      <c r="Z351" s="14">
        <v>20300312</v>
      </c>
      <c r="AA351" s="14">
        <v>20300314</v>
      </c>
      <c r="AB351" s="14">
        <v>3.5803934099056356E-2</v>
      </c>
      <c r="AC351" s="14">
        <v>0.8950983524764089</v>
      </c>
      <c r="AD351" s="14">
        <v>0.82314706276071026</v>
      </c>
      <c r="AG351" s="20">
        <v>53603</v>
      </c>
    </row>
    <row r="352" spans="18:33" x14ac:dyDescent="0.4">
      <c r="R352" s="15">
        <v>21</v>
      </c>
      <c r="S352" s="14">
        <v>20300312</v>
      </c>
      <c r="T352" s="14">
        <v>20300612</v>
      </c>
      <c r="U352" s="14">
        <v>20300614</v>
      </c>
      <c r="V352" s="14">
        <v>1.84E-2</v>
      </c>
      <c r="W352" s="14">
        <v>0.46378082191780823</v>
      </c>
      <c r="X352" s="14">
        <v>0.90185674419715978</v>
      </c>
      <c r="Y352" s="14">
        <v>20300312</v>
      </c>
      <c r="Z352" s="14">
        <v>20300612</v>
      </c>
      <c r="AA352" s="14">
        <v>20300614</v>
      </c>
      <c r="AB352" s="14">
        <v>3.5748759544124202E-2</v>
      </c>
      <c r="AC352" s="14">
        <v>0.91357941057206293</v>
      </c>
      <c r="AD352" s="14">
        <v>0.81569541656398015</v>
      </c>
      <c r="AG352" s="20">
        <v>53609</v>
      </c>
    </row>
    <row r="353" spans="18:33" x14ac:dyDescent="0.4">
      <c r="R353" s="15">
        <v>21</v>
      </c>
      <c r="S353" s="14">
        <v>20300612</v>
      </c>
      <c r="T353" s="14">
        <v>20300916</v>
      </c>
      <c r="U353" s="14">
        <v>20300918</v>
      </c>
      <c r="V353" s="14">
        <v>1.84E-2</v>
      </c>
      <c r="W353" s="14">
        <v>0.48394520547945197</v>
      </c>
      <c r="X353" s="14">
        <v>0.89735066006463637</v>
      </c>
      <c r="Y353" s="14">
        <v>20300612</v>
      </c>
      <c r="Z353" s="14">
        <v>20300912</v>
      </c>
      <c r="AA353" s="14">
        <v>20300918</v>
      </c>
      <c r="AB353" s="14">
        <v>3.567031262192738E-2</v>
      </c>
      <c r="AC353" s="14">
        <v>0.95120833658473014</v>
      </c>
      <c r="AD353" s="14">
        <v>0.80800995063938141</v>
      </c>
      <c r="AG353" s="20">
        <v>53686</v>
      </c>
    </row>
    <row r="354" spans="18:33" x14ac:dyDescent="0.4">
      <c r="R354" s="15">
        <v>21</v>
      </c>
      <c r="S354" s="14">
        <v>20300916</v>
      </c>
      <c r="T354" s="14">
        <v>20301212</v>
      </c>
      <c r="U354" s="14">
        <v>20301216</v>
      </c>
      <c r="V354" s="14">
        <v>1.84E-2</v>
      </c>
      <c r="W354" s="14">
        <v>0.43857534246575336</v>
      </c>
      <c r="X354" s="14">
        <v>0.89318743280872581</v>
      </c>
      <c r="Y354" s="14">
        <v>20300916</v>
      </c>
      <c r="Z354" s="14">
        <v>20301212</v>
      </c>
      <c r="AA354" s="14">
        <v>20301216</v>
      </c>
      <c r="AB354" s="14">
        <v>3.5571286935239081E-2</v>
      </c>
      <c r="AC354" s="14">
        <v>0.85963943426827782</v>
      </c>
      <c r="AD354" s="14">
        <v>0.80096609080747205</v>
      </c>
      <c r="AG354" s="20">
        <v>53693</v>
      </c>
    </row>
    <row r="355" spans="18:33" x14ac:dyDescent="0.4">
      <c r="R355" s="15">
        <v>21</v>
      </c>
      <c r="S355" s="14">
        <v>20301212</v>
      </c>
      <c r="T355" s="14">
        <v>20310312</v>
      </c>
      <c r="U355" s="14">
        <v>20310314</v>
      </c>
      <c r="V355" s="14">
        <v>1.84E-2</v>
      </c>
      <c r="W355" s="14">
        <v>0.45369863013698625</v>
      </c>
      <c r="X355" s="14">
        <v>0.88908516418005434</v>
      </c>
      <c r="Y355" s="14">
        <v>20301212</v>
      </c>
      <c r="Z355" s="14">
        <v>20310312</v>
      </c>
      <c r="AA355" s="14">
        <v>20310314</v>
      </c>
      <c r="AB355" s="14">
        <v>3.5982207828288537E-2</v>
      </c>
      <c r="AC355" s="14">
        <v>0.89955519570721343</v>
      </c>
      <c r="AD355" s="14">
        <v>0.79397927730487272</v>
      </c>
      <c r="AG355" s="20">
        <v>53752</v>
      </c>
    </row>
    <row r="356" spans="18:33" x14ac:dyDescent="0.4">
      <c r="R356" s="15">
        <v>21</v>
      </c>
      <c r="S356" s="14">
        <v>20310312</v>
      </c>
      <c r="T356" s="14">
        <v>20310612</v>
      </c>
      <c r="U356" s="14">
        <v>20310616</v>
      </c>
      <c r="V356" s="14">
        <v>1.84E-2</v>
      </c>
      <c r="W356" s="14">
        <v>0.46378082191780823</v>
      </c>
      <c r="X356" s="14">
        <v>0.8847180661505506</v>
      </c>
      <c r="Y356" s="14">
        <v>20310312</v>
      </c>
      <c r="Z356" s="14">
        <v>20310612</v>
      </c>
      <c r="AA356" s="14">
        <v>20310616</v>
      </c>
      <c r="AB356" s="14">
        <v>3.5965316700576615E-2</v>
      </c>
      <c r="AC356" s="14">
        <v>0.91911364901473558</v>
      </c>
      <c r="AD356" s="14">
        <v>0.78659198620247639</v>
      </c>
      <c r="AG356" s="20">
        <v>53813</v>
      </c>
    </row>
    <row r="357" spans="18:33" x14ac:dyDescent="0.4">
      <c r="R357" s="15">
        <v>21</v>
      </c>
      <c r="S357" s="14">
        <v>20310612</v>
      </c>
      <c r="T357" s="14">
        <v>20310912</v>
      </c>
      <c r="U357" s="14">
        <v>20310916</v>
      </c>
      <c r="V357" s="14">
        <v>1.84E-2</v>
      </c>
      <c r="W357" s="14">
        <v>0.46378082191780823</v>
      </c>
      <c r="X357" s="14">
        <v>0.88045874515845013</v>
      </c>
      <c r="Y357" s="14">
        <v>20310612</v>
      </c>
      <c r="Z357" s="14">
        <v>20310912</v>
      </c>
      <c r="AA357" s="14">
        <v>20310916</v>
      </c>
      <c r="AB357" s="14">
        <v>3.5922651100779114E-2</v>
      </c>
      <c r="AC357" s="14">
        <v>0.91802330590879944</v>
      </c>
      <c r="AD357" s="14">
        <v>0.77943694291121279</v>
      </c>
      <c r="AG357" s="20">
        <v>53818</v>
      </c>
    </row>
    <row r="358" spans="18:33" x14ac:dyDescent="0.4">
      <c r="R358" s="15">
        <v>21</v>
      </c>
      <c r="S358" s="14">
        <v>20310912</v>
      </c>
      <c r="T358" s="14">
        <v>20311212</v>
      </c>
      <c r="U358" s="14">
        <v>20311216</v>
      </c>
      <c r="V358" s="14">
        <v>1.84E-2</v>
      </c>
      <c r="W358" s="14">
        <v>0.45873972602739721</v>
      </c>
      <c r="X358" s="14">
        <v>0.87626016845347043</v>
      </c>
      <c r="Y358" s="14">
        <v>20310912</v>
      </c>
      <c r="Z358" s="14">
        <v>20311212</v>
      </c>
      <c r="AA358" s="14">
        <v>20311216</v>
      </c>
      <c r="AB358" s="14">
        <v>3.5878435293902909E-2</v>
      </c>
      <c r="AC358" s="14">
        <v>0.90692711437365681</v>
      </c>
      <c r="AD358" s="14">
        <v>0.77243191063230876</v>
      </c>
      <c r="AG358" s="20">
        <v>53849</v>
      </c>
    </row>
    <row r="359" spans="18:33" x14ac:dyDescent="0.4">
      <c r="R359" s="15">
        <v>21</v>
      </c>
      <c r="S359" s="14">
        <v>20311212</v>
      </c>
      <c r="T359" s="14">
        <v>20320312</v>
      </c>
      <c r="U359" s="14">
        <v>20320316</v>
      </c>
      <c r="V359" s="14">
        <v>1.84E-2</v>
      </c>
      <c r="W359" s="14">
        <v>0.45873972602739721</v>
      </c>
      <c r="X359" s="14">
        <v>0.87216086783321656</v>
      </c>
      <c r="Y359" s="14">
        <v>20311212</v>
      </c>
      <c r="Z359" s="14">
        <v>20320312</v>
      </c>
      <c r="AA359" s="14">
        <v>20320316</v>
      </c>
      <c r="AB359" s="14">
        <v>3.6345272880791271E-2</v>
      </c>
      <c r="AC359" s="14">
        <v>0.91872773115333484</v>
      </c>
      <c r="AD359" s="14">
        <v>0.7653956832121831</v>
      </c>
      <c r="AG359" s="20">
        <v>53919</v>
      </c>
    </row>
    <row r="360" spans="18:33" x14ac:dyDescent="0.4">
      <c r="R360" s="15">
        <v>21</v>
      </c>
      <c r="S360" s="14">
        <v>20320312</v>
      </c>
      <c r="T360" s="14">
        <v>20320614</v>
      </c>
      <c r="U360" s="14">
        <v>20320616</v>
      </c>
      <c r="V360" s="14">
        <v>1.84E-2</v>
      </c>
      <c r="W360" s="14">
        <v>0.4738630136986301</v>
      </c>
      <c r="X360" s="14">
        <v>0.86803617433212443</v>
      </c>
      <c r="Y360" s="14">
        <v>20320312</v>
      </c>
      <c r="Z360" s="14">
        <v>20320614</v>
      </c>
      <c r="AA360" s="14">
        <v>20320616</v>
      </c>
      <c r="AB360" s="14">
        <v>3.6367656269225002E-2</v>
      </c>
      <c r="AC360" s="14">
        <v>0.9495999136964306</v>
      </c>
      <c r="AD360" s="14">
        <v>0.75834837196605331</v>
      </c>
      <c r="AG360" s="20">
        <v>53968</v>
      </c>
    </row>
    <row r="361" spans="18:33" x14ac:dyDescent="0.4">
      <c r="R361" s="15">
        <v>21</v>
      </c>
      <c r="S361" s="14">
        <v>20320614</v>
      </c>
      <c r="T361" s="14">
        <v>20320913</v>
      </c>
      <c r="U361" s="14">
        <v>20320915</v>
      </c>
      <c r="V361" s="14">
        <v>1.84E-2</v>
      </c>
      <c r="W361" s="14">
        <v>0.45873972602739721</v>
      </c>
      <c r="X361" s="14">
        <v>0.8639756624327497</v>
      </c>
      <c r="Y361" s="14">
        <v>20320614</v>
      </c>
      <c r="Z361" s="14">
        <v>20320913</v>
      </c>
      <c r="AA361" s="14">
        <v>20320915</v>
      </c>
      <c r="AB361" s="14">
        <v>3.635645237501569E-2</v>
      </c>
      <c r="AC361" s="14">
        <v>0.91901032392400772</v>
      </c>
      <c r="AD361" s="14">
        <v>0.75144256070952442</v>
      </c>
      <c r="AG361" s="20">
        <v>53974</v>
      </c>
    </row>
    <row r="362" spans="18:33" x14ac:dyDescent="0.4">
      <c r="R362" s="15">
        <v>21</v>
      </c>
      <c r="S362" s="14">
        <v>20320913</v>
      </c>
      <c r="T362" s="14">
        <v>20321213</v>
      </c>
      <c r="U362" s="14">
        <v>20321215</v>
      </c>
      <c r="V362" s="14">
        <v>1.84E-2</v>
      </c>
      <c r="W362" s="14">
        <v>0.45873972602739721</v>
      </c>
      <c r="X362" s="14">
        <v>0.85993430096618129</v>
      </c>
      <c r="Y362" s="14">
        <v>20320913</v>
      </c>
      <c r="Z362" s="14">
        <v>20321213</v>
      </c>
      <c r="AA362" s="14">
        <v>20321215</v>
      </c>
      <c r="AB362" s="14">
        <v>3.6350834044769818E-2</v>
      </c>
      <c r="AC362" s="14">
        <v>0.91886830502057038</v>
      </c>
      <c r="AD362" s="14">
        <v>0.74460068426401982</v>
      </c>
      <c r="AG362" s="20">
        <v>54051</v>
      </c>
    </row>
    <row r="363" spans="18:33" x14ac:dyDescent="0.4">
      <c r="R363" s="15">
        <v>21</v>
      </c>
      <c r="S363" s="14">
        <v>20321213</v>
      </c>
      <c r="T363" s="14">
        <v>20330314</v>
      </c>
      <c r="U363" s="14">
        <v>20330316</v>
      </c>
      <c r="V363" s="14">
        <v>1.84E-2</v>
      </c>
      <c r="W363" s="14">
        <v>0.45873972602739721</v>
      </c>
      <c r="X363" s="14">
        <v>0.85600623289144451</v>
      </c>
      <c r="Y363" s="14">
        <v>20321213</v>
      </c>
      <c r="Z363" s="14">
        <v>20330314</v>
      </c>
      <c r="AA363" s="14">
        <v>20330316</v>
      </c>
      <c r="AB363" s="14">
        <v>3.6691174666200164E-2</v>
      </c>
      <c r="AC363" s="14">
        <v>0.92747135961783744</v>
      </c>
      <c r="AD363" s="14">
        <v>0.73775673126790764</v>
      </c>
      <c r="AG363" s="20">
        <v>54058</v>
      </c>
    </row>
    <row r="364" spans="18:33" x14ac:dyDescent="0.4">
      <c r="R364" s="15">
        <v>21</v>
      </c>
      <c r="S364" s="14">
        <v>20330314</v>
      </c>
      <c r="T364" s="14">
        <v>20330613</v>
      </c>
      <c r="U364" s="14">
        <v>20330615</v>
      </c>
      <c r="V364" s="14">
        <v>1.84E-2</v>
      </c>
      <c r="W364" s="14">
        <v>0.45873972602739721</v>
      </c>
      <c r="X364" s="14">
        <v>0.85210191955002301</v>
      </c>
      <c r="Y364" s="14">
        <v>20330314</v>
      </c>
      <c r="Z364" s="14">
        <v>20330613</v>
      </c>
      <c r="AA364" s="14">
        <v>20330615</v>
      </c>
      <c r="AB364" s="14">
        <v>3.6714442942515108E-2</v>
      </c>
      <c r="AC364" s="14">
        <v>0.92805952993579854</v>
      </c>
      <c r="AD364" s="14">
        <v>0.73097280462183711</v>
      </c>
      <c r="AG364" s="20">
        <v>54119</v>
      </c>
    </row>
    <row r="365" spans="18:33" x14ac:dyDescent="0.4">
      <c r="R365" s="15">
        <v>21</v>
      </c>
      <c r="S365" s="14">
        <v>20330613</v>
      </c>
      <c r="T365" s="14">
        <v>20330912</v>
      </c>
      <c r="U365" s="14">
        <v>20330914</v>
      </c>
      <c r="V365" s="14">
        <v>1.84E-2</v>
      </c>
      <c r="W365" s="14">
        <v>0.45873972602739721</v>
      </c>
      <c r="X365" s="14">
        <v>0.8482211994564024</v>
      </c>
      <c r="Y365" s="14">
        <v>20330613</v>
      </c>
      <c r="Z365" s="14">
        <v>20330912</v>
      </c>
      <c r="AA365" s="14">
        <v>20330914</v>
      </c>
      <c r="AB365" s="14">
        <v>3.6730171159862532E-2</v>
      </c>
      <c r="AC365" s="14">
        <v>0.92845710431874728</v>
      </c>
      <c r="AD365" s="14">
        <v>0.72424840556325143</v>
      </c>
      <c r="AG365" s="20">
        <v>54179</v>
      </c>
    </row>
    <row r="366" spans="18:33" x14ac:dyDescent="0.4">
      <c r="R366" s="15">
        <v>21</v>
      </c>
      <c r="S366" s="14">
        <v>20330912</v>
      </c>
      <c r="T366" s="14">
        <v>20331212</v>
      </c>
      <c r="U366" s="14">
        <v>20331214</v>
      </c>
      <c r="V366" s="14">
        <v>1.84E-2</v>
      </c>
      <c r="W366" s="14">
        <v>0.45873972602739721</v>
      </c>
      <c r="X366" s="14">
        <v>0.84436391234273123</v>
      </c>
      <c r="Y366" s="14">
        <v>20330912</v>
      </c>
      <c r="Z366" s="14">
        <v>20331212</v>
      </c>
      <c r="AA366" s="14">
        <v>20331214</v>
      </c>
      <c r="AB366" s="14">
        <v>3.674589943917006E-2</v>
      </c>
      <c r="AC366" s="14">
        <v>0.92885468026790985</v>
      </c>
      <c r="AD366" s="14">
        <v>0.7175830392166278</v>
      </c>
      <c r="AG366" s="20">
        <v>54183</v>
      </c>
    </row>
    <row r="367" spans="18:33" x14ac:dyDescent="0.4">
      <c r="R367" s="15">
        <v>21</v>
      </c>
      <c r="S367" s="14">
        <v>20331212</v>
      </c>
      <c r="T367" s="14">
        <v>20340313</v>
      </c>
      <c r="U367" s="14">
        <v>20340315</v>
      </c>
      <c r="V367" s="14">
        <v>1.84E-2</v>
      </c>
      <c r="W367" s="14">
        <v>0.45873972602739721</v>
      </c>
      <c r="X367" s="14">
        <v>0.84000003431610726</v>
      </c>
      <c r="Y367" s="14">
        <v>20331212</v>
      </c>
      <c r="Z367" s="14">
        <v>20340313</v>
      </c>
      <c r="AA367" s="14">
        <v>20340315</v>
      </c>
      <c r="AB367" s="14">
        <v>3.7162514371449282E-2</v>
      </c>
      <c r="AC367" s="14">
        <v>0.93938577994496786</v>
      </c>
      <c r="AD367" s="14">
        <v>0.71090319106942368</v>
      </c>
      <c r="AG367" s="20">
        <v>54215</v>
      </c>
    </row>
    <row r="368" spans="18:33" x14ac:dyDescent="0.4">
      <c r="R368" s="15">
        <v>21</v>
      </c>
      <c r="S368" s="14">
        <v>20340313</v>
      </c>
      <c r="T368" s="14">
        <v>20340612</v>
      </c>
      <c r="U368" s="14">
        <v>20340614</v>
      </c>
      <c r="V368" s="14">
        <v>1.84E-2</v>
      </c>
      <c r="W368" s="14">
        <v>0.45873972602739721</v>
      </c>
      <c r="X368" s="14">
        <v>0.83563605187680767</v>
      </c>
      <c r="Y368" s="14">
        <v>20340313</v>
      </c>
      <c r="Z368" s="14">
        <v>20340612</v>
      </c>
      <c r="AA368" s="14">
        <v>20340614</v>
      </c>
      <c r="AB368" s="14">
        <v>3.720908357250291E-2</v>
      </c>
      <c r="AC368" s="14">
        <v>0.94056294586049027</v>
      </c>
      <c r="AD368" s="14">
        <v>0.70427885719366079</v>
      </c>
      <c r="AG368" s="20">
        <v>54287</v>
      </c>
    </row>
    <row r="369" spans="18:33" x14ac:dyDescent="0.4">
      <c r="R369" s="15">
        <v>21</v>
      </c>
      <c r="S369" s="14">
        <v>20340612</v>
      </c>
      <c r="T369" s="14">
        <v>20340912</v>
      </c>
      <c r="U369" s="14">
        <v>20340914</v>
      </c>
      <c r="V369" s="14">
        <v>1.84E-2</v>
      </c>
      <c r="W369" s="14">
        <v>0.46378082191780823</v>
      </c>
      <c r="X369" s="14">
        <v>0.83122424881500512</v>
      </c>
      <c r="Y369" s="14">
        <v>20340612</v>
      </c>
      <c r="Z369" s="14">
        <v>20340912</v>
      </c>
      <c r="AA369" s="14">
        <v>20340914</v>
      </c>
      <c r="AB369" s="14">
        <v>3.7249015161941824E-2</v>
      </c>
      <c r="AC369" s="14">
        <v>0.95191927636073537</v>
      </c>
      <c r="AD369" s="14">
        <v>0.69763776072866024</v>
      </c>
      <c r="AG369" s="20">
        <v>54336</v>
      </c>
    </row>
    <row r="370" spans="18:33" x14ac:dyDescent="0.4">
      <c r="R370" s="15">
        <v>21</v>
      </c>
      <c r="S370" s="14">
        <v>20340912</v>
      </c>
      <c r="T370" s="14">
        <v>20341212</v>
      </c>
      <c r="U370" s="14">
        <v>20341214</v>
      </c>
      <c r="V370" s="14">
        <v>1.84E-2</v>
      </c>
      <c r="W370" s="14">
        <v>0.45873972602739721</v>
      </c>
      <c r="X370" s="14">
        <v>0.82686077137997505</v>
      </c>
      <c r="Y370" s="14">
        <v>20340912</v>
      </c>
      <c r="Z370" s="14">
        <v>20341212</v>
      </c>
      <c r="AA370" s="14">
        <v>20341214</v>
      </c>
      <c r="AB370" s="14">
        <v>3.7285105280239733E-2</v>
      </c>
      <c r="AC370" s="14">
        <v>0.94248460569494874</v>
      </c>
      <c r="AD370" s="14">
        <v>0.69112387940945996</v>
      </c>
      <c r="AG370" s="20">
        <v>54340</v>
      </c>
    </row>
    <row r="371" spans="18:33" x14ac:dyDescent="0.4">
      <c r="R371" s="15">
        <v>21</v>
      </c>
      <c r="S371" s="14">
        <v>20341212</v>
      </c>
      <c r="T371" s="14">
        <v>20350312</v>
      </c>
      <c r="U371" s="14">
        <v>20350314</v>
      </c>
      <c r="V371" s="14">
        <v>1.84E-2</v>
      </c>
      <c r="W371" s="14">
        <v>0.45369863013698625</v>
      </c>
      <c r="X371" s="14">
        <v>0.82300626315606429</v>
      </c>
      <c r="Y371" s="14">
        <v>20341212</v>
      </c>
      <c r="Z371" s="14">
        <v>20350312</v>
      </c>
      <c r="AA371" s="14">
        <v>20350314</v>
      </c>
      <c r="AB371" s="14">
        <v>3.7723281562690225E-2</v>
      </c>
      <c r="AC371" s="14">
        <v>0.94308203906725563</v>
      </c>
      <c r="AD371" s="14">
        <v>0.68466517932266679</v>
      </c>
      <c r="AG371" s="20">
        <v>54417</v>
      </c>
    </row>
    <row r="372" spans="18:33" x14ac:dyDescent="0.4">
      <c r="R372" s="15">
        <v>21</v>
      </c>
      <c r="S372" s="14">
        <v>20350312</v>
      </c>
      <c r="T372" s="14">
        <v>20350612</v>
      </c>
      <c r="U372" s="14">
        <v>20350614</v>
      </c>
      <c r="V372" s="14">
        <v>1.84E-2</v>
      </c>
      <c r="W372" s="14">
        <v>0.46378082191780823</v>
      </c>
      <c r="X372" s="14">
        <v>0.81908498157077259</v>
      </c>
      <c r="Y372" s="14">
        <v>20350312</v>
      </c>
      <c r="Z372" s="14">
        <v>20350612</v>
      </c>
      <c r="AA372" s="14">
        <v>20350614</v>
      </c>
      <c r="AB372" s="14">
        <v>3.7793981155064514E-2</v>
      </c>
      <c r="AC372" s="14">
        <v>0.96584618507387088</v>
      </c>
      <c r="AD372" s="14">
        <v>0.67811540727787045</v>
      </c>
      <c r="AG372" s="20">
        <v>54424</v>
      </c>
    </row>
    <row r="373" spans="18:33" x14ac:dyDescent="0.4">
      <c r="R373" s="15">
        <v>21</v>
      </c>
      <c r="S373" s="14">
        <v>20350612</v>
      </c>
      <c r="T373" s="14">
        <v>20350912</v>
      </c>
      <c r="U373" s="14">
        <v>20350914</v>
      </c>
      <c r="V373" s="14">
        <v>1.84E-2</v>
      </c>
      <c r="W373" s="14">
        <v>0.46378082191780823</v>
      </c>
      <c r="X373" s="14">
        <v>0.81518269657878739</v>
      </c>
      <c r="Y373" s="14">
        <v>20350612</v>
      </c>
      <c r="Z373" s="14">
        <v>20350912</v>
      </c>
      <c r="AA373" s="14">
        <v>20350914</v>
      </c>
      <c r="AB373" s="14">
        <v>3.7852445928708608E-2</v>
      </c>
      <c r="AC373" s="14">
        <v>0.96734028484477541</v>
      </c>
      <c r="AD373" s="14">
        <v>0.6716183542308064</v>
      </c>
      <c r="AG373" s="20">
        <v>54483</v>
      </c>
    </row>
    <row r="374" spans="18:33" x14ac:dyDescent="0.4">
      <c r="R374" s="15">
        <v>21</v>
      </c>
      <c r="S374" s="14">
        <v>20350912</v>
      </c>
      <c r="T374" s="14">
        <v>20351212</v>
      </c>
      <c r="U374" s="14">
        <v>20351214</v>
      </c>
      <c r="V374" s="14">
        <v>1.84E-2</v>
      </c>
      <c r="W374" s="14">
        <v>0.45873972602739721</v>
      </c>
      <c r="X374" s="14">
        <v>0.81134142407115517</v>
      </c>
      <c r="Y374" s="14">
        <v>20350912</v>
      </c>
      <c r="Z374" s="14">
        <v>20351212</v>
      </c>
      <c r="AA374" s="14">
        <v>20351214</v>
      </c>
      <c r="AB374" s="14">
        <v>3.7908604172672944E-2</v>
      </c>
      <c r="AC374" s="14">
        <v>0.95824527214256605</v>
      </c>
      <c r="AD374" s="14">
        <v>0.66524347636265169</v>
      </c>
      <c r="AG374" s="20">
        <v>54544</v>
      </c>
    </row>
    <row r="375" spans="18:33" x14ac:dyDescent="0.4">
      <c r="R375" s="15">
        <v>21</v>
      </c>
      <c r="S375" s="14">
        <v>20351212</v>
      </c>
      <c r="T375" s="14">
        <v>20360312</v>
      </c>
      <c r="U375" s="14">
        <v>20360314</v>
      </c>
      <c r="V375" s="14">
        <v>1.84E-2</v>
      </c>
      <c r="W375" s="14">
        <v>0.45873972602739721</v>
      </c>
      <c r="X375" s="14">
        <v>0.80801738270087431</v>
      </c>
      <c r="Y375" s="14">
        <v>20351212</v>
      </c>
      <c r="Z375" s="14">
        <v>20360312</v>
      </c>
      <c r="AA375" s="14">
        <v>20360314</v>
      </c>
      <c r="AB375" s="14">
        <v>3.7966429096890644E-2</v>
      </c>
      <c r="AC375" s="14">
        <v>0.95970695772695791</v>
      </c>
      <c r="AD375" s="14">
        <v>0.65891956774596983</v>
      </c>
      <c r="AG375" s="20">
        <v>54548</v>
      </c>
    </row>
    <row r="376" spans="18:33" x14ac:dyDescent="0.4">
      <c r="R376" s="15">
        <v>21</v>
      </c>
      <c r="S376" s="14">
        <v>20360312</v>
      </c>
      <c r="T376" s="14">
        <v>20360612</v>
      </c>
      <c r="U376" s="14">
        <v>20360616</v>
      </c>
      <c r="V376" s="14">
        <v>1.84E-2</v>
      </c>
      <c r="W376" s="14">
        <v>0.46378082191780823</v>
      </c>
      <c r="X376" s="14">
        <v>0.80462146551659486</v>
      </c>
      <c r="Y376" s="14">
        <v>20360312</v>
      </c>
      <c r="Z376" s="14">
        <v>20360612</v>
      </c>
      <c r="AA376" s="14">
        <v>20360616</v>
      </c>
      <c r="AB376" s="14">
        <v>3.8026574401730039E-2</v>
      </c>
      <c r="AC376" s="14">
        <v>0.97179023471087866</v>
      </c>
      <c r="AD376" s="14">
        <v>0.6524403751597625</v>
      </c>
      <c r="AG376" s="20">
        <v>54580</v>
      </c>
    </row>
    <row r="377" spans="18:33" x14ac:dyDescent="0.4">
      <c r="R377" s="15">
        <v>21</v>
      </c>
      <c r="S377" s="14">
        <v>20360612</v>
      </c>
      <c r="T377" s="14">
        <v>20360912</v>
      </c>
      <c r="U377" s="14">
        <v>20360916</v>
      </c>
      <c r="V377" s="14">
        <v>1.84E-2</v>
      </c>
      <c r="W377" s="14">
        <v>0.46378082191780823</v>
      </c>
      <c r="X377" s="14">
        <v>0.80133456327090213</v>
      </c>
      <c r="Y377" s="14">
        <v>20360612</v>
      </c>
      <c r="Z377" s="14">
        <v>20360912</v>
      </c>
      <c r="AA377" s="14">
        <v>20360916</v>
      </c>
      <c r="AB377" s="14">
        <v>3.8085042617305213E-2</v>
      </c>
      <c r="AC377" s="14">
        <v>0.97328442244224433</v>
      </c>
      <c r="AD377" s="14">
        <v>0.64615106769916153</v>
      </c>
      <c r="AG377" s="20">
        <v>54651</v>
      </c>
    </row>
    <row r="378" spans="18:33" x14ac:dyDescent="0.4">
      <c r="R378" s="15">
        <v>21</v>
      </c>
      <c r="S378" s="14">
        <v>20360912</v>
      </c>
      <c r="T378" s="14">
        <v>20361212</v>
      </c>
      <c r="U378" s="14">
        <v>20361216</v>
      </c>
      <c r="V378" s="14">
        <v>1.84E-2</v>
      </c>
      <c r="W378" s="14">
        <v>0.45873972602739721</v>
      </c>
      <c r="X378" s="14">
        <v>0.79811883340241463</v>
      </c>
      <c r="Y378" s="14">
        <v>20360912</v>
      </c>
      <c r="Z378" s="14">
        <v>20361212</v>
      </c>
      <c r="AA378" s="14">
        <v>20361216</v>
      </c>
      <c r="AB378" s="14">
        <v>3.8141179834830577E-2</v>
      </c>
      <c r="AC378" s="14">
        <v>0.96412426804710627</v>
      </c>
      <c r="AD378" s="14">
        <v>0.63998044966518408</v>
      </c>
      <c r="AG378" s="20">
        <v>54700</v>
      </c>
    </row>
    <row r="379" spans="18:33" x14ac:dyDescent="0.4">
      <c r="R379" s="15">
        <v>21</v>
      </c>
      <c r="S379" s="14">
        <v>20361212</v>
      </c>
      <c r="T379" s="14">
        <v>20370312</v>
      </c>
      <c r="U379" s="14">
        <v>20370316</v>
      </c>
      <c r="V379" s="14">
        <v>1.84E-2</v>
      </c>
      <c r="W379" s="14">
        <v>0.45369863013698625</v>
      </c>
      <c r="X379" s="14">
        <v>0.79479251722221966</v>
      </c>
      <c r="Y379" s="14">
        <v>20361212</v>
      </c>
      <c r="Z379" s="14">
        <v>20370312</v>
      </c>
      <c r="AA379" s="14">
        <v>20370316</v>
      </c>
      <c r="AB379" s="14">
        <v>3.7947535774393693E-2</v>
      </c>
      <c r="AC379" s="14">
        <v>0.94868839435984231</v>
      </c>
      <c r="AD379" s="14">
        <v>0.63396754377298636</v>
      </c>
      <c r="AG379" s="20">
        <v>54707</v>
      </c>
    </row>
    <row r="380" spans="18:33" x14ac:dyDescent="0.4">
      <c r="R380" s="15">
        <v>21</v>
      </c>
      <c r="S380" s="14">
        <v>20370312</v>
      </c>
      <c r="T380" s="14">
        <v>20370612</v>
      </c>
      <c r="U380" s="14">
        <v>20370616</v>
      </c>
      <c r="V380" s="14">
        <v>1.84E-2</v>
      </c>
      <c r="W380" s="14">
        <v>0.46378082191780823</v>
      </c>
      <c r="X380" s="14">
        <v>0.79142132534927223</v>
      </c>
      <c r="Y380" s="14">
        <v>20370312</v>
      </c>
      <c r="Z380" s="14">
        <v>20370612</v>
      </c>
      <c r="AA380" s="14">
        <v>20370616</v>
      </c>
      <c r="AB380" s="14">
        <v>3.798739262102227E-2</v>
      </c>
      <c r="AC380" s="14">
        <v>0.9707889225372357</v>
      </c>
      <c r="AD380" s="14">
        <v>0.62787189983561587</v>
      </c>
      <c r="AG380" s="20">
        <v>54784</v>
      </c>
    </row>
    <row r="381" spans="18:33" x14ac:dyDescent="0.4">
      <c r="R381" s="15">
        <v>21</v>
      </c>
      <c r="S381" s="14">
        <v>20370612</v>
      </c>
      <c r="T381" s="14">
        <v>20370914</v>
      </c>
      <c r="U381" s="14">
        <v>20370916</v>
      </c>
      <c r="V381" s="14">
        <v>1.84E-2</v>
      </c>
      <c r="W381" s="14">
        <v>0.4738630136986301</v>
      </c>
      <c r="X381" s="14">
        <v>0.78807924588730471</v>
      </c>
      <c r="Y381" s="14">
        <v>20370612</v>
      </c>
      <c r="Z381" s="14">
        <v>20370914</v>
      </c>
      <c r="AA381" s="14">
        <v>20370916</v>
      </c>
      <c r="AB381" s="14">
        <v>3.8039662835846935E-2</v>
      </c>
      <c r="AC381" s="14">
        <v>0.99325786293600338</v>
      </c>
      <c r="AD381" s="14">
        <v>0.62182735163497871</v>
      </c>
      <c r="AG381" s="20">
        <v>54789</v>
      </c>
    </row>
    <row r="382" spans="18:33" x14ac:dyDescent="0.4">
      <c r="R382" s="15">
        <v>21</v>
      </c>
      <c r="S382" s="14">
        <v>20370914</v>
      </c>
      <c r="T382" s="14">
        <v>20371214</v>
      </c>
      <c r="U382" s="14">
        <v>20371216</v>
      </c>
      <c r="V382" s="14">
        <v>1.84E-2</v>
      </c>
      <c r="W382" s="14">
        <v>0.45873972602739721</v>
      </c>
      <c r="X382" s="14">
        <v>0.7848018894453338</v>
      </c>
      <c r="Y382" s="14">
        <v>20370914</v>
      </c>
      <c r="Z382" s="14">
        <v>20371214</v>
      </c>
      <c r="AA382" s="14">
        <v>20371216</v>
      </c>
      <c r="AB382" s="14">
        <v>3.8081654397047311E-2</v>
      </c>
      <c r="AC382" s="14">
        <v>0.96261959725869595</v>
      </c>
      <c r="AD382" s="14">
        <v>0.61589843106015041</v>
      </c>
      <c r="AG382" s="20">
        <v>54848</v>
      </c>
    </row>
    <row r="383" spans="18:33" x14ac:dyDescent="0.4">
      <c r="R383" s="15">
        <v>21</v>
      </c>
      <c r="S383" s="14">
        <v>20371214</v>
      </c>
      <c r="T383" s="14">
        <v>20380312</v>
      </c>
      <c r="U383" s="14">
        <v>20380316</v>
      </c>
      <c r="V383" s="14">
        <v>1.84E-2</v>
      </c>
      <c r="W383" s="14">
        <v>0.44361643835616438</v>
      </c>
      <c r="X383" s="14">
        <v>0.78158809116086436</v>
      </c>
      <c r="Y383" s="14">
        <v>20371214</v>
      </c>
      <c r="Z383" s="14">
        <v>20380312</v>
      </c>
      <c r="AA383" s="14">
        <v>20380316</v>
      </c>
      <c r="AB383" s="14">
        <v>3.8122061182353457E-2</v>
      </c>
      <c r="AC383" s="14">
        <v>0.93187260667975114</v>
      </c>
      <c r="AD383" s="14">
        <v>0.61008317277808799</v>
      </c>
      <c r="AG383" s="20">
        <v>54909</v>
      </c>
    </row>
    <row r="384" spans="18:33" x14ac:dyDescent="0.4">
      <c r="R384" s="15">
        <v>21</v>
      </c>
      <c r="S384" s="14">
        <v>20380312</v>
      </c>
      <c r="T384" s="14">
        <v>20380614</v>
      </c>
      <c r="U384" s="14">
        <v>20380616</v>
      </c>
      <c r="V384" s="14">
        <v>1.84E-2</v>
      </c>
      <c r="W384" s="14">
        <v>0.4738630136986301</v>
      </c>
      <c r="X384" s="14">
        <v>0.77833094821693016</v>
      </c>
      <c r="Y384" s="14">
        <v>20380312</v>
      </c>
      <c r="Z384" s="14">
        <v>20380614</v>
      </c>
      <c r="AA384" s="14">
        <v>20380616</v>
      </c>
      <c r="AB384" s="14">
        <v>3.8181375019621849E-2</v>
      </c>
      <c r="AC384" s="14">
        <v>0.9969581255123483</v>
      </c>
      <c r="AD384" s="14">
        <v>0.60418821169859194</v>
      </c>
      <c r="AG384" s="20">
        <v>54913</v>
      </c>
    </row>
    <row r="385" spans="18:33" x14ac:dyDescent="0.4">
      <c r="R385" s="15">
        <v>21</v>
      </c>
      <c r="S385" s="14">
        <v>20380614</v>
      </c>
      <c r="T385" s="14">
        <v>20380916</v>
      </c>
      <c r="U385" s="14">
        <v>20380920</v>
      </c>
      <c r="V385" s="14">
        <v>1.84E-2</v>
      </c>
      <c r="W385" s="14">
        <v>0.4738630136986301</v>
      </c>
      <c r="X385" s="14">
        <v>0.77496219153682533</v>
      </c>
      <c r="Y385" s="14">
        <v>20380614</v>
      </c>
      <c r="Z385" s="14">
        <v>20380913</v>
      </c>
      <c r="AA385" s="14">
        <v>20380920</v>
      </c>
      <c r="AB385" s="14">
        <v>3.8230170892620235E-2</v>
      </c>
      <c r="AC385" s="14">
        <v>0.99823223997397292</v>
      </c>
      <c r="AD385" s="14">
        <v>0.59808996279435045</v>
      </c>
      <c r="AG385" s="20">
        <v>54945</v>
      </c>
    </row>
    <row r="386" spans="18:33" x14ac:dyDescent="0.4">
      <c r="R386" s="15">
        <v>21</v>
      </c>
      <c r="S386" s="14">
        <v>20380916</v>
      </c>
      <c r="T386" s="14">
        <v>20381213</v>
      </c>
      <c r="U386" s="14">
        <v>20381215</v>
      </c>
      <c r="V386" s="14">
        <v>1.84E-2</v>
      </c>
      <c r="W386" s="14">
        <v>0.44361643835616438</v>
      </c>
      <c r="X386" s="14">
        <v>0.77197014696269717</v>
      </c>
      <c r="Y386" s="14">
        <v>20380916</v>
      </c>
      <c r="Z386" s="14">
        <v>20381213</v>
      </c>
      <c r="AA386" s="14">
        <v>20381215</v>
      </c>
      <c r="AB386" s="14">
        <v>3.8265243421052565E-2</v>
      </c>
      <c r="AC386" s="14">
        <v>0.9353726169590626</v>
      </c>
      <c r="AD386" s="14">
        <v>0.59267261231756441</v>
      </c>
      <c r="AG386" s="20">
        <v>55015</v>
      </c>
    </row>
    <row r="387" spans="18:33" x14ac:dyDescent="0.4">
      <c r="R387" s="15">
        <v>21</v>
      </c>
      <c r="S387" s="14">
        <v>20381213</v>
      </c>
      <c r="T387" s="14">
        <v>20390314</v>
      </c>
      <c r="U387" s="14">
        <v>20390316</v>
      </c>
      <c r="V387" s="14">
        <v>1.84E-2</v>
      </c>
      <c r="W387" s="14">
        <v>0.45873972602739721</v>
      </c>
      <c r="X387" s="14">
        <v>0.76883047476283783</v>
      </c>
      <c r="Y387" s="14">
        <v>20381213</v>
      </c>
      <c r="Z387" s="14">
        <v>20390314</v>
      </c>
      <c r="AA387" s="14">
        <v>20390316</v>
      </c>
      <c r="AB387" s="14">
        <v>3.8317772371657108E-2</v>
      </c>
      <c r="AC387" s="14">
        <v>0.96858813495022122</v>
      </c>
      <c r="AD387" s="14">
        <v>0.58698697214908024</v>
      </c>
      <c r="AG387" s="20">
        <v>55064</v>
      </c>
    </row>
    <row r="388" spans="18:33" x14ac:dyDescent="0.4">
      <c r="R388" s="15">
        <v>21</v>
      </c>
      <c r="S388" s="14">
        <v>20390314</v>
      </c>
      <c r="T388" s="14">
        <v>20390613</v>
      </c>
      <c r="U388" s="14">
        <v>20390615</v>
      </c>
      <c r="V388" s="14">
        <v>1.84E-2</v>
      </c>
      <c r="W388" s="14">
        <v>0.45873972602739721</v>
      </c>
      <c r="X388" s="14">
        <v>0.76571765355161125</v>
      </c>
      <c r="Y388" s="14">
        <v>20390314</v>
      </c>
      <c r="Z388" s="14">
        <v>20390613</v>
      </c>
      <c r="AA388" s="14">
        <v>20390615</v>
      </c>
      <c r="AB388" s="14">
        <v>3.8364997641564487E-2</v>
      </c>
      <c r="AC388" s="14">
        <v>0.96978188482843564</v>
      </c>
      <c r="AD388" s="14">
        <v>0.58134900231186515</v>
      </c>
      <c r="AG388" s="20">
        <v>55071</v>
      </c>
    </row>
    <row r="389" spans="18:33" x14ac:dyDescent="0.4">
      <c r="R389" s="15">
        <v>21</v>
      </c>
      <c r="S389" s="14">
        <v>20390613</v>
      </c>
      <c r="T389" s="14">
        <v>20390912</v>
      </c>
      <c r="U389" s="14">
        <v>20390914</v>
      </c>
      <c r="V389" s="14">
        <v>1.84E-2</v>
      </c>
      <c r="W389" s="14">
        <v>0.45873972602739721</v>
      </c>
      <c r="X389" s="14">
        <v>0.7626314603546247</v>
      </c>
      <c r="Y389" s="14">
        <v>20390613</v>
      </c>
      <c r="Z389" s="14">
        <v>20390912</v>
      </c>
      <c r="AA389" s="14">
        <v>20390914</v>
      </c>
      <c r="AB389" s="14">
        <v>3.8412223469820844E-2</v>
      </c>
      <c r="AC389" s="14">
        <v>0.97097564882047127</v>
      </c>
      <c r="AD389" s="14">
        <v>0.57575837760906812</v>
      </c>
      <c r="AG389" s="20">
        <v>55148</v>
      </c>
    </row>
    <row r="390" spans="18:33" x14ac:dyDescent="0.4">
      <c r="R390" s="15">
        <v>21</v>
      </c>
      <c r="S390" s="14">
        <v>20390912</v>
      </c>
      <c r="T390" s="14">
        <v>20391212</v>
      </c>
      <c r="U390" s="14">
        <v>20391214</v>
      </c>
      <c r="V390" s="14">
        <v>1.84E-2</v>
      </c>
      <c r="W390" s="14">
        <v>0.45873972602739721</v>
      </c>
      <c r="X390" s="14">
        <v>0.7595716745643597</v>
      </c>
      <c r="Y390" s="14">
        <v>20390912</v>
      </c>
      <c r="Z390" s="14">
        <v>20391212</v>
      </c>
      <c r="AA390" s="14">
        <v>20391214</v>
      </c>
      <c r="AB390" s="14">
        <v>3.8459449856416507E-2</v>
      </c>
      <c r="AC390" s="14">
        <v>0.97216942692608388</v>
      </c>
      <c r="AD390" s="14">
        <v>0.57021477429804845</v>
      </c>
      <c r="AG390" s="20">
        <v>55154</v>
      </c>
    </row>
    <row r="391" spans="18:33" x14ac:dyDescent="0.4">
      <c r="R391" s="15">
        <v>22</v>
      </c>
      <c r="S391" s="14">
        <v>20241212</v>
      </c>
      <c r="T391" s="14">
        <v>20250312</v>
      </c>
      <c r="U391" s="14">
        <v>20250314</v>
      </c>
      <c r="V391" s="14">
        <v>1.77E-2</v>
      </c>
      <c r="W391" s="14">
        <v>0.43643835616438353</v>
      </c>
      <c r="X391" s="14">
        <v>0.99270901377394938</v>
      </c>
      <c r="Y391" s="14">
        <v>20241212</v>
      </c>
      <c r="Z391" s="14">
        <v>20250312</v>
      </c>
      <c r="AA391" s="14">
        <v>20250314</v>
      </c>
      <c r="AB391" s="14">
        <v>4.3954996023273907E-2</v>
      </c>
      <c r="AC391" s="14">
        <v>1.0988749005818477</v>
      </c>
      <c r="AD391" s="14">
        <v>0.9886424392876334</v>
      </c>
      <c r="AG391" s="20">
        <v>55213</v>
      </c>
    </row>
    <row r="392" spans="18:33" x14ac:dyDescent="0.4">
      <c r="R392" s="15">
        <v>22</v>
      </c>
      <c r="S392" s="14">
        <v>20250312</v>
      </c>
      <c r="T392" s="14">
        <v>20250612</v>
      </c>
      <c r="U392" s="14">
        <v>20250616</v>
      </c>
      <c r="V392" s="14">
        <v>1.77E-2</v>
      </c>
      <c r="W392" s="14">
        <v>0.44613698630136989</v>
      </c>
      <c r="X392" s="14">
        <v>0.98730258544302441</v>
      </c>
      <c r="Y392" s="14">
        <v>20250312</v>
      </c>
      <c r="Z392" s="14">
        <v>20250612</v>
      </c>
      <c r="AA392" s="14">
        <v>20250616</v>
      </c>
      <c r="AB392" s="14">
        <v>4.1354165149545943E-2</v>
      </c>
      <c r="AC392" s="14">
        <v>1.0568286649328407</v>
      </c>
      <c r="AD392" s="14">
        <v>0.97810451242860541</v>
      </c>
      <c r="AG392" s="20">
        <v>55274</v>
      </c>
    </row>
    <row r="393" spans="18:33" x14ac:dyDescent="0.4">
      <c r="R393" s="15">
        <v>22</v>
      </c>
      <c r="S393" s="14">
        <v>20250612</v>
      </c>
      <c r="T393" s="14">
        <v>20250912</v>
      </c>
      <c r="U393" s="14">
        <v>20250916</v>
      </c>
      <c r="V393" s="14">
        <v>1.77E-2</v>
      </c>
      <c r="W393" s="14">
        <v>0.44613698630136989</v>
      </c>
      <c r="X393" s="14">
        <v>0.9824608745257547</v>
      </c>
      <c r="Y393" s="14">
        <v>20250612</v>
      </c>
      <c r="Z393" s="14">
        <v>20250912</v>
      </c>
      <c r="AA393" s="14">
        <v>20250916</v>
      </c>
      <c r="AB393" s="14">
        <v>3.9307839001370047E-2</v>
      </c>
      <c r="AC393" s="14">
        <v>1.0045336633683455</v>
      </c>
      <c r="AD393" s="14">
        <v>0.96839584644885923</v>
      </c>
      <c r="AG393" s="20">
        <v>55278</v>
      </c>
    </row>
    <row r="394" spans="18:33" x14ac:dyDescent="0.4">
      <c r="R394" s="15">
        <v>22</v>
      </c>
      <c r="S394" s="14">
        <v>20250912</v>
      </c>
      <c r="T394" s="14">
        <v>20251212</v>
      </c>
      <c r="U394" s="14">
        <v>20251216</v>
      </c>
      <c r="V394" s="14">
        <v>1.77E-2</v>
      </c>
      <c r="W394" s="14">
        <v>0.44128767123287671</v>
      </c>
      <c r="X394" s="14">
        <v>0.97848810988448698</v>
      </c>
      <c r="Y394" s="14">
        <v>20250912</v>
      </c>
      <c r="Z394" s="14">
        <v>20251212</v>
      </c>
      <c r="AA394" s="14">
        <v>20251216</v>
      </c>
      <c r="AB394" s="14">
        <v>3.8115538737094092E-2</v>
      </c>
      <c r="AC394" s="14">
        <v>0.96347611807654499</v>
      </c>
      <c r="AD394" s="14">
        <v>0.95916401323373646</v>
      </c>
      <c r="AG394" s="20">
        <v>55310</v>
      </c>
    </row>
    <row r="395" spans="18:33" x14ac:dyDescent="0.4">
      <c r="R395" s="15">
        <v>22</v>
      </c>
      <c r="S395" s="14">
        <v>20251212</v>
      </c>
      <c r="T395" s="14">
        <v>20260312</v>
      </c>
      <c r="U395" s="14">
        <v>20260316</v>
      </c>
      <c r="V395" s="14">
        <v>1.77E-2</v>
      </c>
      <c r="W395" s="14">
        <v>0.43643835616438353</v>
      </c>
      <c r="X395" s="14">
        <v>0.97397125187931066</v>
      </c>
      <c r="Y395" s="14">
        <v>20251212</v>
      </c>
      <c r="Z395" s="14">
        <v>20260312</v>
      </c>
      <c r="AA395" s="14">
        <v>20260316</v>
      </c>
      <c r="AB395" s="14">
        <v>3.7650041912233867E-2</v>
      </c>
      <c r="AC395" s="14">
        <v>0.94125104780584667</v>
      </c>
      <c r="AD395" s="14">
        <v>0.95022207032432959</v>
      </c>
      <c r="AG395" s="20">
        <v>55380</v>
      </c>
    </row>
    <row r="396" spans="18:33" x14ac:dyDescent="0.4">
      <c r="R396" s="15">
        <v>22</v>
      </c>
      <c r="S396" s="14">
        <v>20260312</v>
      </c>
      <c r="T396" s="14">
        <v>20260612</v>
      </c>
      <c r="U396" s="14">
        <v>20260616</v>
      </c>
      <c r="V396" s="14">
        <v>1.77E-2</v>
      </c>
      <c r="W396" s="14">
        <v>0.44613698630136989</v>
      </c>
      <c r="X396" s="14">
        <v>0.96962934720959448</v>
      </c>
      <c r="Y396" s="14">
        <v>20260312</v>
      </c>
      <c r="Z396" s="14">
        <v>20260612</v>
      </c>
      <c r="AA396" s="14">
        <v>20260616</v>
      </c>
      <c r="AB396" s="14">
        <v>3.6505589419326689E-2</v>
      </c>
      <c r="AC396" s="14">
        <v>0.93292061849390429</v>
      </c>
      <c r="AD396" s="14">
        <v>0.94145168001126112</v>
      </c>
      <c r="AG396" s="20">
        <v>55429</v>
      </c>
    </row>
    <row r="397" spans="18:33" x14ac:dyDescent="0.4">
      <c r="R397" s="15">
        <v>22</v>
      </c>
      <c r="S397" s="14">
        <v>20260612</v>
      </c>
      <c r="T397" s="14">
        <v>20260914</v>
      </c>
      <c r="U397" s="14">
        <v>20260916</v>
      </c>
      <c r="V397" s="14">
        <v>1.77E-2</v>
      </c>
      <c r="W397" s="14">
        <v>0.45583561643835618</v>
      </c>
      <c r="X397" s="14">
        <v>0.96527436697370961</v>
      </c>
      <c r="Y397" s="14">
        <v>20260612</v>
      </c>
      <c r="Z397" s="14">
        <v>20260914</v>
      </c>
      <c r="AA397" s="14">
        <v>20260916</v>
      </c>
      <c r="AB397" s="14">
        <v>3.665192740209311E-2</v>
      </c>
      <c r="AC397" s="14">
        <v>0.95702254883243132</v>
      </c>
      <c r="AD397" s="14">
        <v>0.93271013681990811</v>
      </c>
      <c r="AG397" s="20">
        <v>55435</v>
      </c>
    </row>
    <row r="398" spans="18:33" x14ac:dyDescent="0.4">
      <c r="R398" s="15">
        <v>22</v>
      </c>
      <c r="S398" s="14">
        <v>20260914</v>
      </c>
      <c r="T398" s="14">
        <v>20261214</v>
      </c>
      <c r="U398" s="14">
        <v>20261216</v>
      </c>
      <c r="V398" s="14">
        <v>1.77E-2</v>
      </c>
      <c r="W398" s="14">
        <v>0.44128767123287671</v>
      </c>
      <c r="X398" s="14">
        <v>0.96115573199374194</v>
      </c>
      <c r="Y398" s="14">
        <v>20260914</v>
      </c>
      <c r="Z398" s="14">
        <v>20261214</v>
      </c>
      <c r="AA398" s="14">
        <v>20261216</v>
      </c>
      <c r="AB398" s="14">
        <v>3.5895347904791812E-2</v>
      </c>
      <c r="AC398" s="14">
        <v>0.90735462759334862</v>
      </c>
      <c r="AD398" s="14">
        <v>0.92432726502282114</v>
      </c>
      <c r="AG398" s="20">
        <v>55512</v>
      </c>
    </row>
    <row r="399" spans="18:33" x14ac:dyDescent="0.4">
      <c r="R399" s="15">
        <v>22</v>
      </c>
      <c r="S399" s="14">
        <v>20261214</v>
      </c>
      <c r="T399" s="14">
        <v>20270312</v>
      </c>
      <c r="U399" s="14">
        <v>20270316</v>
      </c>
      <c r="V399" s="14">
        <v>1.77E-2</v>
      </c>
      <c r="W399" s="14">
        <v>0.42673972602739729</v>
      </c>
      <c r="X399" s="14">
        <v>0.95673227636049363</v>
      </c>
      <c r="Y399" s="14">
        <v>20261214</v>
      </c>
      <c r="Z399" s="14">
        <v>20270312</v>
      </c>
      <c r="AA399" s="14">
        <v>20270316</v>
      </c>
      <c r="AB399" s="14">
        <v>3.6467158129272738E-2</v>
      </c>
      <c r="AC399" s="14">
        <v>0.89141942093777793</v>
      </c>
      <c r="AD399" s="14">
        <v>0.915972896403355</v>
      </c>
      <c r="AG399" s="20">
        <v>55519</v>
      </c>
    </row>
    <row r="400" spans="18:33" x14ac:dyDescent="0.4">
      <c r="R400" s="15">
        <v>22</v>
      </c>
      <c r="S400" s="14">
        <v>20270312</v>
      </c>
      <c r="T400" s="14">
        <v>20270614</v>
      </c>
      <c r="U400" s="14">
        <v>20270616</v>
      </c>
      <c r="V400" s="14">
        <v>1.77E-2</v>
      </c>
      <c r="W400" s="14">
        <v>0.45583561643835618</v>
      </c>
      <c r="X400" s="14">
        <v>0.9522812889989285</v>
      </c>
      <c r="Y400" s="14">
        <v>20270312</v>
      </c>
      <c r="Z400" s="14">
        <v>20270614</v>
      </c>
      <c r="AA400" s="14">
        <v>20270616</v>
      </c>
      <c r="AB400" s="14">
        <v>3.6023325792759735E-2</v>
      </c>
      <c r="AC400" s="14">
        <v>0.94060906236650421</v>
      </c>
      <c r="AD400" s="14">
        <v>0.90762189050154718</v>
      </c>
      <c r="AG400" s="20">
        <v>55579</v>
      </c>
    </row>
    <row r="401" spans="18:33" x14ac:dyDescent="0.4">
      <c r="R401" s="15">
        <v>22</v>
      </c>
      <c r="S401" s="14">
        <v>20270614</v>
      </c>
      <c r="T401" s="14">
        <v>20270913</v>
      </c>
      <c r="U401" s="14">
        <v>20270920</v>
      </c>
      <c r="V401" s="14">
        <v>1.77E-2</v>
      </c>
      <c r="W401" s="14">
        <v>0.44128767123287671</v>
      </c>
      <c r="X401" s="14">
        <v>0.94771219825361941</v>
      </c>
      <c r="Y401" s="14">
        <v>20270614</v>
      </c>
      <c r="Z401" s="14">
        <v>20270913</v>
      </c>
      <c r="AA401" s="14">
        <v>20270920</v>
      </c>
      <c r="AB401" s="14">
        <v>3.5527171756109518E-2</v>
      </c>
      <c r="AC401" s="14">
        <v>0.89804795272387938</v>
      </c>
      <c r="AD401" s="14">
        <v>0.89910745629996247</v>
      </c>
      <c r="AG401" s="20">
        <v>55640</v>
      </c>
    </row>
    <row r="402" spans="18:33" x14ac:dyDescent="0.4">
      <c r="R402" s="15">
        <v>22</v>
      </c>
      <c r="S402" s="14">
        <v>20270913</v>
      </c>
      <c r="T402" s="14">
        <v>20271213</v>
      </c>
      <c r="U402" s="14">
        <v>20271215</v>
      </c>
      <c r="V402" s="14">
        <v>1.77E-2</v>
      </c>
      <c r="W402" s="14">
        <v>0.44128767123287671</v>
      </c>
      <c r="X402" s="14">
        <v>0.94368373780435177</v>
      </c>
      <c r="Y402" s="14">
        <v>20270913</v>
      </c>
      <c r="Z402" s="14">
        <v>20271213</v>
      </c>
      <c r="AA402" s="14">
        <v>20271215</v>
      </c>
      <c r="AB402" s="14">
        <v>3.5044424523607037E-2</v>
      </c>
      <c r="AC402" s="14">
        <v>0.88584517545784447</v>
      </c>
      <c r="AD402" s="14">
        <v>0.89164970448652192</v>
      </c>
      <c r="AG402" s="20">
        <v>55645</v>
      </c>
    </row>
    <row r="403" spans="18:33" x14ac:dyDescent="0.4">
      <c r="R403" s="15">
        <v>22</v>
      </c>
      <c r="S403" s="14">
        <v>20271213</v>
      </c>
      <c r="T403" s="14">
        <v>20280313</v>
      </c>
      <c r="U403" s="14">
        <v>20280315</v>
      </c>
      <c r="V403" s="14">
        <v>1.77E-2</v>
      </c>
      <c r="W403" s="14">
        <v>0.44128767123287671</v>
      </c>
      <c r="X403" s="14">
        <v>0.93944778580762001</v>
      </c>
      <c r="Y403" s="14">
        <v>20271213</v>
      </c>
      <c r="Z403" s="14">
        <v>20280313</v>
      </c>
      <c r="AA403" s="14">
        <v>20280315</v>
      </c>
      <c r="AB403" s="14">
        <v>3.5647286444950882E-2</v>
      </c>
      <c r="AC403" s="14">
        <v>0.90108418513625832</v>
      </c>
      <c r="AD403" s="14">
        <v>0.88368347566748184</v>
      </c>
      <c r="AG403" s="20">
        <v>55676</v>
      </c>
    </row>
    <row r="404" spans="18:33" x14ac:dyDescent="0.4">
      <c r="R404" s="15">
        <v>22</v>
      </c>
      <c r="S404" s="14">
        <v>20280313</v>
      </c>
      <c r="T404" s="14">
        <v>20280612</v>
      </c>
      <c r="U404" s="14">
        <v>20280614</v>
      </c>
      <c r="V404" s="14">
        <v>1.77E-2</v>
      </c>
      <c r="W404" s="14">
        <v>0.44128767123287671</v>
      </c>
      <c r="X404" s="14">
        <v>0.93527320518470214</v>
      </c>
      <c r="Y404" s="14">
        <v>20280313</v>
      </c>
      <c r="Z404" s="14">
        <v>20280612</v>
      </c>
      <c r="AA404" s="14">
        <v>20280614</v>
      </c>
      <c r="AB404" s="14">
        <v>3.5356958687746812E-2</v>
      </c>
      <c r="AC404" s="14">
        <v>0.89374534460693322</v>
      </c>
      <c r="AD404" s="14">
        <v>0.87585706618054726</v>
      </c>
      <c r="AG404" s="20">
        <v>55746</v>
      </c>
    </row>
    <row r="405" spans="18:33" x14ac:dyDescent="0.4">
      <c r="R405" s="15">
        <v>22</v>
      </c>
      <c r="S405" s="14">
        <v>20280612</v>
      </c>
      <c r="T405" s="14">
        <v>20280912</v>
      </c>
      <c r="U405" s="14">
        <v>20280914</v>
      </c>
      <c r="V405" s="14">
        <v>1.77E-2</v>
      </c>
      <c r="W405" s="14">
        <v>0.44613698630136989</v>
      </c>
      <c r="X405" s="14">
        <v>0.93111447358942956</v>
      </c>
      <c r="Y405" s="14">
        <v>20280612</v>
      </c>
      <c r="Z405" s="14">
        <v>20280912</v>
      </c>
      <c r="AA405" s="14">
        <v>20280914</v>
      </c>
      <c r="AB405" s="14">
        <v>3.5044106704373086E-2</v>
      </c>
      <c r="AC405" s="14">
        <v>0.89557161577842326</v>
      </c>
      <c r="AD405" s="14">
        <v>0.86808427517649245</v>
      </c>
      <c r="AG405" s="20">
        <v>55795</v>
      </c>
    </row>
    <row r="406" spans="18:33" x14ac:dyDescent="0.4">
      <c r="R406" s="15">
        <v>22</v>
      </c>
      <c r="S406" s="14">
        <v>20280912</v>
      </c>
      <c r="T406" s="14">
        <v>20281212</v>
      </c>
      <c r="U406" s="14">
        <v>20281214</v>
      </c>
      <c r="V406" s="14">
        <v>1.77E-2</v>
      </c>
      <c r="W406" s="14">
        <v>0.44128767123287671</v>
      </c>
      <c r="X406" s="14">
        <v>0.92706135352108632</v>
      </c>
      <c r="Y406" s="14">
        <v>20280912</v>
      </c>
      <c r="Z406" s="14">
        <v>20281212</v>
      </c>
      <c r="AA406" s="14">
        <v>20281214</v>
      </c>
      <c r="AB406" s="14">
        <v>3.4727878398949613E-2</v>
      </c>
      <c r="AC406" s="14">
        <v>0.87784359286233737</v>
      </c>
      <c r="AD406" s="14">
        <v>0.86053164863011777</v>
      </c>
      <c r="AG406" s="20">
        <v>55801</v>
      </c>
    </row>
    <row r="407" spans="18:33" x14ac:dyDescent="0.4">
      <c r="R407" s="15">
        <v>22</v>
      </c>
      <c r="S407" s="14">
        <v>20281212</v>
      </c>
      <c r="T407" s="14">
        <v>20290312</v>
      </c>
      <c r="U407" s="14">
        <v>20290314</v>
      </c>
      <c r="V407" s="14">
        <v>1.77E-2</v>
      </c>
      <c r="W407" s="14">
        <v>0.43643835616438353</v>
      </c>
      <c r="X407" s="14">
        <v>0.92290911396968633</v>
      </c>
      <c r="Y407" s="14">
        <v>20281212</v>
      </c>
      <c r="Z407" s="14">
        <v>20290312</v>
      </c>
      <c r="AA407" s="14">
        <v>20290314</v>
      </c>
      <c r="AB407" s="14">
        <v>3.543628345363814E-2</v>
      </c>
      <c r="AC407" s="14">
        <v>0.8859070863409535</v>
      </c>
      <c r="AD407" s="14">
        <v>0.85297134492395654</v>
      </c>
      <c r="AG407" s="20">
        <v>55878</v>
      </c>
    </row>
    <row r="408" spans="18:33" x14ac:dyDescent="0.4">
      <c r="R408" s="15">
        <v>22</v>
      </c>
      <c r="S408" s="14">
        <v>20290312</v>
      </c>
      <c r="T408" s="14">
        <v>20290612</v>
      </c>
      <c r="U408" s="14">
        <v>20290614</v>
      </c>
      <c r="V408" s="14">
        <v>1.77E-2</v>
      </c>
      <c r="W408" s="14">
        <v>0.44613698630136989</v>
      </c>
      <c r="X408" s="14">
        <v>0.91870181781535598</v>
      </c>
      <c r="Y408" s="14">
        <v>20290312</v>
      </c>
      <c r="Z408" s="14">
        <v>20290612</v>
      </c>
      <c r="AA408" s="14">
        <v>20290614</v>
      </c>
      <c r="AB408" s="14">
        <v>3.5271177168033775E-2</v>
      </c>
      <c r="AC408" s="14">
        <v>0.90137452762752979</v>
      </c>
      <c r="AD408" s="14">
        <v>0.84535245745771204</v>
      </c>
      <c r="AG408" s="20">
        <v>55885</v>
      </c>
    </row>
    <row r="409" spans="18:33" x14ac:dyDescent="0.4">
      <c r="R409" s="15">
        <v>22</v>
      </c>
      <c r="S409" s="14">
        <v>20290612</v>
      </c>
      <c r="T409" s="14">
        <v>20290912</v>
      </c>
      <c r="U409" s="14">
        <v>20290914</v>
      </c>
      <c r="V409" s="14">
        <v>1.77E-2</v>
      </c>
      <c r="W409" s="14">
        <v>0.44613698630136989</v>
      </c>
      <c r="X409" s="14">
        <v>0.91453181070083656</v>
      </c>
      <c r="Y409" s="14">
        <v>20290612</v>
      </c>
      <c r="Z409" s="14">
        <v>20290912</v>
      </c>
      <c r="AA409" s="14">
        <v>20290914</v>
      </c>
      <c r="AB409" s="14">
        <v>3.5078639927735716E-2</v>
      </c>
      <c r="AC409" s="14">
        <v>0.89645413148657926</v>
      </c>
      <c r="AD409" s="14">
        <v>0.83784248010644946</v>
      </c>
      <c r="AG409" s="20">
        <v>55946</v>
      </c>
    </row>
    <row r="410" spans="18:33" x14ac:dyDescent="0.4">
      <c r="R410" s="15">
        <v>22</v>
      </c>
      <c r="S410" s="14">
        <v>20290912</v>
      </c>
      <c r="T410" s="14">
        <v>20291212</v>
      </c>
      <c r="U410" s="14">
        <v>20291214</v>
      </c>
      <c r="V410" s="14">
        <v>1.77E-2</v>
      </c>
      <c r="W410" s="14">
        <v>0.44128767123287671</v>
      </c>
      <c r="X410" s="14">
        <v>0.9104434855978476</v>
      </c>
      <c r="Y410" s="14">
        <v>20290912</v>
      </c>
      <c r="Z410" s="14">
        <v>20291212</v>
      </c>
      <c r="AA410" s="14">
        <v>20291214</v>
      </c>
      <c r="AB410" s="14">
        <v>3.4885473017893777E-2</v>
      </c>
      <c r="AC410" s="14">
        <v>0.88182723461898149</v>
      </c>
      <c r="AD410" s="14">
        <v>0.83051961055272827</v>
      </c>
      <c r="AG410" s="20">
        <v>56005</v>
      </c>
    </row>
    <row r="411" spans="18:33" x14ac:dyDescent="0.4">
      <c r="R411" s="15">
        <v>22</v>
      </c>
      <c r="S411" s="14">
        <v>20291212</v>
      </c>
      <c r="T411" s="14">
        <v>20300312</v>
      </c>
      <c r="U411" s="14">
        <v>20300314</v>
      </c>
      <c r="V411" s="14">
        <v>1.77E-2</v>
      </c>
      <c r="W411" s="14">
        <v>0.43643835616438353</v>
      </c>
      <c r="X411" s="14">
        <v>0.90619009715106424</v>
      </c>
      <c r="Y411" s="14">
        <v>20291212</v>
      </c>
      <c r="Z411" s="14">
        <v>20300312</v>
      </c>
      <c r="AA411" s="14">
        <v>20300314</v>
      </c>
      <c r="AB411" s="14">
        <v>3.5803934099056356E-2</v>
      </c>
      <c r="AC411" s="14">
        <v>0.8950983524764089</v>
      </c>
      <c r="AD411" s="14">
        <v>0.82314706276071026</v>
      </c>
      <c r="AG411" s="20">
        <v>56009</v>
      </c>
    </row>
    <row r="412" spans="18:33" x14ac:dyDescent="0.4">
      <c r="R412" s="15">
        <v>22</v>
      </c>
      <c r="S412" s="14">
        <v>20300312</v>
      </c>
      <c r="T412" s="14">
        <v>20300612</v>
      </c>
      <c r="U412" s="14">
        <v>20300614</v>
      </c>
      <c r="V412" s="14">
        <v>1.77E-2</v>
      </c>
      <c r="W412" s="14">
        <v>0.44613698630136989</v>
      </c>
      <c r="X412" s="14">
        <v>0.90185674419715978</v>
      </c>
      <c r="Y412" s="14">
        <v>20300312</v>
      </c>
      <c r="Z412" s="14">
        <v>20300612</v>
      </c>
      <c r="AA412" s="14">
        <v>20300614</v>
      </c>
      <c r="AB412" s="14">
        <v>3.5748759544124202E-2</v>
      </c>
      <c r="AC412" s="14">
        <v>0.91357941057206293</v>
      </c>
      <c r="AD412" s="14">
        <v>0.81569541656398015</v>
      </c>
      <c r="AG412" s="20">
        <v>56041</v>
      </c>
    </row>
    <row r="413" spans="18:33" x14ac:dyDescent="0.4">
      <c r="R413" s="15">
        <v>22</v>
      </c>
      <c r="S413" s="14">
        <v>20300612</v>
      </c>
      <c r="T413" s="14">
        <v>20300916</v>
      </c>
      <c r="U413" s="14">
        <v>20300918</v>
      </c>
      <c r="V413" s="14">
        <v>1.77E-2</v>
      </c>
      <c r="W413" s="14">
        <v>0.46553424657534243</v>
      </c>
      <c r="X413" s="14">
        <v>0.89735066006463637</v>
      </c>
      <c r="Y413" s="14">
        <v>20300612</v>
      </c>
      <c r="Z413" s="14">
        <v>20300912</v>
      </c>
      <c r="AA413" s="14">
        <v>20300918</v>
      </c>
      <c r="AB413" s="14">
        <v>3.567031262192738E-2</v>
      </c>
      <c r="AC413" s="14">
        <v>0.95120833658473014</v>
      </c>
      <c r="AD413" s="14">
        <v>0.80800995063938141</v>
      </c>
      <c r="AG413" s="20">
        <v>56111</v>
      </c>
    </row>
    <row r="414" spans="18:33" x14ac:dyDescent="0.4">
      <c r="R414" s="15">
        <v>22</v>
      </c>
      <c r="S414" s="14">
        <v>20300916</v>
      </c>
      <c r="T414" s="14">
        <v>20301212</v>
      </c>
      <c r="U414" s="14">
        <v>20301216</v>
      </c>
      <c r="V414" s="14">
        <v>1.77E-2</v>
      </c>
      <c r="W414" s="14">
        <v>0.42189041095890412</v>
      </c>
      <c r="X414" s="14">
        <v>0.89318743280872581</v>
      </c>
      <c r="Y414" s="14">
        <v>20300916</v>
      </c>
      <c r="Z414" s="14">
        <v>20301212</v>
      </c>
      <c r="AA414" s="14">
        <v>20301216</v>
      </c>
      <c r="AB414" s="14">
        <v>3.5571286935239081E-2</v>
      </c>
      <c r="AC414" s="14">
        <v>0.85963943426827782</v>
      </c>
      <c r="AD414" s="14">
        <v>0.80096609080747205</v>
      </c>
      <c r="AG414" s="20">
        <v>56160</v>
      </c>
    </row>
    <row r="415" spans="18:33" x14ac:dyDescent="0.4">
      <c r="R415" s="15">
        <v>22</v>
      </c>
      <c r="S415" s="14">
        <v>20301212</v>
      </c>
      <c r="T415" s="14">
        <v>20310312</v>
      </c>
      <c r="U415" s="14">
        <v>20310314</v>
      </c>
      <c r="V415" s="14">
        <v>1.77E-2</v>
      </c>
      <c r="W415" s="14">
        <v>0.43643835616438353</v>
      </c>
      <c r="X415" s="14">
        <v>0.88908516418005434</v>
      </c>
      <c r="Y415" s="14">
        <v>20301212</v>
      </c>
      <c r="Z415" s="14">
        <v>20310312</v>
      </c>
      <c r="AA415" s="14">
        <v>20310314</v>
      </c>
      <c r="AB415" s="14">
        <v>3.5982207828288537E-2</v>
      </c>
      <c r="AC415" s="14">
        <v>0.89955519570721343</v>
      </c>
      <c r="AD415" s="14">
        <v>0.79397927730487272</v>
      </c>
      <c r="AG415" s="20">
        <v>56166</v>
      </c>
    </row>
    <row r="416" spans="18:33" x14ac:dyDescent="0.4">
      <c r="R416" s="15">
        <v>22</v>
      </c>
      <c r="S416" s="14">
        <v>20310312</v>
      </c>
      <c r="T416" s="14">
        <v>20310612</v>
      </c>
      <c r="U416" s="14">
        <v>20310616</v>
      </c>
      <c r="V416" s="14">
        <v>1.77E-2</v>
      </c>
      <c r="W416" s="14">
        <v>0.44613698630136989</v>
      </c>
      <c r="X416" s="14">
        <v>0.8847180661505506</v>
      </c>
      <c r="Y416" s="14">
        <v>20310312</v>
      </c>
      <c r="Z416" s="14">
        <v>20310612</v>
      </c>
      <c r="AA416" s="14">
        <v>20310616</v>
      </c>
      <c r="AB416" s="14">
        <v>3.5965316700576615E-2</v>
      </c>
      <c r="AC416" s="14">
        <v>0.91911364901473558</v>
      </c>
      <c r="AD416" s="14">
        <v>0.78659198620247639</v>
      </c>
      <c r="AG416" s="20">
        <v>56243</v>
      </c>
    </row>
    <row r="417" spans="18:33" x14ac:dyDescent="0.4">
      <c r="R417" s="15">
        <v>22</v>
      </c>
      <c r="S417" s="14">
        <v>20310612</v>
      </c>
      <c r="T417" s="14">
        <v>20310912</v>
      </c>
      <c r="U417" s="14">
        <v>20310916</v>
      </c>
      <c r="V417" s="14">
        <v>1.77E-2</v>
      </c>
      <c r="W417" s="14">
        <v>0.44613698630136989</v>
      </c>
      <c r="X417" s="14">
        <v>0.88045874515845013</v>
      </c>
      <c r="Y417" s="14">
        <v>20310612</v>
      </c>
      <c r="Z417" s="14">
        <v>20310912</v>
      </c>
      <c r="AA417" s="14">
        <v>20310916</v>
      </c>
      <c r="AB417" s="14">
        <v>3.5922651100779114E-2</v>
      </c>
      <c r="AC417" s="14">
        <v>0.91802330590879944</v>
      </c>
      <c r="AD417" s="14">
        <v>0.77943694291121279</v>
      </c>
      <c r="AG417" s="20">
        <v>56250</v>
      </c>
    </row>
    <row r="418" spans="18:33" x14ac:dyDescent="0.4">
      <c r="R418" s="15">
        <v>22</v>
      </c>
      <c r="S418" s="14">
        <v>20310912</v>
      </c>
      <c r="T418" s="14">
        <v>20311212</v>
      </c>
      <c r="U418" s="14">
        <v>20311216</v>
      </c>
      <c r="V418" s="14">
        <v>1.77E-2</v>
      </c>
      <c r="W418" s="14">
        <v>0.44128767123287671</v>
      </c>
      <c r="X418" s="14">
        <v>0.87626016845347043</v>
      </c>
      <c r="Y418" s="14">
        <v>20310912</v>
      </c>
      <c r="Z418" s="14">
        <v>20311212</v>
      </c>
      <c r="AA418" s="14">
        <v>20311216</v>
      </c>
      <c r="AB418" s="14">
        <v>3.5878435293902909E-2</v>
      </c>
      <c r="AC418" s="14">
        <v>0.90692711437365681</v>
      </c>
      <c r="AD418" s="14">
        <v>0.77243191063230876</v>
      </c>
      <c r="AG418" s="20">
        <v>56310</v>
      </c>
    </row>
    <row r="419" spans="18:33" x14ac:dyDescent="0.4">
      <c r="R419" s="15">
        <v>22</v>
      </c>
      <c r="S419" s="14">
        <v>20311212</v>
      </c>
      <c r="T419" s="14">
        <v>20320312</v>
      </c>
      <c r="U419" s="14">
        <v>20320316</v>
      </c>
      <c r="V419" s="14">
        <v>1.77E-2</v>
      </c>
      <c r="W419" s="14">
        <v>0.44128767123287671</v>
      </c>
      <c r="X419" s="14">
        <v>0.87216086783321656</v>
      </c>
      <c r="Y419" s="14">
        <v>20311212</v>
      </c>
      <c r="Z419" s="14">
        <v>20320312</v>
      </c>
      <c r="AA419" s="14">
        <v>20320316</v>
      </c>
      <c r="AB419" s="14">
        <v>3.6345272880791271E-2</v>
      </c>
      <c r="AC419" s="14">
        <v>0.91872773115333484</v>
      </c>
      <c r="AD419" s="14">
        <v>0.7653956832121831</v>
      </c>
      <c r="AG419" s="20">
        <v>56370</v>
      </c>
    </row>
    <row r="420" spans="18:33" x14ac:dyDescent="0.4">
      <c r="R420" s="15">
        <v>22</v>
      </c>
      <c r="S420" s="14">
        <v>20320312</v>
      </c>
      <c r="T420" s="14">
        <v>20320614</v>
      </c>
      <c r="U420" s="14">
        <v>20320616</v>
      </c>
      <c r="V420" s="14">
        <v>1.77E-2</v>
      </c>
      <c r="W420" s="14">
        <v>0.45583561643835618</v>
      </c>
      <c r="X420" s="14">
        <v>0.86803617433212443</v>
      </c>
      <c r="Y420" s="14">
        <v>20320312</v>
      </c>
      <c r="Z420" s="14">
        <v>20320614</v>
      </c>
      <c r="AA420" s="14">
        <v>20320616</v>
      </c>
      <c r="AB420" s="14">
        <v>3.6367656269225002E-2</v>
      </c>
      <c r="AC420" s="14">
        <v>0.9495999136964306</v>
      </c>
      <c r="AD420" s="14">
        <v>0.75834837196605331</v>
      </c>
      <c r="AG420" s="20">
        <v>56374</v>
      </c>
    </row>
    <row r="421" spans="18:33" x14ac:dyDescent="0.4">
      <c r="R421" s="15">
        <v>22</v>
      </c>
      <c r="S421" s="14">
        <v>20320614</v>
      </c>
      <c r="T421" s="14">
        <v>20320913</v>
      </c>
      <c r="U421" s="14">
        <v>20320915</v>
      </c>
      <c r="V421" s="14">
        <v>1.77E-2</v>
      </c>
      <c r="W421" s="14">
        <v>0.44128767123287671</v>
      </c>
      <c r="X421" s="14">
        <v>0.8639756624327497</v>
      </c>
      <c r="Y421" s="14">
        <v>20320614</v>
      </c>
      <c r="Z421" s="14">
        <v>20320913</v>
      </c>
      <c r="AA421" s="14">
        <v>20320915</v>
      </c>
      <c r="AB421" s="14">
        <v>3.635645237501569E-2</v>
      </c>
      <c r="AC421" s="14">
        <v>0.91901032392400772</v>
      </c>
      <c r="AD421" s="14">
        <v>0.75144256070952442</v>
      </c>
      <c r="AG421" s="20">
        <v>56406</v>
      </c>
    </row>
    <row r="422" spans="18:33" x14ac:dyDescent="0.4">
      <c r="R422" s="15">
        <v>22</v>
      </c>
      <c r="S422" s="14">
        <v>20320913</v>
      </c>
      <c r="T422" s="14">
        <v>20321213</v>
      </c>
      <c r="U422" s="14">
        <v>20321215</v>
      </c>
      <c r="V422" s="14">
        <v>1.77E-2</v>
      </c>
      <c r="W422" s="14">
        <v>0.44128767123287671</v>
      </c>
      <c r="X422" s="14">
        <v>0.85993430096618129</v>
      </c>
      <c r="Y422" s="14">
        <v>20320913</v>
      </c>
      <c r="Z422" s="14">
        <v>20321213</v>
      </c>
      <c r="AA422" s="14">
        <v>20321215</v>
      </c>
      <c r="AB422" s="14">
        <v>3.6350834044769818E-2</v>
      </c>
      <c r="AC422" s="14">
        <v>0.91886830502057038</v>
      </c>
      <c r="AD422" s="14">
        <v>0.74460068426401982</v>
      </c>
      <c r="AG422" s="20">
        <v>56478</v>
      </c>
    </row>
    <row r="423" spans="18:33" x14ac:dyDescent="0.4">
      <c r="R423" s="15">
        <v>22</v>
      </c>
      <c r="S423" s="14">
        <v>20321213</v>
      </c>
      <c r="T423" s="14">
        <v>20330314</v>
      </c>
      <c r="U423" s="14">
        <v>20330316</v>
      </c>
      <c r="V423" s="14">
        <v>1.77E-2</v>
      </c>
      <c r="W423" s="14">
        <v>0.44128767123287671</v>
      </c>
      <c r="X423" s="14">
        <v>0.85600623289144451</v>
      </c>
      <c r="Y423" s="14">
        <v>20321213</v>
      </c>
      <c r="Z423" s="14">
        <v>20330314</v>
      </c>
      <c r="AA423" s="14">
        <v>20330316</v>
      </c>
      <c r="AB423" s="14">
        <v>3.6691174666200164E-2</v>
      </c>
      <c r="AC423" s="14">
        <v>0.92747135961783744</v>
      </c>
      <c r="AD423" s="14">
        <v>0.73775673126790764</v>
      </c>
      <c r="AG423" s="20">
        <v>56527</v>
      </c>
    </row>
    <row r="424" spans="18:33" x14ac:dyDescent="0.4">
      <c r="R424" s="15">
        <v>22</v>
      </c>
      <c r="S424" s="14">
        <v>20330314</v>
      </c>
      <c r="T424" s="14">
        <v>20330613</v>
      </c>
      <c r="U424" s="14">
        <v>20330615</v>
      </c>
      <c r="V424" s="14">
        <v>1.77E-2</v>
      </c>
      <c r="W424" s="14">
        <v>0.44128767123287671</v>
      </c>
      <c r="X424" s="14">
        <v>0.85210191955002301</v>
      </c>
      <c r="Y424" s="14">
        <v>20330314</v>
      </c>
      <c r="Z424" s="14">
        <v>20330613</v>
      </c>
      <c r="AA424" s="14">
        <v>20330615</v>
      </c>
      <c r="AB424" s="14">
        <v>3.6714442942515108E-2</v>
      </c>
      <c r="AC424" s="14">
        <v>0.92805952993579854</v>
      </c>
      <c r="AD424" s="14">
        <v>0.73097280462183711</v>
      </c>
      <c r="AG424" s="20">
        <v>56531</v>
      </c>
    </row>
    <row r="425" spans="18:33" x14ac:dyDescent="0.4">
      <c r="R425" s="15">
        <v>22</v>
      </c>
      <c r="S425" s="14">
        <v>20330613</v>
      </c>
      <c r="T425" s="14">
        <v>20330912</v>
      </c>
      <c r="U425" s="14">
        <v>20330914</v>
      </c>
      <c r="V425" s="14">
        <v>1.77E-2</v>
      </c>
      <c r="W425" s="14">
        <v>0.44128767123287671</v>
      </c>
      <c r="X425" s="14">
        <v>0.8482211994564024</v>
      </c>
      <c r="Y425" s="14">
        <v>20330613</v>
      </c>
      <c r="Z425" s="14">
        <v>20330912</v>
      </c>
      <c r="AA425" s="14">
        <v>20330914</v>
      </c>
      <c r="AB425" s="14">
        <v>3.6730171159862532E-2</v>
      </c>
      <c r="AC425" s="14">
        <v>0.92845710431874728</v>
      </c>
      <c r="AD425" s="14">
        <v>0.72424840556325143</v>
      </c>
      <c r="AG425" s="20">
        <v>56608</v>
      </c>
    </row>
    <row r="426" spans="18:33" x14ac:dyDescent="0.4">
      <c r="R426" s="15">
        <v>22</v>
      </c>
      <c r="S426" s="14">
        <v>20330912</v>
      </c>
      <c r="T426" s="14">
        <v>20331212</v>
      </c>
      <c r="U426" s="14">
        <v>20331214</v>
      </c>
      <c r="V426" s="14">
        <v>1.77E-2</v>
      </c>
      <c r="W426" s="14">
        <v>0.44128767123287671</v>
      </c>
      <c r="X426" s="14">
        <v>0.84436391234273123</v>
      </c>
      <c r="Y426" s="14">
        <v>20330912</v>
      </c>
      <c r="Z426" s="14">
        <v>20331212</v>
      </c>
      <c r="AA426" s="14">
        <v>20331214</v>
      </c>
      <c r="AB426" s="14">
        <v>3.674589943917006E-2</v>
      </c>
      <c r="AC426" s="14">
        <v>0.92885468026790985</v>
      </c>
      <c r="AD426" s="14">
        <v>0.7175830392166278</v>
      </c>
      <c r="AG426" s="20">
        <v>56615</v>
      </c>
    </row>
    <row r="427" spans="18:33" x14ac:dyDescent="0.4">
      <c r="R427" s="15">
        <v>22</v>
      </c>
      <c r="S427" s="14">
        <v>20331212</v>
      </c>
      <c r="T427" s="14">
        <v>20340313</v>
      </c>
      <c r="U427" s="14">
        <v>20340315</v>
      </c>
      <c r="V427" s="14">
        <v>1.77E-2</v>
      </c>
      <c r="W427" s="14">
        <v>0.44128767123287671</v>
      </c>
      <c r="X427" s="14">
        <v>0.84000003431610726</v>
      </c>
      <c r="Y427" s="14">
        <v>20331212</v>
      </c>
      <c r="Z427" s="14">
        <v>20340313</v>
      </c>
      <c r="AA427" s="14">
        <v>20340315</v>
      </c>
      <c r="AB427" s="14">
        <v>3.7162514371449282E-2</v>
      </c>
      <c r="AC427" s="14">
        <v>0.93938577994496786</v>
      </c>
      <c r="AD427" s="14">
        <v>0.71090319106942368</v>
      </c>
      <c r="AG427" s="20">
        <v>56674</v>
      </c>
    </row>
    <row r="428" spans="18:33" x14ac:dyDescent="0.4">
      <c r="R428" s="15">
        <v>22</v>
      </c>
      <c r="S428" s="14">
        <v>20340313</v>
      </c>
      <c r="T428" s="14">
        <v>20340612</v>
      </c>
      <c r="U428" s="14">
        <v>20340614</v>
      </c>
      <c r="V428" s="14">
        <v>1.77E-2</v>
      </c>
      <c r="W428" s="14">
        <v>0.44128767123287671</v>
      </c>
      <c r="X428" s="14">
        <v>0.83563605187680767</v>
      </c>
      <c r="Y428" s="14">
        <v>20340313</v>
      </c>
      <c r="Z428" s="14">
        <v>20340612</v>
      </c>
      <c r="AA428" s="14">
        <v>20340614</v>
      </c>
      <c r="AB428" s="14">
        <v>3.720908357250291E-2</v>
      </c>
      <c r="AC428" s="14">
        <v>0.94056294586049027</v>
      </c>
      <c r="AD428" s="14">
        <v>0.70427885719366079</v>
      </c>
      <c r="AG428" s="20">
        <v>56735</v>
      </c>
    </row>
    <row r="429" spans="18:33" x14ac:dyDescent="0.4">
      <c r="R429" s="15">
        <v>22</v>
      </c>
      <c r="S429" s="14">
        <v>20340612</v>
      </c>
      <c r="T429" s="14">
        <v>20340912</v>
      </c>
      <c r="U429" s="14">
        <v>20340914</v>
      </c>
      <c r="V429" s="14">
        <v>1.77E-2</v>
      </c>
      <c r="W429" s="14">
        <v>0.44613698630136989</v>
      </c>
      <c r="X429" s="14">
        <v>0.83122424881500512</v>
      </c>
      <c r="Y429" s="14">
        <v>20340612</v>
      </c>
      <c r="Z429" s="14">
        <v>20340912</v>
      </c>
      <c r="AA429" s="14">
        <v>20340914</v>
      </c>
      <c r="AB429" s="14">
        <v>3.7249015161941824E-2</v>
      </c>
      <c r="AC429" s="14">
        <v>0.95191927636073537</v>
      </c>
      <c r="AD429" s="14">
        <v>0.69763776072866024</v>
      </c>
      <c r="AG429" s="20">
        <v>56739</v>
      </c>
    </row>
    <row r="430" spans="18:33" x14ac:dyDescent="0.4">
      <c r="R430" s="15">
        <v>22</v>
      </c>
      <c r="S430" s="14">
        <v>20340912</v>
      </c>
      <c r="T430" s="14">
        <v>20341212</v>
      </c>
      <c r="U430" s="14">
        <v>20341214</v>
      </c>
      <c r="V430" s="14">
        <v>1.77E-2</v>
      </c>
      <c r="W430" s="14">
        <v>0.44128767123287671</v>
      </c>
      <c r="X430" s="14">
        <v>0.82686077137997505</v>
      </c>
      <c r="Y430" s="14">
        <v>20340912</v>
      </c>
      <c r="Z430" s="14">
        <v>20341212</v>
      </c>
      <c r="AA430" s="14">
        <v>20341214</v>
      </c>
      <c r="AB430" s="14">
        <v>3.7285105280239733E-2</v>
      </c>
      <c r="AC430" s="14">
        <v>0.94248460569494874</v>
      </c>
      <c r="AD430" s="14">
        <v>0.69112387940945996</v>
      </c>
      <c r="AG430" s="20">
        <v>56771</v>
      </c>
    </row>
    <row r="431" spans="18:33" x14ac:dyDescent="0.4">
      <c r="R431" s="15">
        <v>22</v>
      </c>
      <c r="S431" s="14">
        <v>20341212</v>
      </c>
      <c r="T431" s="14">
        <v>20350312</v>
      </c>
      <c r="U431" s="14">
        <v>20350314</v>
      </c>
      <c r="V431" s="14">
        <v>1.77E-2</v>
      </c>
      <c r="W431" s="14">
        <v>0.43643835616438353</v>
      </c>
      <c r="X431" s="14">
        <v>0.82300626315606429</v>
      </c>
      <c r="Y431" s="14">
        <v>20341212</v>
      </c>
      <c r="Z431" s="14">
        <v>20350312</v>
      </c>
      <c r="AA431" s="14">
        <v>20350314</v>
      </c>
      <c r="AB431" s="14">
        <v>3.7723281562690225E-2</v>
      </c>
      <c r="AC431" s="14">
        <v>0.94308203906725563</v>
      </c>
      <c r="AD431" s="14">
        <v>0.68466517932266679</v>
      </c>
      <c r="AG431" s="20">
        <v>56842</v>
      </c>
    </row>
    <row r="432" spans="18:33" x14ac:dyDescent="0.4">
      <c r="R432" s="15">
        <v>22</v>
      </c>
      <c r="S432" s="14">
        <v>20350312</v>
      </c>
      <c r="T432" s="14">
        <v>20350612</v>
      </c>
      <c r="U432" s="14">
        <v>20350614</v>
      </c>
      <c r="V432" s="14">
        <v>1.77E-2</v>
      </c>
      <c r="W432" s="14">
        <v>0.44613698630136989</v>
      </c>
      <c r="X432" s="14">
        <v>0.81908498157077259</v>
      </c>
      <c r="Y432" s="14">
        <v>20350312</v>
      </c>
      <c r="Z432" s="14">
        <v>20350612</v>
      </c>
      <c r="AA432" s="14">
        <v>20350614</v>
      </c>
      <c r="AB432" s="14">
        <v>3.7793981155064514E-2</v>
      </c>
      <c r="AC432" s="14">
        <v>0.96584618507387088</v>
      </c>
      <c r="AD432" s="14">
        <v>0.67811540727787045</v>
      </c>
      <c r="AG432" s="20">
        <v>56891</v>
      </c>
    </row>
    <row r="433" spans="18:33" x14ac:dyDescent="0.4">
      <c r="R433" s="15">
        <v>22</v>
      </c>
      <c r="S433" s="14">
        <v>20350612</v>
      </c>
      <c r="T433" s="14">
        <v>20350912</v>
      </c>
      <c r="U433" s="14">
        <v>20350914</v>
      </c>
      <c r="V433" s="14">
        <v>1.77E-2</v>
      </c>
      <c r="W433" s="14">
        <v>0.44613698630136989</v>
      </c>
      <c r="X433" s="14">
        <v>0.81518269657878739</v>
      </c>
      <c r="Y433" s="14">
        <v>20350612</v>
      </c>
      <c r="Z433" s="14">
        <v>20350912</v>
      </c>
      <c r="AA433" s="14">
        <v>20350914</v>
      </c>
      <c r="AB433" s="14">
        <v>3.7852445928708608E-2</v>
      </c>
      <c r="AC433" s="14">
        <v>0.96734028484477541</v>
      </c>
      <c r="AD433" s="14">
        <v>0.6716183542308064</v>
      </c>
      <c r="AG433" s="20">
        <v>56898</v>
      </c>
    </row>
    <row r="434" spans="18:33" x14ac:dyDescent="0.4">
      <c r="R434" s="15">
        <v>22</v>
      </c>
      <c r="S434" s="14">
        <v>20350912</v>
      </c>
      <c r="T434" s="14">
        <v>20351212</v>
      </c>
      <c r="U434" s="14">
        <v>20351214</v>
      </c>
      <c r="V434" s="14">
        <v>1.77E-2</v>
      </c>
      <c r="W434" s="14">
        <v>0.44128767123287671</v>
      </c>
      <c r="X434" s="14">
        <v>0.81134142407115517</v>
      </c>
      <c r="Y434" s="14">
        <v>20350912</v>
      </c>
      <c r="Z434" s="14">
        <v>20351212</v>
      </c>
      <c r="AA434" s="14">
        <v>20351214</v>
      </c>
      <c r="AB434" s="14">
        <v>3.7908604172672944E-2</v>
      </c>
      <c r="AC434" s="14">
        <v>0.95824527214256605</v>
      </c>
      <c r="AD434" s="14">
        <v>0.66524347636265169</v>
      </c>
      <c r="AG434" s="20">
        <v>56975</v>
      </c>
    </row>
    <row r="435" spans="18:33" x14ac:dyDescent="0.4">
      <c r="R435" s="15">
        <v>22</v>
      </c>
      <c r="S435" s="14">
        <v>20351212</v>
      </c>
      <c r="T435" s="14">
        <v>20360312</v>
      </c>
      <c r="U435" s="14">
        <v>20360314</v>
      </c>
      <c r="V435" s="14">
        <v>1.77E-2</v>
      </c>
      <c r="W435" s="14">
        <v>0.44128767123287671</v>
      </c>
      <c r="X435" s="14">
        <v>0.80801738270087431</v>
      </c>
      <c r="Y435" s="14">
        <v>20351212</v>
      </c>
      <c r="Z435" s="14">
        <v>20360312</v>
      </c>
      <c r="AA435" s="14">
        <v>20360314</v>
      </c>
      <c r="AB435" s="14">
        <v>3.7966429096890644E-2</v>
      </c>
      <c r="AC435" s="14">
        <v>0.95970695772695791</v>
      </c>
      <c r="AD435" s="14">
        <v>0.65891956774596983</v>
      </c>
      <c r="AG435" s="20">
        <v>56980</v>
      </c>
    </row>
    <row r="436" spans="18:33" x14ac:dyDescent="0.4">
      <c r="R436" s="15">
        <v>22</v>
      </c>
      <c r="S436" s="14">
        <v>20360312</v>
      </c>
      <c r="T436" s="14">
        <v>20360612</v>
      </c>
      <c r="U436" s="14">
        <v>20360616</v>
      </c>
      <c r="V436" s="14">
        <v>1.77E-2</v>
      </c>
      <c r="W436" s="14">
        <v>0.44613698630136989</v>
      </c>
      <c r="X436" s="14">
        <v>0.80462146551659486</v>
      </c>
      <c r="Y436" s="14">
        <v>20360312</v>
      </c>
      <c r="Z436" s="14">
        <v>20360612</v>
      </c>
      <c r="AA436" s="14">
        <v>20360616</v>
      </c>
      <c r="AB436" s="14">
        <v>3.8026574401730039E-2</v>
      </c>
      <c r="AC436" s="14">
        <v>0.97179023471087866</v>
      </c>
      <c r="AD436" s="14">
        <v>0.6524403751597625</v>
      </c>
      <c r="AG436" s="20">
        <v>57040</v>
      </c>
    </row>
    <row r="437" spans="18:33" x14ac:dyDescent="0.4">
      <c r="R437" s="15">
        <v>22</v>
      </c>
      <c r="S437" s="14">
        <v>20360612</v>
      </c>
      <c r="T437" s="14">
        <v>20360912</v>
      </c>
      <c r="U437" s="14">
        <v>20360916</v>
      </c>
      <c r="V437" s="14">
        <v>1.77E-2</v>
      </c>
      <c r="W437" s="14">
        <v>0.44613698630136989</v>
      </c>
      <c r="X437" s="14">
        <v>0.80133456327090213</v>
      </c>
      <c r="Y437" s="14">
        <v>20360612</v>
      </c>
      <c r="Z437" s="14">
        <v>20360912</v>
      </c>
      <c r="AA437" s="14">
        <v>20360916</v>
      </c>
      <c r="AB437" s="14">
        <v>3.8085042617305213E-2</v>
      </c>
      <c r="AC437" s="14">
        <v>0.97328442244224433</v>
      </c>
      <c r="AD437" s="14">
        <v>0.64615106769916153</v>
      </c>
      <c r="AG437" s="20">
        <v>57101</v>
      </c>
    </row>
    <row r="438" spans="18:33" x14ac:dyDescent="0.4">
      <c r="R438" s="15">
        <v>22</v>
      </c>
      <c r="S438" s="14">
        <v>20360912</v>
      </c>
      <c r="T438" s="14">
        <v>20361212</v>
      </c>
      <c r="U438" s="14">
        <v>20361216</v>
      </c>
      <c r="V438" s="14">
        <v>1.77E-2</v>
      </c>
      <c r="W438" s="14">
        <v>0.44128767123287671</v>
      </c>
      <c r="X438" s="14">
        <v>0.79811883340241463</v>
      </c>
      <c r="Y438" s="14">
        <v>20360912</v>
      </c>
      <c r="Z438" s="14">
        <v>20361212</v>
      </c>
      <c r="AA438" s="14">
        <v>20361216</v>
      </c>
      <c r="AB438" s="14">
        <v>3.8141179834830577E-2</v>
      </c>
      <c r="AC438" s="14">
        <v>0.96412426804710627</v>
      </c>
      <c r="AD438" s="14">
        <v>0.63998044966518408</v>
      </c>
      <c r="AG438" s="20">
        <v>57105</v>
      </c>
    </row>
    <row r="439" spans="18:33" x14ac:dyDescent="0.4">
      <c r="R439" s="15">
        <v>22</v>
      </c>
      <c r="S439" s="14">
        <v>20361212</v>
      </c>
      <c r="T439" s="14">
        <v>20370312</v>
      </c>
      <c r="U439" s="14">
        <v>20370316</v>
      </c>
      <c r="V439" s="14">
        <v>1.77E-2</v>
      </c>
      <c r="W439" s="14">
        <v>0.43643835616438353</v>
      </c>
      <c r="X439" s="14">
        <v>0.79479251722221966</v>
      </c>
      <c r="Y439" s="14">
        <v>20361212</v>
      </c>
      <c r="Z439" s="14">
        <v>20370312</v>
      </c>
      <c r="AA439" s="14">
        <v>20370316</v>
      </c>
      <c r="AB439" s="14">
        <v>3.7947535774393693E-2</v>
      </c>
      <c r="AC439" s="14">
        <v>0.94868839435984231</v>
      </c>
      <c r="AD439" s="14">
        <v>0.63396754377298636</v>
      </c>
      <c r="AG439" s="20">
        <v>57137</v>
      </c>
    </row>
    <row r="440" spans="18:33" x14ac:dyDescent="0.4">
      <c r="R440" s="15">
        <v>22</v>
      </c>
      <c r="S440" s="14">
        <v>20370312</v>
      </c>
      <c r="T440" s="14">
        <v>20370612</v>
      </c>
      <c r="U440" s="14">
        <v>20370616</v>
      </c>
      <c r="V440" s="14">
        <v>1.77E-2</v>
      </c>
      <c r="W440" s="14">
        <v>0.44613698630136989</v>
      </c>
      <c r="X440" s="14">
        <v>0.79142132534927223</v>
      </c>
      <c r="Y440" s="14">
        <v>20370312</v>
      </c>
      <c r="Z440" s="14">
        <v>20370612</v>
      </c>
      <c r="AA440" s="14">
        <v>20370616</v>
      </c>
      <c r="AB440" s="14">
        <v>3.798739262102227E-2</v>
      </c>
      <c r="AC440" s="14">
        <v>0.9707889225372357</v>
      </c>
      <c r="AD440" s="14">
        <v>0.62787189983561587</v>
      </c>
      <c r="AG440" s="20">
        <v>57207</v>
      </c>
    </row>
    <row r="441" spans="18:33" x14ac:dyDescent="0.4">
      <c r="R441" s="15">
        <v>22</v>
      </c>
      <c r="S441" s="14">
        <v>20370612</v>
      </c>
      <c r="T441" s="14">
        <v>20370914</v>
      </c>
      <c r="U441" s="14">
        <v>20370916</v>
      </c>
      <c r="V441" s="14">
        <v>1.77E-2</v>
      </c>
      <c r="W441" s="14">
        <v>0.45583561643835618</v>
      </c>
      <c r="X441" s="14">
        <v>0.78807924588730471</v>
      </c>
      <c r="Y441" s="14">
        <v>20370612</v>
      </c>
      <c r="Z441" s="14">
        <v>20370914</v>
      </c>
      <c r="AA441" s="14">
        <v>20370916</v>
      </c>
      <c r="AB441" s="14">
        <v>3.8039662835846935E-2</v>
      </c>
      <c r="AC441" s="14">
        <v>0.99325786293600338</v>
      </c>
      <c r="AD441" s="14">
        <v>0.62182735163497871</v>
      </c>
      <c r="AG441" s="20">
        <v>57256</v>
      </c>
    </row>
    <row r="442" spans="18:33" x14ac:dyDescent="0.4">
      <c r="R442" s="15">
        <v>22</v>
      </c>
      <c r="S442" s="14">
        <v>20370914</v>
      </c>
      <c r="T442" s="14">
        <v>20371214</v>
      </c>
      <c r="U442" s="14">
        <v>20371216</v>
      </c>
      <c r="V442" s="14">
        <v>1.77E-2</v>
      </c>
      <c r="W442" s="14">
        <v>0.44128767123287671</v>
      </c>
      <c r="X442" s="14">
        <v>0.7848018894453338</v>
      </c>
      <c r="Y442" s="14">
        <v>20370914</v>
      </c>
      <c r="Z442" s="14">
        <v>20371214</v>
      </c>
      <c r="AA442" s="14">
        <v>20371216</v>
      </c>
      <c r="AB442" s="14">
        <v>3.8081654397047311E-2</v>
      </c>
      <c r="AC442" s="14">
        <v>0.96261959725869595</v>
      </c>
      <c r="AD442" s="14">
        <v>0.61589843106015041</v>
      </c>
      <c r="AG442" s="20">
        <v>57262</v>
      </c>
    </row>
    <row r="443" spans="18:33" x14ac:dyDescent="0.4">
      <c r="R443" s="15">
        <v>22</v>
      </c>
      <c r="S443" s="14">
        <v>20371214</v>
      </c>
      <c r="T443" s="14">
        <v>20380312</v>
      </c>
      <c r="U443" s="14">
        <v>20380316</v>
      </c>
      <c r="V443" s="14">
        <v>1.77E-2</v>
      </c>
      <c r="W443" s="14">
        <v>0.42673972602739729</v>
      </c>
      <c r="X443" s="14">
        <v>0.78158809116086436</v>
      </c>
      <c r="Y443" s="14">
        <v>20371214</v>
      </c>
      <c r="Z443" s="14">
        <v>20380312</v>
      </c>
      <c r="AA443" s="14">
        <v>20380316</v>
      </c>
      <c r="AB443" s="14">
        <v>3.8122061182353457E-2</v>
      </c>
      <c r="AC443" s="14">
        <v>0.93187260667975114</v>
      </c>
      <c r="AD443" s="14">
        <v>0.61008317277808799</v>
      </c>
      <c r="AG443" s="20">
        <v>57339</v>
      </c>
    </row>
    <row r="444" spans="18:33" x14ac:dyDescent="0.4">
      <c r="R444" s="15">
        <v>22</v>
      </c>
      <c r="S444" s="14">
        <v>20380312</v>
      </c>
      <c r="T444" s="14">
        <v>20380614</v>
      </c>
      <c r="U444" s="14">
        <v>20380616</v>
      </c>
      <c r="V444" s="14">
        <v>1.77E-2</v>
      </c>
      <c r="W444" s="14">
        <v>0.45583561643835618</v>
      </c>
      <c r="X444" s="14">
        <v>0.77833094821693016</v>
      </c>
      <c r="Y444" s="14">
        <v>20380312</v>
      </c>
      <c r="Z444" s="14">
        <v>20380614</v>
      </c>
      <c r="AA444" s="14">
        <v>20380616</v>
      </c>
      <c r="AB444" s="14">
        <v>3.8181375019621849E-2</v>
      </c>
      <c r="AC444" s="14">
        <v>0.9969581255123483</v>
      </c>
      <c r="AD444" s="14">
        <v>0.60418821169859194</v>
      </c>
      <c r="AG444" s="20">
        <v>57346</v>
      </c>
    </row>
    <row r="445" spans="18:33" x14ac:dyDescent="0.4">
      <c r="R445" s="15">
        <v>22</v>
      </c>
      <c r="S445" s="14">
        <v>20380614</v>
      </c>
      <c r="T445" s="14">
        <v>20380916</v>
      </c>
      <c r="U445" s="14">
        <v>20380920</v>
      </c>
      <c r="V445" s="14">
        <v>1.77E-2</v>
      </c>
      <c r="W445" s="14">
        <v>0.45583561643835618</v>
      </c>
      <c r="X445" s="14">
        <v>0.77496219153682533</v>
      </c>
      <c r="Y445" s="14">
        <v>20380614</v>
      </c>
      <c r="Z445" s="14">
        <v>20380913</v>
      </c>
      <c r="AA445" s="14">
        <v>20380920</v>
      </c>
      <c r="AB445" s="14">
        <v>3.8230170892620235E-2</v>
      </c>
      <c r="AC445" s="14">
        <v>0.99823223997397292</v>
      </c>
      <c r="AD445" s="14">
        <v>0.59808996279435045</v>
      </c>
      <c r="AG445" s="20">
        <v>57405</v>
      </c>
    </row>
    <row r="446" spans="18:33" x14ac:dyDescent="0.4">
      <c r="R446" s="15">
        <v>22</v>
      </c>
      <c r="S446" s="14">
        <v>20380916</v>
      </c>
      <c r="T446" s="14">
        <v>20381213</v>
      </c>
      <c r="U446" s="14">
        <v>20381215</v>
      </c>
      <c r="V446" s="14">
        <v>1.77E-2</v>
      </c>
      <c r="W446" s="14">
        <v>0.42673972602739729</v>
      </c>
      <c r="X446" s="14">
        <v>0.77197014696269717</v>
      </c>
      <c r="Y446" s="14">
        <v>20380916</v>
      </c>
      <c r="Z446" s="14">
        <v>20381213</v>
      </c>
      <c r="AA446" s="14">
        <v>20381215</v>
      </c>
      <c r="AB446" s="14">
        <v>3.8265243421052565E-2</v>
      </c>
      <c r="AC446" s="14">
        <v>0.9353726169590626</v>
      </c>
      <c r="AD446" s="14">
        <v>0.59267261231756441</v>
      </c>
      <c r="AG446" s="20">
        <v>57466</v>
      </c>
    </row>
    <row r="447" spans="18:33" x14ac:dyDescent="0.4">
      <c r="R447" s="15">
        <v>22</v>
      </c>
      <c r="S447" s="14">
        <v>20381213</v>
      </c>
      <c r="T447" s="14">
        <v>20390314</v>
      </c>
      <c r="U447" s="14">
        <v>20390316</v>
      </c>
      <c r="V447" s="14">
        <v>1.77E-2</v>
      </c>
      <c r="W447" s="14">
        <v>0.44128767123287671</v>
      </c>
      <c r="X447" s="14">
        <v>0.76883047476283783</v>
      </c>
      <c r="Y447" s="14">
        <v>20381213</v>
      </c>
      <c r="Z447" s="14">
        <v>20390314</v>
      </c>
      <c r="AA447" s="14">
        <v>20390316</v>
      </c>
      <c r="AB447" s="14">
        <v>3.8317772371657108E-2</v>
      </c>
      <c r="AC447" s="14">
        <v>0.96858813495022122</v>
      </c>
      <c r="AD447" s="14">
        <v>0.58698697214908024</v>
      </c>
      <c r="AG447" s="20">
        <v>57472</v>
      </c>
    </row>
    <row r="448" spans="18:33" x14ac:dyDescent="0.4">
      <c r="R448" s="15">
        <v>22</v>
      </c>
      <c r="S448" s="14">
        <v>20390314</v>
      </c>
      <c r="T448" s="14">
        <v>20390613</v>
      </c>
      <c r="U448" s="14">
        <v>20390615</v>
      </c>
      <c r="V448" s="14">
        <v>1.77E-2</v>
      </c>
      <c r="W448" s="14">
        <v>0.44128767123287671</v>
      </c>
      <c r="X448" s="14">
        <v>0.76571765355161125</v>
      </c>
      <c r="Y448" s="14">
        <v>20390314</v>
      </c>
      <c r="Z448" s="14">
        <v>20390613</v>
      </c>
      <c r="AA448" s="14">
        <v>20390615</v>
      </c>
      <c r="AB448" s="14">
        <v>3.8364997641564487E-2</v>
      </c>
      <c r="AC448" s="14">
        <v>0.96978188482843564</v>
      </c>
      <c r="AD448" s="14">
        <v>0.58134900231186515</v>
      </c>
      <c r="AG448" s="20">
        <v>57502</v>
      </c>
    </row>
    <row r="449" spans="18:33" x14ac:dyDescent="0.4">
      <c r="R449" s="15">
        <v>22</v>
      </c>
      <c r="S449" s="14">
        <v>20390613</v>
      </c>
      <c r="T449" s="14">
        <v>20390912</v>
      </c>
      <c r="U449" s="14">
        <v>20390914</v>
      </c>
      <c r="V449" s="14">
        <v>1.77E-2</v>
      </c>
      <c r="W449" s="14">
        <v>0.44128767123287671</v>
      </c>
      <c r="X449" s="14">
        <v>0.7626314603546247</v>
      </c>
      <c r="Y449" s="14">
        <v>20390613</v>
      </c>
      <c r="Z449" s="14">
        <v>20390912</v>
      </c>
      <c r="AA449" s="14">
        <v>20390914</v>
      </c>
      <c r="AB449" s="14">
        <v>3.8412223469820844E-2</v>
      </c>
      <c r="AC449" s="14">
        <v>0.97097564882047127</v>
      </c>
      <c r="AD449" s="14">
        <v>0.57575837760906812</v>
      </c>
      <c r="AG449" s="20">
        <v>57572</v>
      </c>
    </row>
    <row r="450" spans="18:33" x14ac:dyDescent="0.4">
      <c r="R450" s="15">
        <v>22</v>
      </c>
      <c r="S450" s="14">
        <v>20390912</v>
      </c>
      <c r="T450" s="14">
        <v>20391212</v>
      </c>
      <c r="U450" s="14">
        <v>20391214</v>
      </c>
      <c r="V450" s="14">
        <v>1.77E-2</v>
      </c>
      <c r="W450" s="14">
        <v>0.44128767123287671</v>
      </c>
      <c r="X450" s="14">
        <v>0.7595716745643597</v>
      </c>
      <c r="Y450" s="14">
        <v>20390912</v>
      </c>
      <c r="Z450" s="14">
        <v>20391212</v>
      </c>
      <c r="AA450" s="14">
        <v>20391214</v>
      </c>
      <c r="AB450" s="14">
        <v>3.8459449856416507E-2</v>
      </c>
      <c r="AC450" s="14">
        <v>0.97216942692608388</v>
      </c>
      <c r="AD450" s="14">
        <v>0.57021477429804845</v>
      </c>
      <c r="AG450" s="20">
        <v>57621</v>
      </c>
    </row>
    <row r="451" spans="18:33" x14ac:dyDescent="0.4">
      <c r="R451" s="15">
        <v>22</v>
      </c>
      <c r="S451" s="14">
        <v>20391212</v>
      </c>
      <c r="T451" s="14">
        <v>20400312</v>
      </c>
      <c r="U451" s="14">
        <v>20400314</v>
      </c>
      <c r="V451" s="14">
        <v>1.77E-2</v>
      </c>
      <c r="W451" s="14">
        <v>0.44128767123287671</v>
      </c>
      <c r="X451" s="14">
        <v>0.7565644068245021</v>
      </c>
      <c r="Y451" s="14">
        <v>20391212</v>
      </c>
      <c r="Z451" s="14">
        <v>20400312</v>
      </c>
      <c r="AA451" s="14">
        <v>20400314</v>
      </c>
      <c r="AB451" s="14">
        <v>3.6491521419454415E-2</v>
      </c>
      <c r="AC451" s="14">
        <v>0.92242456921398652</v>
      </c>
      <c r="AD451" s="14">
        <v>0.56500941204463095</v>
      </c>
      <c r="AG451" s="20">
        <v>57627</v>
      </c>
    </row>
    <row r="452" spans="18:33" x14ac:dyDescent="0.4">
      <c r="R452" s="15">
        <v>22</v>
      </c>
      <c r="S452" s="14">
        <v>20400312</v>
      </c>
      <c r="T452" s="14">
        <v>20400612</v>
      </c>
      <c r="U452" s="14">
        <v>20400614</v>
      </c>
      <c r="V452" s="14">
        <v>1.77E-2</v>
      </c>
      <c r="W452" s="14">
        <v>0.44613698630136989</v>
      </c>
      <c r="X452" s="14">
        <v>0.75355115300263265</v>
      </c>
      <c r="Y452" s="14">
        <v>20400312</v>
      </c>
      <c r="Z452" s="14">
        <v>20400612</v>
      </c>
      <c r="AA452" s="14">
        <v>20400614</v>
      </c>
      <c r="AB452" s="14">
        <v>3.6428622961431852E-2</v>
      </c>
      <c r="AC452" s="14">
        <v>0.93095369790325844</v>
      </c>
      <c r="AD452" s="14">
        <v>0.55979801490355008</v>
      </c>
      <c r="AG452" s="20">
        <v>57704</v>
      </c>
    </row>
    <row r="453" spans="18:33" x14ac:dyDescent="0.4">
      <c r="R453" s="15">
        <v>22</v>
      </c>
      <c r="S453" s="14">
        <v>20400612</v>
      </c>
      <c r="T453" s="14">
        <v>20400912</v>
      </c>
      <c r="U453" s="14">
        <v>20400914</v>
      </c>
      <c r="V453" s="14">
        <v>1.77E-2</v>
      </c>
      <c r="W453" s="14">
        <v>0.44613698630136989</v>
      </c>
      <c r="X453" s="14">
        <v>0.75056488029350665</v>
      </c>
      <c r="Y453" s="14">
        <v>20400612</v>
      </c>
      <c r="Z453" s="14">
        <v>20400912</v>
      </c>
      <c r="AA453" s="14">
        <v>20400914</v>
      </c>
      <c r="AB453" s="14">
        <v>3.6408308004012103E-2</v>
      </c>
      <c r="AC453" s="14">
        <v>0.93043453788030916</v>
      </c>
      <c r="AD453" s="14">
        <v>0.55463753828401963</v>
      </c>
      <c r="AG453" s="20">
        <v>57711</v>
      </c>
    </row>
    <row r="454" spans="18:33" x14ac:dyDescent="0.4">
      <c r="R454" s="15">
        <v>22</v>
      </c>
      <c r="S454" s="14">
        <v>20400912</v>
      </c>
      <c r="T454" s="14">
        <v>20401212</v>
      </c>
      <c r="U454" s="14">
        <v>20401214</v>
      </c>
      <c r="V454" s="14">
        <v>1.77E-2</v>
      </c>
      <c r="W454" s="14">
        <v>0.44128767123287671</v>
      </c>
      <c r="X454" s="14">
        <v>0.74763738844418781</v>
      </c>
      <c r="Y454" s="14">
        <v>20400912</v>
      </c>
      <c r="Z454" s="14">
        <v>20401212</v>
      </c>
      <c r="AA454" s="14">
        <v>20401214</v>
      </c>
      <c r="AB454" s="14">
        <v>3.6386270273685434E-2</v>
      </c>
      <c r="AC454" s="14">
        <v>0.91976405414038176</v>
      </c>
      <c r="AD454" s="14">
        <v>0.54958273518357992</v>
      </c>
      <c r="AG454" s="20">
        <v>57770</v>
      </c>
    </row>
    <row r="455" spans="18:33" x14ac:dyDescent="0.4">
      <c r="R455" s="15">
        <v>22</v>
      </c>
      <c r="S455" s="14">
        <v>20401212</v>
      </c>
      <c r="T455" s="14">
        <v>20410312</v>
      </c>
      <c r="U455" s="14">
        <v>20410314</v>
      </c>
      <c r="V455" s="14">
        <v>1.77E-2</v>
      </c>
      <c r="W455" s="14">
        <v>0.43643835616438353</v>
      </c>
      <c r="X455" s="14">
        <v>0.74476760178997581</v>
      </c>
      <c r="Y455" s="14">
        <v>20401212</v>
      </c>
      <c r="Z455" s="14">
        <v>20410312</v>
      </c>
      <c r="AA455" s="14">
        <v>20410314</v>
      </c>
      <c r="AB455" s="14">
        <v>3.6364457601337996E-2</v>
      </c>
      <c r="AC455" s="14">
        <v>0.9091114400334499</v>
      </c>
      <c r="AD455" s="14">
        <v>0.54463148813737128</v>
      </c>
      <c r="AG455" s="20">
        <v>57831</v>
      </c>
    </row>
    <row r="456" spans="18:33" x14ac:dyDescent="0.4">
      <c r="R456" s="15">
        <v>22</v>
      </c>
      <c r="S456" s="14">
        <v>20410312</v>
      </c>
      <c r="T456" s="14">
        <v>20410612</v>
      </c>
      <c r="U456" s="14">
        <v>20410614</v>
      </c>
      <c r="V456" s="14">
        <v>1.77E-2</v>
      </c>
      <c r="W456" s="14">
        <v>0.44613698630136989</v>
      </c>
      <c r="X456" s="14">
        <v>0.74186007250533204</v>
      </c>
      <c r="Y456" s="14">
        <v>20410312</v>
      </c>
      <c r="Z456" s="14">
        <v>20410612</v>
      </c>
      <c r="AA456" s="14">
        <v>20410614</v>
      </c>
      <c r="AB456" s="14">
        <v>3.634802619111243E-2</v>
      </c>
      <c r="AC456" s="14">
        <v>0.92889400266176203</v>
      </c>
      <c r="AD456" s="14">
        <v>0.53961905995303761</v>
      </c>
      <c r="AG456" s="20">
        <v>57836</v>
      </c>
    </row>
    <row r="457" spans="18:33" x14ac:dyDescent="0.4">
      <c r="R457" s="15">
        <v>22</v>
      </c>
      <c r="S457" s="14">
        <v>20410612</v>
      </c>
      <c r="T457" s="14">
        <v>20410912</v>
      </c>
      <c r="U457" s="14">
        <v>20410916</v>
      </c>
      <c r="V457" s="14">
        <v>1.77E-2</v>
      </c>
      <c r="W457" s="14">
        <v>0.44613698630136989</v>
      </c>
      <c r="X457" s="14">
        <v>0.73891629115107182</v>
      </c>
      <c r="Y457" s="14">
        <v>20410612</v>
      </c>
      <c r="Z457" s="14">
        <v>20410912</v>
      </c>
      <c r="AA457" s="14">
        <v>20410916</v>
      </c>
      <c r="AB457" s="14">
        <v>3.6327711648253234E-2</v>
      </c>
      <c r="AC457" s="14">
        <v>0.92837485323313818</v>
      </c>
      <c r="AD457" s="14">
        <v>0.53454814887637647</v>
      </c>
      <c r="AG457" s="20">
        <v>57867</v>
      </c>
    </row>
    <row r="458" spans="18:33" x14ac:dyDescent="0.4">
      <c r="R458" s="15">
        <v>22</v>
      </c>
      <c r="S458" s="14">
        <v>20410912</v>
      </c>
      <c r="T458" s="14">
        <v>20411212</v>
      </c>
      <c r="U458" s="14">
        <v>20411216</v>
      </c>
      <c r="V458" s="14">
        <v>1.77E-2</v>
      </c>
      <c r="W458" s="14">
        <v>0.44128767123287671</v>
      </c>
      <c r="X458" s="14">
        <v>0.73609219905202505</v>
      </c>
      <c r="Y458" s="14">
        <v>20410912</v>
      </c>
      <c r="Z458" s="14">
        <v>20411212</v>
      </c>
      <c r="AA458" s="14">
        <v>20411216</v>
      </c>
      <c r="AB458" s="14">
        <v>3.6305682429738376E-2</v>
      </c>
      <c r="AC458" s="14">
        <v>0.91772697252949786</v>
      </c>
      <c r="AD458" s="14">
        <v>0.52968718495711786</v>
      </c>
      <c r="AG458" s="20">
        <v>57937</v>
      </c>
    </row>
    <row r="459" spans="18:33" x14ac:dyDescent="0.4">
      <c r="R459" s="15">
        <v>22</v>
      </c>
      <c r="S459" s="14">
        <v>20411212</v>
      </c>
      <c r="T459" s="14">
        <v>20420312</v>
      </c>
      <c r="U459" s="14">
        <v>20420314</v>
      </c>
      <c r="V459" s="14">
        <v>1.77E-2</v>
      </c>
      <c r="W459" s="14">
        <v>0.43643835616438353</v>
      </c>
      <c r="X459" s="14">
        <v>0.7333850951251486</v>
      </c>
      <c r="Y459" s="14">
        <v>20411212</v>
      </c>
      <c r="Z459" s="14">
        <v>20420312</v>
      </c>
      <c r="AA459" s="14">
        <v>20420314</v>
      </c>
      <c r="AB459" s="14">
        <v>3.6283878254923074E-2</v>
      </c>
      <c r="AC459" s="14">
        <v>0.90709695637307686</v>
      </c>
      <c r="AD459" s="14">
        <v>0.52503103156367803</v>
      </c>
      <c r="AG459" s="20">
        <v>57986</v>
      </c>
    </row>
    <row r="460" spans="18:33" x14ac:dyDescent="0.4">
      <c r="R460" s="15">
        <v>22</v>
      </c>
      <c r="S460" s="14">
        <v>20420312</v>
      </c>
      <c r="T460" s="14">
        <v>20420612</v>
      </c>
      <c r="U460" s="14">
        <v>20420616</v>
      </c>
      <c r="V460" s="14">
        <v>1.77E-2</v>
      </c>
      <c r="W460" s="14">
        <v>0.44613698630136989</v>
      </c>
      <c r="X460" s="14">
        <v>0.7305191470387693</v>
      </c>
      <c r="Y460" s="14">
        <v>20420312</v>
      </c>
      <c r="Z460" s="14">
        <v>20420612</v>
      </c>
      <c r="AA460" s="14">
        <v>20420616</v>
      </c>
      <c r="AB460" s="14">
        <v>3.6267431065528655E-2</v>
      </c>
      <c r="AC460" s="14">
        <v>0.92683434945239895</v>
      </c>
      <c r="AD460" s="14">
        <v>0.52010531830267681</v>
      </c>
      <c r="AG460" s="20">
        <v>57992</v>
      </c>
    </row>
    <row r="461" spans="18:33" x14ac:dyDescent="0.4">
      <c r="R461" s="15">
        <v>22</v>
      </c>
      <c r="S461" s="14">
        <v>20420612</v>
      </c>
      <c r="T461" s="14">
        <v>20420912</v>
      </c>
      <c r="U461" s="14">
        <v>20420916</v>
      </c>
      <c r="V461" s="14">
        <v>1.77E-2</v>
      </c>
      <c r="W461" s="14">
        <v>0.44613698630136989</v>
      </c>
      <c r="X461" s="14">
        <v>0.72773970383665831</v>
      </c>
      <c r="Y461" s="14">
        <v>20420612</v>
      </c>
      <c r="Z461" s="14">
        <v>20420912</v>
      </c>
      <c r="AA461" s="14">
        <v>20420916</v>
      </c>
      <c r="AB461" s="14">
        <v>3.6247116937227417E-2</v>
      </c>
      <c r="AC461" s="14">
        <v>0.9263152106180339</v>
      </c>
      <c r="AD461" s="14">
        <v>0.51533183742400479</v>
      </c>
      <c r="AG461" s="20">
        <v>58069</v>
      </c>
    </row>
    <row r="462" spans="18:33" x14ac:dyDescent="0.4">
      <c r="R462" s="15">
        <v>22</v>
      </c>
      <c r="S462" s="14">
        <v>20420912</v>
      </c>
      <c r="T462" s="14">
        <v>20421212</v>
      </c>
      <c r="U462" s="14">
        <v>20421216</v>
      </c>
      <c r="V462" s="14">
        <v>1.77E-2</v>
      </c>
      <c r="W462" s="14">
        <v>0.44128767123287671</v>
      </c>
      <c r="X462" s="14">
        <v>0.72501511030711074</v>
      </c>
      <c r="Y462" s="14">
        <v>20420912</v>
      </c>
      <c r="Z462" s="14">
        <v>20421212</v>
      </c>
      <c r="AA462" s="14">
        <v>20421216</v>
      </c>
      <c r="AB462" s="14">
        <v>3.6225096212463746E-2</v>
      </c>
      <c r="AC462" s="14">
        <v>0.915689932037278</v>
      </c>
      <c r="AD462" s="14">
        <v>0.51065592651385994</v>
      </c>
      <c r="AG462" s="20">
        <v>58076</v>
      </c>
    </row>
    <row r="463" spans="18:33" x14ac:dyDescent="0.4">
      <c r="R463" s="15">
        <v>22</v>
      </c>
      <c r="S463" s="14">
        <v>20421212</v>
      </c>
      <c r="T463" s="14">
        <v>20430312</v>
      </c>
      <c r="U463" s="14">
        <v>20430316</v>
      </c>
      <c r="V463" s="14">
        <v>1.77E-2</v>
      </c>
      <c r="W463" s="14">
        <v>0.43643835616438353</v>
      </c>
      <c r="X463" s="14">
        <v>0.72234436393086765</v>
      </c>
      <c r="Y463" s="14">
        <v>20421212</v>
      </c>
      <c r="Z463" s="14">
        <v>20430312</v>
      </c>
      <c r="AA463" s="14">
        <v>20430316</v>
      </c>
      <c r="AB463" s="14">
        <v>3.6203300517138715E-2</v>
      </c>
      <c r="AC463" s="14">
        <v>0.90508251292846786</v>
      </c>
      <c r="AD463" s="14">
        <v>0.5060756361494777</v>
      </c>
      <c r="AG463" s="20">
        <v>58137</v>
      </c>
    </row>
    <row r="464" spans="18:33" x14ac:dyDescent="0.4">
      <c r="R464" s="15">
        <v>22</v>
      </c>
      <c r="S464" s="14">
        <v>20430312</v>
      </c>
      <c r="T464" s="14">
        <v>20430612</v>
      </c>
      <c r="U464" s="14">
        <v>20430616</v>
      </c>
      <c r="V464" s="14">
        <v>1.77E-2</v>
      </c>
      <c r="W464" s="14">
        <v>0.44613698630136989</v>
      </c>
      <c r="X464" s="14">
        <v>0.71963864253152687</v>
      </c>
      <c r="Y464" s="14">
        <v>20430312</v>
      </c>
      <c r="Z464" s="14">
        <v>20430612</v>
      </c>
      <c r="AA464" s="14">
        <v>20430616</v>
      </c>
      <c r="AB464" s="14">
        <v>3.6186837584641439E-2</v>
      </c>
      <c r="AC464" s="14">
        <v>0.92477473827417001</v>
      </c>
      <c r="AD464" s="14">
        <v>0.50143857208580622</v>
      </c>
      <c r="AG464" s="20">
        <v>58196</v>
      </c>
    </row>
    <row r="465" spans="18:33" x14ac:dyDescent="0.4">
      <c r="R465" s="15">
        <v>22</v>
      </c>
      <c r="S465" s="14">
        <v>20430612</v>
      </c>
      <c r="T465" s="14">
        <v>20430914</v>
      </c>
      <c r="U465" s="14">
        <v>20430916</v>
      </c>
      <c r="V465" s="14">
        <v>1.77E-2</v>
      </c>
      <c r="W465" s="14">
        <v>0.45583561643835618</v>
      </c>
      <c r="X465" s="14">
        <v>0.71695736523333164</v>
      </c>
      <c r="Y465" s="14">
        <v>20430612</v>
      </c>
      <c r="Z465" s="14">
        <v>20430914</v>
      </c>
      <c r="AA465" s="14">
        <v>20430916</v>
      </c>
      <c r="AB465" s="14">
        <v>3.6169925507080883E-2</v>
      </c>
      <c r="AC465" s="14">
        <v>0.94443694379600096</v>
      </c>
      <c r="AD465" s="14">
        <v>0.49684655209669804</v>
      </c>
      <c r="AG465" s="20">
        <v>58200</v>
      </c>
    </row>
    <row r="466" spans="18:33" x14ac:dyDescent="0.4">
      <c r="R466" s="15">
        <v>22</v>
      </c>
      <c r="S466" s="14">
        <v>20430914</v>
      </c>
      <c r="T466" s="14">
        <v>20431214</v>
      </c>
      <c r="U466" s="14">
        <v>20431216</v>
      </c>
      <c r="V466" s="14">
        <v>1.77E-2</v>
      </c>
      <c r="W466" s="14">
        <v>0.44128767123287671</v>
      </c>
      <c r="X466" s="14">
        <v>0.71432908526331595</v>
      </c>
      <c r="Y466" s="14">
        <v>20430914</v>
      </c>
      <c r="Z466" s="14">
        <v>20431214</v>
      </c>
      <c r="AA466" s="14">
        <v>20431216</v>
      </c>
      <c r="AB466" s="14">
        <v>3.6144070066922114E-2</v>
      </c>
      <c r="AC466" s="14">
        <v>0.91364177113608669</v>
      </c>
      <c r="AD466" s="14">
        <v>0.49234830725571282</v>
      </c>
      <c r="AG466" s="20">
        <v>58232</v>
      </c>
    </row>
    <row r="467" spans="18:33" x14ac:dyDescent="0.4">
      <c r="R467" s="15">
        <v>22</v>
      </c>
      <c r="S467" s="14">
        <v>20431214</v>
      </c>
      <c r="T467" s="14">
        <v>20440314</v>
      </c>
      <c r="U467" s="14">
        <v>20440316</v>
      </c>
      <c r="V467" s="14">
        <v>1.77E-2</v>
      </c>
      <c r="W467" s="14">
        <v>0.44128767123287671</v>
      </c>
      <c r="X467" s="14">
        <v>0.71172433784038969</v>
      </c>
      <c r="Y467" s="14">
        <v>20431214</v>
      </c>
      <c r="Z467" s="14">
        <v>20440314</v>
      </c>
      <c r="AA467" s="14">
        <v>20440316</v>
      </c>
      <c r="AB467" s="14">
        <v>3.6123979369732703E-2</v>
      </c>
      <c r="AC467" s="14">
        <v>0.91313392295713225</v>
      </c>
      <c r="AD467" s="14">
        <v>0.48789324300210168</v>
      </c>
      <c r="AG467" s="20">
        <v>58302</v>
      </c>
    </row>
    <row r="468" spans="18:33" x14ac:dyDescent="0.4">
      <c r="R468" s="15">
        <v>22</v>
      </c>
      <c r="S468" s="14">
        <v>20440314</v>
      </c>
      <c r="T468" s="14">
        <v>20440613</v>
      </c>
      <c r="U468" s="14">
        <v>20440615</v>
      </c>
      <c r="V468" s="14">
        <v>1.77E-2</v>
      </c>
      <c r="W468" s="14">
        <v>0.44128767123287671</v>
      </c>
      <c r="X468" s="14">
        <v>0.70914293561442132</v>
      </c>
      <c r="Y468" s="14">
        <v>20440314</v>
      </c>
      <c r="Z468" s="14">
        <v>20440613</v>
      </c>
      <c r="AA468" s="14">
        <v>20440615</v>
      </c>
      <c r="AB468" s="14">
        <v>3.6103888773650991E-2</v>
      </c>
      <c r="AC468" s="14">
        <v>0.91262607733395562</v>
      </c>
      <c r="AD468" s="14">
        <v>0.48348092397428227</v>
      </c>
      <c r="AG468" s="20">
        <v>58351</v>
      </c>
    </row>
    <row r="469" spans="18:33" x14ac:dyDescent="0.4">
      <c r="R469" s="15">
        <v>22</v>
      </c>
      <c r="S469" s="14">
        <v>20440613</v>
      </c>
      <c r="T469" s="14">
        <v>20440912</v>
      </c>
      <c r="U469" s="14">
        <v>20440914</v>
      </c>
      <c r="V469" s="14">
        <v>1.77E-2</v>
      </c>
      <c r="W469" s="14">
        <v>0.44128767123287671</v>
      </c>
      <c r="X469" s="14">
        <v>0.70658469328171891</v>
      </c>
      <c r="Y469" s="14">
        <v>20440613</v>
      </c>
      <c r="Z469" s="14">
        <v>20440912</v>
      </c>
      <c r="AA469" s="14">
        <v>20440914</v>
      </c>
      <c r="AB469" s="14">
        <v>3.6083798278679607E-2</v>
      </c>
      <c r="AC469" s="14">
        <v>0.91211823426662342</v>
      </c>
      <c r="AD469" s="14">
        <v>0.47911091939143252</v>
      </c>
      <c r="AG469" s="20">
        <v>58357</v>
      </c>
    </row>
    <row r="470" spans="18:33" x14ac:dyDescent="0.4">
      <c r="R470" s="15">
        <v>22</v>
      </c>
      <c r="S470" s="14">
        <v>20440912</v>
      </c>
      <c r="T470" s="14">
        <v>20441212</v>
      </c>
      <c r="U470" s="14">
        <v>20441214</v>
      </c>
      <c r="V470" s="14">
        <v>1.77E-2</v>
      </c>
      <c r="W470" s="14">
        <v>0.44128767123287671</v>
      </c>
      <c r="X470" s="14">
        <v>0.70404942756316014</v>
      </c>
      <c r="Y470" s="14">
        <v>20440912</v>
      </c>
      <c r="Z470" s="14">
        <v>20441212</v>
      </c>
      <c r="AA470" s="14">
        <v>20441214</v>
      </c>
      <c r="AB470" s="14">
        <v>3.6063707884812404E-2</v>
      </c>
      <c r="AC470" s="14">
        <v>0.91161039375498021</v>
      </c>
      <c r="AD470" s="14">
        <v>0.47478280300343073</v>
      </c>
      <c r="AG470" s="20">
        <v>58434</v>
      </c>
    </row>
    <row r="471" spans="18:33" x14ac:dyDescent="0.4">
      <c r="AG471" s="20">
        <v>58441</v>
      </c>
    </row>
    <row r="472" spans="18:33" x14ac:dyDescent="0.4">
      <c r="AG472" s="20">
        <v>58501</v>
      </c>
    </row>
    <row r="473" spans="18:33" x14ac:dyDescent="0.4">
      <c r="AG473" s="20">
        <v>58562</v>
      </c>
    </row>
    <row r="474" spans="18:33" x14ac:dyDescent="0.4">
      <c r="AG474" s="20">
        <v>58566</v>
      </c>
    </row>
    <row r="475" spans="18:33" x14ac:dyDescent="0.4">
      <c r="AG475" s="20">
        <v>58598</v>
      </c>
    </row>
    <row r="476" spans="18:33" x14ac:dyDescent="0.4">
      <c r="AG476" s="20">
        <v>58669</v>
      </c>
    </row>
    <row r="477" spans="18:33" x14ac:dyDescent="0.4">
      <c r="AG477" s="20">
        <v>58718</v>
      </c>
    </row>
    <row r="478" spans="18:33" x14ac:dyDescent="0.4">
      <c r="AG478" s="20">
        <v>58725</v>
      </c>
    </row>
    <row r="479" spans="18:33" x14ac:dyDescent="0.4">
      <c r="AG479" s="20">
        <v>58802</v>
      </c>
    </row>
    <row r="480" spans="18:33" x14ac:dyDescent="0.4">
      <c r="AG480" s="20">
        <v>58807</v>
      </c>
    </row>
    <row r="481" spans="33:33" x14ac:dyDescent="0.4">
      <c r="AG481" s="20">
        <v>58866</v>
      </c>
    </row>
    <row r="482" spans="33:33" x14ac:dyDescent="0.4">
      <c r="AG482" s="20">
        <v>58927</v>
      </c>
    </row>
    <row r="483" spans="33:33" x14ac:dyDescent="0.4">
      <c r="AG483" s="20">
        <v>58931</v>
      </c>
    </row>
    <row r="484" spans="33:33" x14ac:dyDescent="0.4">
      <c r="AG484" s="20">
        <v>58963</v>
      </c>
    </row>
    <row r="485" spans="33:33" x14ac:dyDescent="0.4">
      <c r="AG485" s="20">
        <v>59033</v>
      </c>
    </row>
    <row r="486" spans="33:33" x14ac:dyDescent="0.4">
      <c r="AG486" s="20">
        <v>59082</v>
      </c>
    </row>
    <row r="487" spans="33:33" x14ac:dyDescent="0.4">
      <c r="AG487" s="20">
        <v>59089</v>
      </c>
    </row>
    <row r="488" spans="33:33" x14ac:dyDescent="0.4">
      <c r="AG488" s="20">
        <v>59166</v>
      </c>
    </row>
    <row r="489" spans="33:33" x14ac:dyDescent="0.4">
      <c r="AG489" s="20">
        <v>59172</v>
      </c>
    </row>
    <row r="490" spans="33:33" x14ac:dyDescent="0.4">
      <c r="AG490" s="20">
        <v>59231</v>
      </c>
    </row>
    <row r="491" spans="33:33" x14ac:dyDescent="0.4">
      <c r="AG491" s="20">
        <v>59292</v>
      </c>
    </row>
    <row r="492" spans="33:33" x14ac:dyDescent="0.4">
      <c r="AG492" s="20">
        <v>59296</v>
      </c>
    </row>
    <row r="493" spans="33:33" x14ac:dyDescent="0.4">
      <c r="AG493" s="20">
        <v>59328</v>
      </c>
    </row>
    <row r="494" spans="33:33" x14ac:dyDescent="0.4">
      <c r="AG494" s="20">
        <v>59398</v>
      </c>
    </row>
    <row r="495" spans="33:33" x14ac:dyDescent="0.4">
      <c r="AG495" s="20">
        <v>59447</v>
      </c>
    </row>
    <row r="496" spans="33:33" x14ac:dyDescent="0.4">
      <c r="AG496" s="20">
        <v>59453</v>
      </c>
    </row>
    <row r="497" spans="33:33" x14ac:dyDescent="0.4">
      <c r="AG497" s="20">
        <v>59530</v>
      </c>
    </row>
    <row r="498" spans="33:33" x14ac:dyDescent="0.4">
      <c r="AG498" s="20">
        <v>59537</v>
      </c>
    </row>
    <row r="499" spans="33:33" x14ac:dyDescent="0.4">
      <c r="AG499" s="20">
        <v>59596</v>
      </c>
    </row>
    <row r="500" spans="33:33" x14ac:dyDescent="0.4">
      <c r="AG500" s="20">
        <v>59657</v>
      </c>
    </row>
    <row r="501" spans="33:33" x14ac:dyDescent="0.4">
      <c r="AG501" s="20">
        <v>59663</v>
      </c>
    </row>
    <row r="502" spans="33:33" x14ac:dyDescent="0.4">
      <c r="AG502" s="20">
        <v>59693</v>
      </c>
    </row>
    <row r="503" spans="33:33" x14ac:dyDescent="0.4">
      <c r="AG503" s="20">
        <v>59763</v>
      </c>
    </row>
    <row r="504" spans="33:33" x14ac:dyDescent="0.4">
      <c r="AG504" s="20">
        <v>59812</v>
      </c>
    </row>
    <row r="505" spans="33:33" x14ac:dyDescent="0.4">
      <c r="AG505" s="20">
        <v>59818</v>
      </c>
    </row>
    <row r="506" spans="33:33" x14ac:dyDescent="0.4">
      <c r="AG506" s="20">
        <v>59895</v>
      </c>
    </row>
    <row r="507" spans="33:33" x14ac:dyDescent="0.4">
      <c r="AG507" s="20">
        <v>59902</v>
      </c>
    </row>
    <row r="508" spans="33:33" x14ac:dyDescent="0.4">
      <c r="AG508" s="20">
        <v>59964</v>
      </c>
    </row>
    <row r="509" spans="33:33" x14ac:dyDescent="0.4">
      <c r="AG509" s="20">
        <v>60023</v>
      </c>
    </row>
    <row r="510" spans="33:33" x14ac:dyDescent="0.4">
      <c r="AG510" s="20">
        <v>60027</v>
      </c>
    </row>
    <row r="511" spans="33:33" x14ac:dyDescent="0.4">
      <c r="AG511" s="20">
        <v>60059</v>
      </c>
    </row>
    <row r="512" spans="33:33" x14ac:dyDescent="0.4">
      <c r="AG512" s="20">
        <v>60129</v>
      </c>
    </row>
    <row r="513" spans="33:33" x14ac:dyDescent="0.4">
      <c r="AG513" s="20">
        <v>60178</v>
      </c>
    </row>
    <row r="514" spans="33:33" x14ac:dyDescent="0.4">
      <c r="AG514" s="20">
        <v>60184</v>
      </c>
    </row>
    <row r="515" spans="33:33" x14ac:dyDescent="0.4">
      <c r="AG515" s="20">
        <v>60261</v>
      </c>
    </row>
    <row r="516" spans="33:33" x14ac:dyDescent="0.4">
      <c r="AG516" s="20">
        <v>60268</v>
      </c>
    </row>
    <row r="517" spans="33:33" x14ac:dyDescent="0.4">
      <c r="AG517" s="20">
        <v>60328</v>
      </c>
    </row>
    <row r="518" spans="33:33" x14ac:dyDescent="0.4">
      <c r="AG518" s="20">
        <v>60388</v>
      </c>
    </row>
    <row r="519" spans="33:33" x14ac:dyDescent="0.4">
      <c r="AG519" s="20">
        <v>60392</v>
      </c>
    </row>
    <row r="520" spans="33:33" x14ac:dyDescent="0.4">
      <c r="AG520" s="20">
        <v>60424</v>
      </c>
    </row>
    <row r="521" spans="33:33" x14ac:dyDescent="0.4">
      <c r="AG521" s="20">
        <v>60496</v>
      </c>
    </row>
    <row r="522" spans="33:33" x14ac:dyDescent="0.4">
      <c r="AG522" s="20">
        <v>60545</v>
      </c>
    </row>
    <row r="523" spans="33:33" x14ac:dyDescent="0.4">
      <c r="AG523" s="20">
        <v>60549</v>
      </c>
    </row>
    <row r="524" spans="33:33" x14ac:dyDescent="0.4">
      <c r="AG524" s="20">
        <v>60626</v>
      </c>
    </row>
    <row r="525" spans="33:33" x14ac:dyDescent="0.4">
      <c r="AG525" s="20">
        <v>60633</v>
      </c>
    </row>
    <row r="526" spans="33:33" x14ac:dyDescent="0.4">
      <c r="AG526" s="20">
        <v>60692</v>
      </c>
    </row>
    <row r="527" spans="33:33" x14ac:dyDescent="0.4">
      <c r="AG527" s="20">
        <v>60753</v>
      </c>
    </row>
    <row r="528" spans="33:33" x14ac:dyDescent="0.4">
      <c r="AG528" s="20">
        <v>60757</v>
      </c>
    </row>
    <row r="529" spans="33:33" x14ac:dyDescent="0.4">
      <c r="AG529" s="20">
        <v>60789</v>
      </c>
    </row>
    <row r="530" spans="33:33" x14ac:dyDescent="0.4">
      <c r="AG530" s="20">
        <v>60860</v>
      </c>
    </row>
    <row r="531" spans="33:33" x14ac:dyDescent="0.4">
      <c r="AG531" s="20">
        <v>60909</v>
      </c>
    </row>
    <row r="532" spans="33:33" x14ac:dyDescent="0.4">
      <c r="AG532" s="20">
        <v>60916</v>
      </c>
    </row>
    <row r="533" spans="33:33" x14ac:dyDescent="0.4">
      <c r="AG533" s="20">
        <v>60993</v>
      </c>
    </row>
    <row r="534" spans="33:33" x14ac:dyDescent="0.4">
      <c r="AG534" s="20">
        <v>60998</v>
      </c>
    </row>
    <row r="535" spans="33:33" x14ac:dyDescent="0.4">
      <c r="AG535" s="20">
        <v>61057</v>
      </c>
    </row>
    <row r="536" spans="33:33" x14ac:dyDescent="0.4">
      <c r="AG536" s="20">
        <v>61118</v>
      </c>
    </row>
    <row r="537" spans="33:33" x14ac:dyDescent="0.4">
      <c r="AG537" s="20">
        <v>61122</v>
      </c>
    </row>
    <row r="538" spans="33:33" x14ac:dyDescent="0.4">
      <c r="AG538" s="20">
        <v>61154</v>
      </c>
    </row>
    <row r="539" spans="33:33" x14ac:dyDescent="0.4">
      <c r="AG539" s="20">
        <v>61224</v>
      </c>
    </row>
    <row r="540" spans="33:33" x14ac:dyDescent="0.4">
      <c r="AG540" s="20">
        <v>61273</v>
      </c>
    </row>
    <row r="541" spans="33:33" x14ac:dyDescent="0.4">
      <c r="AG541" s="20">
        <v>61280</v>
      </c>
    </row>
    <row r="542" spans="33:33" x14ac:dyDescent="0.4">
      <c r="AG542" s="20">
        <v>61357</v>
      </c>
    </row>
    <row r="543" spans="33:33" x14ac:dyDescent="0.4">
      <c r="AG543" s="20">
        <v>61363</v>
      </c>
    </row>
    <row r="544" spans="33:33" x14ac:dyDescent="0.4">
      <c r="AG544" s="20">
        <v>61423</v>
      </c>
    </row>
    <row r="545" spans="33:33" x14ac:dyDescent="0.4">
      <c r="AG545" s="20">
        <v>61484</v>
      </c>
    </row>
    <row r="546" spans="33:33" x14ac:dyDescent="0.4">
      <c r="AG546" s="20">
        <v>61490</v>
      </c>
    </row>
    <row r="547" spans="33:33" x14ac:dyDescent="0.4">
      <c r="AG547" s="20">
        <v>61520</v>
      </c>
    </row>
    <row r="548" spans="33:33" x14ac:dyDescent="0.4">
      <c r="AG548" s="20">
        <v>61590</v>
      </c>
    </row>
    <row r="549" spans="33:33" x14ac:dyDescent="0.4">
      <c r="AG549" s="20">
        <v>61639</v>
      </c>
    </row>
    <row r="550" spans="33:33" x14ac:dyDescent="0.4">
      <c r="AG550" s="20">
        <v>61645</v>
      </c>
    </row>
    <row r="551" spans="33:33" x14ac:dyDescent="0.4">
      <c r="AG551" s="20">
        <v>61722</v>
      </c>
    </row>
    <row r="552" spans="33:33" x14ac:dyDescent="0.4">
      <c r="AG552" s="20">
        <v>61729</v>
      </c>
    </row>
    <row r="553" spans="33:33" x14ac:dyDescent="0.4">
      <c r="AG553" s="20">
        <v>61788</v>
      </c>
    </row>
    <row r="554" spans="33:33" x14ac:dyDescent="0.4">
      <c r="AG554" s="20">
        <v>61849</v>
      </c>
    </row>
    <row r="555" spans="33:33" x14ac:dyDescent="0.4">
      <c r="AG555" s="20">
        <v>61854</v>
      </c>
    </row>
    <row r="556" spans="33:33" x14ac:dyDescent="0.4">
      <c r="AG556" s="20">
        <v>61885</v>
      </c>
    </row>
    <row r="557" spans="33:33" x14ac:dyDescent="0.4">
      <c r="AG557" s="20">
        <v>61955</v>
      </c>
    </row>
    <row r="558" spans="33:33" x14ac:dyDescent="0.4">
      <c r="AG558" s="20">
        <v>62004</v>
      </c>
    </row>
    <row r="559" spans="33:33" x14ac:dyDescent="0.4">
      <c r="AG559" s="20">
        <v>62010</v>
      </c>
    </row>
    <row r="560" spans="33:33" x14ac:dyDescent="0.4">
      <c r="AG560" s="20">
        <v>62087</v>
      </c>
    </row>
    <row r="561" spans="33:33" x14ac:dyDescent="0.4">
      <c r="AG561" s="20">
        <v>62094</v>
      </c>
    </row>
    <row r="562" spans="33:33" x14ac:dyDescent="0.4">
      <c r="AG562" s="20">
        <v>62155</v>
      </c>
    </row>
    <row r="563" spans="33:33" x14ac:dyDescent="0.4">
      <c r="AG563" s="20">
        <v>62214</v>
      </c>
    </row>
    <row r="564" spans="33:33" x14ac:dyDescent="0.4">
      <c r="AG564" s="20">
        <v>62218</v>
      </c>
    </row>
    <row r="565" spans="33:33" x14ac:dyDescent="0.4">
      <c r="AG565" s="20">
        <v>62250</v>
      </c>
    </row>
    <row r="566" spans="33:33" x14ac:dyDescent="0.4">
      <c r="AG566" s="20">
        <v>62320</v>
      </c>
    </row>
    <row r="567" spans="33:33" x14ac:dyDescent="0.4">
      <c r="AG567" s="20">
        <v>62369</v>
      </c>
    </row>
    <row r="568" spans="33:33" x14ac:dyDescent="0.4">
      <c r="AG568" s="20">
        <v>62375</v>
      </c>
    </row>
    <row r="569" spans="33:33" x14ac:dyDescent="0.4">
      <c r="AG569" s="20">
        <v>62452</v>
      </c>
    </row>
    <row r="570" spans="33:33" x14ac:dyDescent="0.4">
      <c r="AG570" s="20">
        <v>62459</v>
      </c>
    </row>
    <row r="571" spans="33:33" x14ac:dyDescent="0.4">
      <c r="AG571" s="20">
        <v>62519</v>
      </c>
    </row>
    <row r="572" spans="33:33" x14ac:dyDescent="0.4">
      <c r="AG572" s="20">
        <v>62579</v>
      </c>
    </row>
    <row r="573" spans="33:33" x14ac:dyDescent="0.4">
      <c r="AG573" s="20">
        <v>62583</v>
      </c>
    </row>
    <row r="574" spans="33:33" x14ac:dyDescent="0.4">
      <c r="AG574" s="20">
        <v>62615</v>
      </c>
    </row>
    <row r="575" spans="33:33" x14ac:dyDescent="0.4">
      <c r="AG575" s="20">
        <v>62687</v>
      </c>
    </row>
    <row r="576" spans="33:33" x14ac:dyDescent="0.4">
      <c r="AG576" s="20">
        <v>62736</v>
      </c>
    </row>
    <row r="577" spans="33:33" x14ac:dyDescent="0.4">
      <c r="AG577" s="20">
        <v>62740</v>
      </c>
    </row>
    <row r="578" spans="33:33" x14ac:dyDescent="0.4">
      <c r="AG578" s="20">
        <v>62817</v>
      </c>
    </row>
    <row r="579" spans="33:33" x14ac:dyDescent="0.4">
      <c r="AG579" s="20">
        <v>62824</v>
      </c>
    </row>
    <row r="580" spans="33:33" x14ac:dyDescent="0.4">
      <c r="AG580" s="20">
        <v>62884</v>
      </c>
    </row>
    <row r="581" spans="33:33" x14ac:dyDescent="0.4">
      <c r="AG581" s="20">
        <v>62945</v>
      </c>
    </row>
    <row r="582" spans="33:33" x14ac:dyDescent="0.4">
      <c r="AG582" s="20">
        <v>62949</v>
      </c>
    </row>
    <row r="583" spans="33:33" x14ac:dyDescent="0.4">
      <c r="AG583" s="20">
        <v>62981</v>
      </c>
    </row>
    <row r="584" spans="33:33" x14ac:dyDescent="0.4">
      <c r="AG584" s="20">
        <v>63051</v>
      </c>
    </row>
    <row r="585" spans="33:33" x14ac:dyDescent="0.4">
      <c r="AG585" s="20">
        <v>63100</v>
      </c>
    </row>
    <row r="586" spans="33:33" x14ac:dyDescent="0.4">
      <c r="AG586" s="20">
        <v>63107</v>
      </c>
    </row>
    <row r="587" spans="33:33" x14ac:dyDescent="0.4">
      <c r="AG587" s="20">
        <v>63184</v>
      </c>
    </row>
    <row r="588" spans="33:33" x14ac:dyDescent="0.4">
      <c r="AG588" s="20">
        <v>63190</v>
      </c>
    </row>
    <row r="589" spans="33:33" x14ac:dyDescent="0.4">
      <c r="AG589" s="20">
        <v>63249</v>
      </c>
    </row>
    <row r="590" spans="33:33" x14ac:dyDescent="0.4">
      <c r="AG590" s="20">
        <v>63310</v>
      </c>
    </row>
    <row r="591" spans="33:33" x14ac:dyDescent="0.4">
      <c r="AG591" s="20">
        <v>63314</v>
      </c>
    </row>
    <row r="592" spans="33:33" x14ac:dyDescent="0.4">
      <c r="AG592" s="20">
        <v>63346</v>
      </c>
    </row>
    <row r="593" spans="33:33" x14ac:dyDescent="0.4">
      <c r="AG593" s="20">
        <v>63416</v>
      </c>
    </row>
    <row r="594" spans="33:33" x14ac:dyDescent="0.4">
      <c r="AG594" s="20">
        <v>63465</v>
      </c>
    </row>
    <row r="595" spans="33:33" x14ac:dyDescent="0.4">
      <c r="AG595" s="20">
        <v>63471</v>
      </c>
    </row>
    <row r="596" spans="33:33" x14ac:dyDescent="0.4">
      <c r="AG596" s="20">
        <v>63548</v>
      </c>
    </row>
    <row r="597" spans="33:33" x14ac:dyDescent="0.4">
      <c r="AG597" s="20">
        <v>63555</v>
      </c>
    </row>
    <row r="598" spans="33:33" x14ac:dyDescent="0.4">
      <c r="AG598" s="20">
        <v>63614</v>
      </c>
    </row>
    <row r="599" spans="33:33" x14ac:dyDescent="0.4">
      <c r="AG599" s="20">
        <v>63675</v>
      </c>
    </row>
    <row r="600" spans="33:33" x14ac:dyDescent="0.4">
      <c r="AG600" s="20">
        <v>63681</v>
      </c>
    </row>
    <row r="601" spans="33:33" x14ac:dyDescent="0.4">
      <c r="AG601" s="20">
        <v>63711</v>
      </c>
    </row>
    <row r="602" spans="33:33" x14ac:dyDescent="0.4">
      <c r="AG602" s="20">
        <v>63781</v>
      </c>
    </row>
    <row r="603" spans="33:33" x14ac:dyDescent="0.4">
      <c r="AG603" s="20">
        <v>63830</v>
      </c>
    </row>
    <row r="604" spans="33:33" x14ac:dyDescent="0.4">
      <c r="AG604" s="20">
        <v>63836</v>
      </c>
    </row>
    <row r="605" spans="33:33" x14ac:dyDescent="0.4">
      <c r="AG605" s="20">
        <v>63913</v>
      </c>
    </row>
  </sheetData>
  <mergeCells count="26"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G7:AG8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37">
      <colorScale>
        <cfvo type="min"/>
        <cfvo type="max"/>
        <color theme="0"/>
        <color theme="5" tint="-0.249977111117893"/>
      </colorScale>
    </cfRule>
    <cfRule type="colorScale" priority="936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0" priority="933">
      <formula>$R10&gt;$R9</formula>
    </cfRule>
  </conditionalFormatting>
  <conditionalFormatting sqref="S11:AD11">
    <cfRule type="expression" dxfId="729" priority="932">
      <formula>$R11&gt;$R10</formula>
    </cfRule>
  </conditionalFormatting>
  <conditionalFormatting sqref="S12:AD12">
    <cfRule type="expression" dxfId="728" priority="931">
      <formula>$R12&gt;$R11</formula>
    </cfRule>
  </conditionalFormatting>
  <conditionalFormatting sqref="S13:AD13">
    <cfRule type="expression" dxfId="727" priority="930">
      <formula>$R13&gt;$R12</formula>
    </cfRule>
  </conditionalFormatting>
  <conditionalFormatting sqref="S14:AD14">
    <cfRule type="expression" dxfId="726" priority="929">
      <formula>$R14&gt;$R13</formula>
    </cfRule>
  </conditionalFormatting>
  <conditionalFormatting sqref="S15:AD15">
    <cfRule type="expression" dxfId="725" priority="928">
      <formula>$R15&gt;$R14</formula>
    </cfRule>
  </conditionalFormatting>
  <conditionalFormatting sqref="S16:AD16">
    <cfRule type="expression" dxfId="724" priority="927">
      <formula>$R16&gt;$R15</formula>
    </cfRule>
  </conditionalFormatting>
  <conditionalFormatting sqref="S17:AD17">
    <cfRule type="expression" dxfId="723" priority="926">
      <formula>$R17&gt;$R16</formula>
    </cfRule>
  </conditionalFormatting>
  <conditionalFormatting sqref="S18:AD18">
    <cfRule type="expression" dxfId="722" priority="924">
      <formula>$R18&gt;$R17</formula>
    </cfRule>
  </conditionalFormatting>
  <conditionalFormatting sqref="S19:AD19">
    <cfRule type="expression" dxfId="721" priority="923">
      <formula>$R19&gt;$R18</formula>
    </cfRule>
  </conditionalFormatting>
  <conditionalFormatting sqref="S20:AD20">
    <cfRule type="expression" dxfId="720" priority="922">
      <formula>$R20&gt;$R19</formula>
    </cfRule>
  </conditionalFormatting>
  <conditionalFormatting sqref="S21:AD21">
    <cfRule type="expression" dxfId="719" priority="921">
      <formula>$R21&gt;$R20</formula>
    </cfRule>
  </conditionalFormatting>
  <conditionalFormatting sqref="S22:AD22">
    <cfRule type="expression" dxfId="718" priority="920">
      <formula>$R22&gt;$R21</formula>
    </cfRule>
  </conditionalFormatting>
  <conditionalFormatting sqref="S23:AD23">
    <cfRule type="expression" dxfId="717" priority="919">
      <formula>$R23&gt;$R22</formula>
    </cfRule>
  </conditionalFormatting>
  <conditionalFormatting sqref="S24:AD24">
    <cfRule type="expression" dxfId="716" priority="918">
      <formula>$R24&gt;$R23</formula>
    </cfRule>
  </conditionalFormatting>
  <conditionalFormatting sqref="S25:AD25">
    <cfRule type="expression" dxfId="715" priority="917">
      <formula>$R25&gt;$R24</formula>
    </cfRule>
  </conditionalFormatting>
  <conditionalFormatting sqref="S26:AD26">
    <cfRule type="expression" dxfId="714" priority="916">
      <formula>$R26&gt;$R25</formula>
    </cfRule>
  </conditionalFormatting>
  <conditionalFormatting sqref="S27:AD27">
    <cfRule type="expression" dxfId="713" priority="915">
      <formula>$R27&gt;$R26</formula>
    </cfRule>
  </conditionalFormatting>
  <conditionalFormatting sqref="S28:AD28">
    <cfRule type="expression" dxfId="712" priority="914">
      <formula>$R28&gt;$R27</formula>
    </cfRule>
  </conditionalFormatting>
  <conditionalFormatting sqref="S29:AD29">
    <cfRule type="expression" dxfId="711" priority="913">
      <formula>$R29&gt;$R28</formula>
    </cfRule>
  </conditionalFormatting>
  <conditionalFormatting sqref="S30:AD30">
    <cfRule type="expression" dxfId="710" priority="912">
      <formula>$R30&gt;$R29</formula>
    </cfRule>
  </conditionalFormatting>
  <conditionalFormatting sqref="S31:AD31">
    <cfRule type="expression" dxfId="709" priority="911">
      <formula>$R31&gt;$R30</formula>
    </cfRule>
  </conditionalFormatting>
  <conditionalFormatting sqref="S32:AD32">
    <cfRule type="expression" dxfId="708" priority="910">
      <formula>$R32&gt;$R31</formula>
    </cfRule>
  </conditionalFormatting>
  <conditionalFormatting sqref="S33:AD33">
    <cfRule type="expression" dxfId="707" priority="909">
      <formula>$R33&gt;$R32</formula>
    </cfRule>
  </conditionalFormatting>
  <conditionalFormatting sqref="S34:AD34">
    <cfRule type="expression" dxfId="706" priority="908">
      <formula>$R34&gt;$R33</formula>
    </cfRule>
  </conditionalFormatting>
  <conditionalFormatting sqref="S35:AD35">
    <cfRule type="expression" dxfId="705" priority="907">
      <formula>$R35&gt;$R34</formula>
    </cfRule>
  </conditionalFormatting>
  <conditionalFormatting sqref="S36:AD36">
    <cfRule type="expression" dxfId="704" priority="906">
      <formula>$R36&gt;$R35</formula>
    </cfRule>
  </conditionalFormatting>
  <conditionalFormatting sqref="S37:AD37">
    <cfRule type="expression" dxfId="703" priority="905">
      <formula>$R37&gt;$R36</formula>
    </cfRule>
  </conditionalFormatting>
  <conditionalFormatting sqref="S38:AD38">
    <cfRule type="expression" dxfId="702" priority="904">
      <formula>$R38&gt;$R37</formula>
    </cfRule>
  </conditionalFormatting>
  <conditionalFormatting sqref="S39:AD39">
    <cfRule type="expression" dxfId="701" priority="903">
      <formula>$R39&gt;$R38</formula>
    </cfRule>
  </conditionalFormatting>
  <conditionalFormatting sqref="S40:AD40">
    <cfRule type="expression" dxfId="700" priority="902">
      <formula>$R40&gt;$R39</formula>
    </cfRule>
  </conditionalFormatting>
  <conditionalFormatting sqref="S41:AD41">
    <cfRule type="expression" dxfId="699" priority="901">
      <formula>$R41&gt;$R40</formula>
    </cfRule>
  </conditionalFormatting>
  <conditionalFormatting sqref="S42:AD42">
    <cfRule type="expression" dxfId="698" priority="900">
      <formula>$R42&gt;$R41</formula>
    </cfRule>
  </conditionalFormatting>
  <conditionalFormatting sqref="S43:AD43">
    <cfRule type="expression" dxfId="697" priority="899">
      <formula>$R43&gt;$R42</formula>
    </cfRule>
  </conditionalFormatting>
  <conditionalFormatting sqref="S44:AD44">
    <cfRule type="expression" dxfId="696" priority="898">
      <formula>$R44&gt;$R43</formula>
    </cfRule>
  </conditionalFormatting>
  <conditionalFormatting sqref="S45:AD45">
    <cfRule type="expression" dxfId="695" priority="897">
      <formula>$R45&gt;$R44</formula>
    </cfRule>
  </conditionalFormatting>
  <conditionalFormatting sqref="S46:AD46">
    <cfRule type="expression" dxfId="694" priority="896">
      <formula>$R46&gt;$R45</formula>
    </cfRule>
  </conditionalFormatting>
  <conditionalFormatting sqref="S47:AD47">
    <cfRule type="expression" dxfId="693" priority="895">
      <formula>$R47&gt;$R46</formula>
    </cfRule>
  </conditionalFormatting>
  <conditionalFormatting sqref="S48:AD48">
    <cfRule type="expression" dxfId="692" priority="894">
      <formula>$R48&gt;$R47</formula>
    </cfRule>
  </conditionalFormatting>
  <conditionalFormatting sqref="S49:AD49">
    <cfRule type="expression" dxfId="691" priority="893">
      <formula>$R49&gt;$R48</formula>
    </cfRule>
  </conditionalFormatting>
  <conditionalFormatting sqref="S50:AD50">
    <cfRule type="expression" dxfId="690" priority="892">
      <formula>$R50&gt;$R49</formula>
    </cfRule>
  </conditionalFormatting>
  <conditionalFormatting sqref="S51:AD51">
    <cfRule type="expression" dxfId="689" priority="891">
      <formula>$R51&gt;$R50</formula>
    </cfRule>
  </conditionalFormatting>
  <conditionalFormatting sqref="S52:AD52">
    <cfRule type="expression" dxfId="688" priority="890">
      <formula>$R52&gt;$R51</formula>
    </cfRule>
  </conditionalFormatting>
  <conditionalFormatting sqref="S53:AD53">
    <cfRule type="expression" dxfId="687" priority="889">
      <formula>$R53&gt;$R52</formula>
    </cfRule>
  </conditionalFormatting>
  <conditionalFormatting sqref="S54:AD54">
    <cfRule type="expression" dxfId="686" priority="887">
      <formula>$R54&gt;$R53</formula>
    </cfRule>
  </conditionalFormatting>
  <conditionalFormatting sqref="S55:AD55">
    <cfRule type="expression" dxfId="685" priority="886">
      <formula>$R55&gt;$R54</formula>
    </cfRule>
  </conditionalFormatting>
  <conditionalFormatting sqref="S56:AD56">
    <cfRule type="expression" dxfId="684" priority="885">
      <formula>$R56&gt;$R55</formula>
    </cfRule>
  </conditionalFormatting>
  <conditionalFormatting sqref="S57:AD57">
    <cfRule type="expression" dxfId="683" priority="884">
      <formula>$R57&gt;$R56</formula>
    </cfRule>
  </conditionalFormatting>
  <conditionalFormatting sqref="S58:AD58">
    <cfRule type="expression" dxfId="682" priority="883">
      <formula>$R58&gt;$R57</formula>
    </cfRule>
  </conditionalFormatting>
  <conditionalFormatting sqref="S59:AD59">
    <cfRule type="expression" dxfId="681" priority="882">
      <formula>$R59&gt;$R58</formula>
    </cfRule>
  </conditionalFormatting>
  <conditionalFormatting sqref="S60:AD60">
    <cfRule type="expression" dxfId="680" priority="881">
      <formula>$R60&gt;$R59</formula>
    </cfRule>
  </conditionalFormatting>
  <conditionalFormatting sqref="S61:AD61">
    <cfRule type="expression" dxfId="679" priority="880">
      <formula>$R61&gt;$R60</formula>
    </cfRule>
  </conditionalFormatting>
  <conditionalFormatting sqref="S62:AD62">
    <cfRule type="expression" dxfId="678" priority="879">
      <formula>$R62&gt;$R61</formula>
    </cfRule>
  </conditionalFormatting>
  <conditionalFormatting sqref="S63:AD63">
    <cfRule type="expression" dxfId="677" priority="878">
      <formula>$R63&gt;$R62</formula>
    </cfRule>
  </conditionalFormatting>
  <conditionalFormatting sqref="S64:AD64">
    <cfRule type="expression" dxfId="676" priority="877">
      <formula>$R64&gt;$R63</formula>
    </cfRule>
  </conditionalFormatting>
  <conditionalFormatting sqref="S65:AD65">
    <cfRule type="expression" dxfId="675" priority="876">
      <formula>$R65&gt;$R64</formula>
    </cfRule>
  </conditionalFormatting>
  <conditionalFormatting sqref="S66:AD66">
    <cfRule type="expression" dxfId="674" priority="875">
      <formula>$R66&gt;$R65</formula>
    </cfRule>
  </conditionalFormatting>
  <conditionalFormatting sqref="S67:AD67">
    <cfRule type="expression" dxfId="673" priority="874">
      <formula>$R67&gt;$R66</formula>
    </cfRule>
  </conditionalFormatting>
  <conditionalFormatting sqref="S68:AD68">
    <cfRule type="expression" dxfId="672" priority="873">
      <formula>$R68&gt;$R67</formula>
    </cfRule>
  </conditionalFormatting>
  <conditionalFormatting sqref="S69:AD69">
    <cfRule type="expression" dxfId="671" priority="872">
      <formula>$R69&gt;$R68</formula>
    </cfRule>
  </conditionalFormatting>
  <conditionalFormatting sqref="S70:AD70">
    <cfRule type="expression" dxfId="670" priority="871">
      <formula>$R70&gt;$R69</formula>
    </cfRule>
  </conditionalFormatting>
  <conditionalFormatting sqref="S71:AD71">
    <cfRule type="expression" dxfId="669" priority="870">
      <formula>$R71&gt;$R70</formula>
    </cfRule>
  </conditionalFormatting>
  <conditionalFormatting sqref="S72:AD72">
    <cfRule type="expression" dxfId="668" priority="869">
      <formula>$R72&gt;$R71</formula>
    </cfRule>
  </conditionalFormatting>
  <conditionalFormatting sqref="S73:AD73">
    <cfRule type="expression" dxfId="667" priority="868">
      <formula>$R73&gt;$R72</formula>
    </cfRule>
  </conditionalFormatting>
  <conditionalFormatting sqref="S74:AD74">
    <cfRule type="expression" dxfId="666" priority="867">
      <formula>$R74&gt;$R73</formula>
    </cfRule>
  </conditionalFormatting>
  <conditionalFormatting sqref="S75:AD75">
    <cfRule type="expression" dxfId="665" priority="866">
      <formula>$R75&gt;$R74</formula>
    </cfRule>
  </conditionalFormatting>
  <conditionalFormatting sqref="S76:AD76">
    <cfRule type="expression" dxfId="664" priority="865">
      <formula>$R76&gt;$R75</formula>
    </cfRule>
  </conditionalFormatting>
  <conditionalFormatting sqref="S77:AD77">
    <cfRule type="expression" dxfId="663" priority="864">
      <formula>$R77&gt;$R76</formula>
    </cfRule>
  </conditionalFormatting>
  <conditionalFormatting sqref="S78:AD78">
    <cfRule type="expression" dxfId="662" priority="863">
      <formula>$R78&gt;$R77</formula>
    </cfRule>
  </conditionalFormatting>
  <conditionalFormatting sqref="S79:AD79">
    <cfRule type="expression" dxfId="661" priority="862">
      <formula>$R79&gt;$R78</formula>
    </cfRule>
  </conditionalFormatting>
  <conditionalFormatting sqref="S80:AD80">
    <cfRule type="expression" dxfId="660" priority="861">
      <formula>$R80&gt;$R79</formula>
    </cfRule>
  </conditionalFormatting>
  <conditionalFormatting sqref="S81:AD81">
    <cfRule type="expression" dxfId="659" priority="860">
      <formula>$R81&gt;$R80</formula>
    </cfRule>
  </conditionalFormatting>
  <conditionalFormatting sqref="S82:AD82">
    <cfRule type="expression" dxfId="658" priority="859">
      <formula>$R82&gt;$R81</formula>
    </cfRule>
  </conditionalFormatting>
  <conditionalFormatting sqref="S83:AD83">
    <cfRule type="expression" dxfId="657" priority="858">
      <formula>$R83&gt;$R82</formula>
    </cfRule>
  </conditionalFormatting>
  <conditionalFormatting sqref="S84:AD84">
    <cfRule type="expression" dxfId="656" priority="857">
      <formula>$R84&gt;$R83</formula>
    </cfRule>
  </conditionalFormatting>
  <conditionalFormatting sqref="S85:AD85">
    <cfRule type="expression" dxfId="655" priority="843">
      <formula>$R85&gt;$R84</formula>
    </cfRule>
  </conditionalFormatting>
  <conditionalFormatting sqref="S86:AD86">
    <cfRule type="expression" dxfId="654" priority="842">
      <formula>$R86&gt;$R85</formula>
    </cfRule>
  </conditionalFormatting>
  <conditionalFormatting sqref="S87:AD87">
    <cfRule type="expression" dxfId="653" priority="841">
      <formula>$R87&gt;$R86</formula>
    </cfRule>
  </conditionalFormatting>
  <conditionalFormatting sqref="S88:AD88">
    <cfRule type="expression" dxfId="652" priority="840">
      <formula>$R88&gt;$R87</formula>
    </cfRule>
  </conditionalFormatting>
  <conditionalFormatting sqref="S89:AD89">
    <cfRule type="expression" dxfId="651" priority="839">
      <formula>$R89&gt;$R88</formula>
    </cfRule>
  </conditionalFormatting>
  <conditionalFormatting sqref="S90:AD90">
    <cfRule type="expression" dxfId="650" priority="838">
      <formula>$R90&gt;$R89</formula>
    </cfRule>
  </conditionalFormatting>
  <conditionalFormatting sqref="S91:AD91">
    <cfRule type="expression" dxfId="649" priority="837">
      <formula>$R91&gt;$R90</formula>
    </cfRule>
  </conditionalFormatting>
  <conditionalFormatting sqref="S92:AD92">
    <cfRule type="expression" dxfId="648" priority="836">
      <formula>$R92&gt;$R91</formula>
    </cfRule>
  </conditionalFormatting>
  <conditionalFormatting sqref="S93:AD93">
    <cfRule type="expression" dxfId="647" priority="835">
      <formula>$R93&gt;$R92</formula>
    </cfRule>
  </conditionalFormatting>
  <conditionalFormatting sqref="S94:AD94">
    <cfRule type="expression" dxfId="646" priority="834">
      <formula>$R94&gt;$R93</formula>
    </cfRule>
  </conditionalFormatting>
  <conditionalFormatting sqref="S95:AD95">
    <cfRule type="expression" dxfId="645" priority="833">
      <formula>$R95&gt;$R94</formula>
    </cfRule>
  </conditionalFormatting>
  <conditionalFormatting sqref="S96:AD96">
    <cfRule type="expression" dxfId="644" priority="832">
      <formula>$R96&gt;$R95</formula>
    </cfRule>
  </conditionalFormatting>
  <conditionalFormatting sqref="S97:AD97">
    <cfRule type="expression" dxfId="643" priority="831">
      <formula>$R97&gt;$R96</formula>
    </cfRule>
  </conditionalFormatting>
  <conditionalFormatting sqref="S98:AD98">
    <cfRule type="expression" dxfId="642" priority="830">
      <formula>$R98&gt;$R97</formula>
    </cfRule>
  </conditionalFormatting>
  <conditionalFormatting sqref="S99:AD99">
    <cfRule type="expression" dxfId="641" priority="829">
      <formula>$R99&gt;$R98</formula>
    </cfRule>
  </conditionalFormatting>
  <conditionalFormatting sqref="S100:AD100">
    <cfRule type="expression" dxfId="640" priority="828">
      <formula>$R100&gt;$R99</formula>
    </cfRule>
  </conditionalFormatting>
  <conditionalFormatting sqref="S101:AD101">
    <cfRule type="expression" dxfId="639" priority="827">
      <formula>$R101&gt;$R100</formula>
    </cfRule>
  </conditionalFormatting>
  <conditionalFormatting sqref="S102:AD102">
    <cfRule type="expression" dxfId="638" priority="826">
      <formula>$R102&gt;$R101</formula>
    </cfRule>
  </conditionalFormatting>
  <conditionalFormatting sqref="S103:AD103">
    <cfRule type="expression" dxfId="637" priority="825">
      <formula>$R103&gt;$R102</formula>
    </cfRule>
  </conditionalFormatting>
  <conditionalFormatting sqref="S104:AD104">
    <cfRule type="expression" dxfId="636" priority="824">
      <formula>$R104&gt;$R103</formula>
    </cfRule>
  </conditionalFormatting>
  <conditionalFormatting sqref="S105:AD105">
    <cfRule type="expression" dxfId="635" priority="823">
      <formula>$R105&gt;$R104</formula>
    </cfRule>
  </conditionalFormatting>
  <conditionalFormatting sqref="S106:AD106">
    <cfRule type="expression" dxfId="634" priority="822">
      <formula>$R106&gt;$R105</formula>
    </cfRule>
  </conditionalFormatting>
  <conditionalFormatting sqref="S107:AD107">
    <cfRule type="expression" dxfId="633" priority="821">
      <formula>$R107&gt;$R106</formula>
    </cfRule>
  </conditionalFormatting>
  <conditionalFormatting sqref="S108:AD108">
    <cfRule type="expression" dxfId="632" priority="820">
      <formula>$R108&gt;$R107</formula>
    </cfRule>
  </conditionalFormatting>
  <conditionalFormatting sqref="S109:AD109">
    <cfRule type="expression" dxfId="631" priority="819">
      <formula>$R109&gt;$R108</formula>
    </cfRule>
  </conditionalFormatting>
  <conditionalFormatting sqref="S110:AD110">
    <cfRule type="expression" dxfId="630" priority="818">
      <formula>$R110&gt;$R109</formula>
    </cfRule>
  </conditionalFormatting>
  <conditionalFormatting sqref="S111:AD111">
    <cfRule type="expression" dxfId="629" priority="817">
      <formula>$R111&gt;$R110</formula>
    </cfRule>
  </conditionalFormatting>
  <conditionalFormatting sqref="S112:AD112">
    <cfRule type="expression" dxfId="628" priority="816">
      <formula>$R112&gt;$R111</formula>
    </cfRule>
  </conditionalFormatting>
  <conditionalFormatting sqref="S113:AD113">
    <cfRule type="expression" dxfId="627" priority="815">
      <formula>$R113&gt;$R112</formula>
    </cfRule>
  </conditionalFormatting>
  <conditionalFormatting sqref="S114:AD114">
    <cfRule type="expression" dxfId="626" priority="814">
      <formula>$R114&gt;$R113</formula>
    </cfRule>
  </conditionalFormatting>
  <conditionalFormatting sqref="S115:AD115">
    <cfRule type="expression" dxfId="625" priority="813">
      <formula>$R115&gt;$R114</formula>
    </cfRule>
  </conditionalFormatting>
  <conditionalFormatting sqref="S116:AD116">
    <cfRule type="expression" dxfId="624" priority="812">
      <formula>$R116&gt;$R115</formula>
    </cfRule>
  </conditionalFormatting>
  <conditionalFormatting sqref="S117:AD117">
    <cfRule type="expression" dxfId="623" priority="811">
      <formula>$R117&gt;$R116</formula>
    </cfRule>
  </conditionalFormatting>
  <conditionalFormatting sqref="S118:AD118">
    <cfRule type="expression" dxfId="622" priority="810">
      <formula>$R118&gt;$R117</formula>
    </cfRule>
  </conditionalFormatting>
  <conditionalFormatting sqref="S119:AD119">
    <cfRule type="expression" dxfId="621" priority="809">
      <formula>$R119&gt;$R118</formula>
    </cfRule>
  </conditionalFormatting>
  <conditionalFormatting sqref="S120:AD120">
    <cfRule type="expression" dxfId="620" priority="808">
      <formula>$R120&gt;$R119</formula>
    </cfRule>
  </conditionalFormatting>
  <conditionalFormatting sqref="S121:AD121">
    <cfRule type="expression" dxfId="619" priority="807">
      <formula>$R121&gt;$R120</formula>
    </cfRule>
  </conditionalFormatting>
  <conditionalFormatting sqref="S122:AD122">
    <cfRule type="expression" dxfId="618" priority="806">
      <formula>$R122&gt;$R121</formula>
    </cfRule>
  </conditionalFormatting>
  <conditionalFormatting sqref="S123:AD123">
    <cfRule type="expression" dxfId="617" priority="805">
      <formula>$R123&gt;$R122</formula>
    </cfRule>
  </conditionalFormatting>
  <conditionalFormatting sqref="S124:AD124">
    <cfRule type="expression" dxfId="616" priority="804">
      <formula>$R124&gt;$R123</formula>
    </cfRule>
  </conditionalFormatting>
  <conditionalFormatting sqref="S125:AD125">
    <cfRule type="expression" dxfId="615" priority="803">
      <formula>$R125&gt;$R124</formula>
    </cfRule>
  </conditionalFormatting>
  <conditionalFormatting sqref="S126:AD126">
    <cfRule type="expression" dxfId="614" priority="802">
      <formula>$R126&gt;$R125</formula>
    </cfRule>
  </conditionalFormatting>
  <conditionalFormatting sqref="S127:AD127">
    <cfRule type="expression" dxfId="613" priority="801">
      <formula>$R127&gt;$R126</formula>
    </cfRule>
  </conditionalFormatting>
  <conditionalFormatting sqref="S128:AD128">
    <cfRule type="expression" dxfId="612" priority="800">
      <formula>$R128&gt;$R127</formula>
    </cfRule>
  </conditionalFormatting>
  <conditionalFormatting sqref="S129:AD129">
    <cfRule type="expression" dxfId="611" priority="799">
      <formula>$R129&gt;$R128</formula>
    </cfRule>
  </conditionalFormatting>
  <conditionalFormatting sqref="S130:AD130">
    <cfRule type="expression" dxfId="610" priority="798">
      <formula>$R130&gt;$R129</formula>
    </cfRule>
  </conditionalFormatting>
  <conditionalFormatting sqref="S131:AD131">
    <cfRule type="expression" dxfId="609" priority="797">
      <formula>$R131&gt;$R130</formula>
    </cfRule>
  </conditionalFormatting>
  <conditionalFormatting sqref="S132:AD132">
    <cfRule type="expression" dxfId="608" priority="796">
      <formula>$R132&gt;$R131</formula>
    </cfRule>
  </conditionalFormatting>
  <conditionalFormatting sqref="S133:AD133">
    <cfRule type="expression" dxfId="607" priority="795">
      <formula>$R133&gt;$R132</formula>
    </cfRule>
  </conditionalFormatting>
  <conditionalFormatting sqref="S134:AD134">
    <cfRule type="expression" dxfId="606" priority="794">
      <formula>$R134&gt;$R133</formula>
    </cfRule>
  </conditionalFormatting>
  <conditionalFormatting sqref="S135:AD135">
    <cfRule type="expression" dxfId="605" priority="793">
      <formula>$R135&gt;$R134</formula>
    </cfRule>
  </conditionalFormatting>
  <conditionalFormatting sqref="S136:AD136">
    <cfRule type="expression" dxfId="604" priority="792">
      <formula>$R136&gt;$R135</formula>
    </cfRule>
  </conditionalFormatting>
  <conditionalFormatting sqref="S137:AD137">
    <cfRule type="expression" dxfId="603" priority="791">
      <formula>$R137&gt;$R136</formula>
    </cfRule>
  </conditionalFormatting>
  <conditionalFormatting sqref="S138:AD138">
    <cfRule type="expression" dxfId="602" priority="790">
      <formula>$R138&gt;$R137</formula>
    </cfRule>
  </conditionalFormatting>
  <conditionalFormatting sqref="S139:AD139">
    <cfRule type="expression" dxfId="601" priority="789">
      <formula>$R139&gt;$R138</formula>
    </cfRule>
  </conditionalFormatting>
  <conditionalFormatting sqref="S140:AD140">
    <cfRule type="expression" dxfId="600" priority="788">
      <formula>$R140&gt;$R139</formula>
    </cfRule>
  </conditionalFormatting>
  <conditionalFormatting sqref="S141:AD141">
    <cfRule type="expression" dxfId="599" priority="787">
      <formula>$R141&gt;$R140</formula>
    </cfRule>
  </conditionalFormatting>
  <conditionalFormatting sqref="S142:AD142">
    <cfRule type="expression" dxfId="598" priority="786">
      <formula>$R142&gt;$R141</formula>
    </cfRule>
  </conditionalFormatting>
  <conditionalFormatting sqref="S143:AD143">
    <cfRule type="expression" dxfId="597" priority="785">
      <formula>$R143&gt;$R142</formula>
    </cfRule>
  </conditionalFormatting>
  <conditionalFormatting sqref="S144:AD144">
    <cfRule type="expression" dxfId="596" priority="784">
      <formula>$R144&gt;$R143</formula>
    </cfRule>
  </conditionalFormatting>
  <conditionalFormatting sqref="S145:AD145">
    <cfRule type="expression" dxfId="595" priority="783">
      <formula>$R145&gt;$R144</formula>
    </cfRule>
  </conditionalFormatting>
  <conditionalFormatting sqref="S146:AD146">
    <cfRule type="expression" dxfId="594" priority="782">
      <formula>$R146&gt;$R145</formula>
    </cfRule>
  </conditionalFormatting>
  <conditionalFormatting sqref="S147:AD147">
    <cfRule type="expression" dxfId="593" priority="781">
      <formula>$R147&gt;$R146</formula>
    </cfRule>
  </conditionalFormatting>
  <conditionalFormatting sqref="S148:AD148">
    <cfRule type="expression" dxfId="592" priority="780">
      <formula>$R148&gt;$R147</formula>
    </cfRule>
  </conditionalFormatting>
  <conditionalFormatting sqref="S149:AD149">
    <cfRule type="expression" dxfId="591" priority="779">
      <formula>$R149&gt;$R148</formula>
    </cfRule>
  </conditionalFormatting>
  <conditionalFormatting sqref="S150:AD150">
    <cfRule type="expression" dxfId="590" priority="778">
      <formula>$R150&gt;$R149</formula>
    </cfRule>
  </conditionalFormatting>
  <conditionalFormatting sqref="S151:AD151">
    <cfRule type="expression" dxfId="589" priority="777">
      <formula>$R151&gt;$R150</formula>
    </cfRule>
  </conditionalFormatting>
  <conditionalFormatting sqref="S152:AD152">
    <cfRule type="expression" dxfId="588" priority="776">
      <formula>$R152&gt;$R151</formula>
    </cfRule>
  </conditionalFormatting>
  <conditionalFormatting sqref="S153:AD153">
    <cfRule type="expression" dxfId="587" priority="775">
      <formula>$R153&gt;$R152</formula>
    </cfRule>
  </conditionalFormatting>
  <conditionalFormatting sqref="S154:AD154">
    <cfRule type="expression" dxfId="586" priority="774">
      <formula>$R154&gt;$R153</formula>
    </cfRule>
  </conditionalFormatting>
  <conditionalFormatting sqref="S155:AD155">
    <cfRule type="expression" dxfId="585" priority="773">
      <formula>$R155&gt;$R154</formula>
    </cfRule>
  </conditionalFormatting>
  <conditionalFormatting sqref="S156:AD156">
    <cfRule type="expression" dxfId="584" priority="772">
      <formula>$R156&gt;$R155</formula>
    </cfRule>
  </conditionalFormatting>
  <conditionalFormatting sqref="S157:AD157">
    <cfRule type="expression" dxfId="583" priority="771">
      <formula>$R157&gt;$R156</formula>
    </cfRule>
  </conditionalFormatting>
  <conditionalFormatting sqref="S158:AD158">
    <cfRule type="expression" dxfId="582" priority="770">
      <formula>$R158&gt;$R157</formula>
    </cfRule>
  </conditionalFormatting>
  <conditionalFormatting sqref="S159:AD159">
    <cfRule type="expression" dxfId="581" priority="769">
      <formula>$R159&gt;$R158</formula>
    </cfRule>
  </conditionalFormatting>
  <conditionalFormatting sqref="S160:AD160">
    <cfRule type="expression" dxfId="580" priority="768">
      <formula>$R160&gt;$R159</formula>
    </cfRule>
  </conditionalFormatting>
  <conditionalFormatting sqref="S161:AD161">
    <cfRule type="expression" dxfId="579" priority="767">
      <formula>$R161&gt;$R160</formula>
    </cfRule>
  </conditionalFormatting>
  <conditionalFormatting sqref="S162:AD162">
    <cfRule type="expression" dxfId="578" priority="766">
      <formula>$R162&gt;$R161</formula>
    </cfRule>
  </conditionalFormatting>
  <conditionalFormatting sqref="S163:AD163">
    <cfRule type="expression" dxfId="577" priority="765">
      <formula>$R163&gt;$R162</formula>
    </cfRule>
  </conditionalFormatting>
  <conditionalFormatting sqref="S164:AD164">
    <cfRule type="expression" dxfId="576" priority="764">
      <formula>$R164&gt;$R163</formula>
    </cfRule>
  </conditionalFormatting>
  <conditionalFormatting sqref="S165:AD165">
    <cfRule type="expression" dxfId="575" priority="763">
      <formula>$R165&gt;$R164</formula>
    </cfRule>
  </conditionalFormatting>
  <conditionalFormatting sqref="S166:AD166">
    <cfRule type="expression" dxfId="574" priority="762">
      <formula>$R166&gt;$R165</formula>
    </cfRule>
  </conditionalFormatting>
  <conditionalFormatting sqref="S167:AD167">
    <cfRule type="expression" dxfId="573" priority="761">
      <formula>$R167&gt;$R166</formula>
    </cfRule>
  </conditionalFormatting>
  <conditionalFormatting sqref="S168:AD168">
    <cfRule type="expression" dxfId="572" priority="760">
      <formula>$R168&gt;$R167</formula>
    </cfRule>
  </conditionalFormatting>
  <conditionalFormatting sqref="S169:AD169">
    <cfRule type="expression" dxfId="571" priority="759">
      <formula>$R169&gt;$R168</formula>
    </cfRule>
  </conditionalFormatting>
  <conditionalFormatting sqref="S170:AD170">
    <cfRule type="expression" dxfId="570" priority="758">
      <formula>$R170&gt;$R169</formula>
    </cfRule>
  </conditionalFormatting>
  <conditionalFormatting sqref="S171:AD171">
    <cfRule type="expression" dxfId="569" priority="757">
      <formula>$R171&gt;$R170</formula>
    </cfRule>
  </conditionalFormatting>
  <conditionalFormatting sqref="S172:AD172">
    <cfRule type="expression" dxfId="568" priority="756">
      <formula>$R172&gt;$R171</formula>
    </cfRule>
  </conditionalFormatting>
  <conditionalFormatting sqref="S173:AD173">
    <cfRule type="expression" dxfId="567" priority="755">
      <formula>$R173&gt;$R172</formula>
    </cfRule>
  </conditionalFormatting>
  <conditionalFormatting sqref="S174:AD174">
    <cfRule type="expression" dxfId="566" priority="754">
      <formula>$R174&gt;$R173</formula>
    </cfRule>
  </conditionalFormatting>
  <conditionalFormatting sqref="S175:AD175">
    <cfRule type="expression" dxfId="565" priority="753">
      <formula>$R175&gt;$R174</formula>
    </cfRule>
  </conditionalFormatting>
  <conditionalFormatting sqref="S176:AD176">
    <cfRule type="expression" dxfId="564" priority="752">
      <formula>$R176&gt;$R175</formula>
    </cfRule>
  </conditionalFormatting>
  <conditionalFormatting sqref="S177:AD177">
    <cfRule type="expression" dxfId="563" priority="751">
      <formula>$R177&gt;$R176</formula>
    </cfRule>
  </conditionalFormatting>
  <conditionalFormatting sqref="S178:AD178">
    <cfRule type="expression" dxfId="562" priority="750">
      <formula>$R178&gt;$R177</formula>
    </cfRule>
  </conditionalFormatting>
  <conditionalFormatting sqref="S179:AD179">
    <cfRule type="expression" dxfId="561" priority="749">
      <formula>$R179&gt;$R178</formula>
    </cfRule>
  </conditionalFormatting>
  <conditionalFormatting sqref="S180:AD180">
    <cfRule type="expression" dxfId="560" priority="748">
      <formula>$R180&gt;$R179</formula>
    </cfRule>
  </conditionalFormatting>
  <conditionalFormatting sqref="S181:AD181">
    <cfRule type="expression" dxfId="559" priority="747">
      <formula>$R181&gt;$R180</formula>
    </cfRule>
  </conditionalFormatting>
  <conditionalFormatting sqref="S182:AD182">
    <cfRule type="expression" dxfId="558" priority="746">
      <formula>$R182&gt;$R181</formula>
    </cfRule>
  </conditionalFormatting>
  <conditionalFormatting sqref="S183:AD183">
    <cfRule type="expression" dxfId="557" priority="745">
      <formula>$R183&gt;$R182</formula>
    </cfRule>
  </conditionalFormatting>
  <conditionalFormatting sqref="S184:AD184">
    <cfRule type="expression" dxfId="556" priority="744">
      <formula>$R184&gt;$R183</formula>
    </cfRule>
  </conditionalFormatting>
  <conditionalFormatting sqref="S185:AD185">
    <cfRule type="expression" dxfId="555" priority="743">
      <formula>$R185&gt;$R184</formula>
    </cfRule>
  </conditionalFormatting>
  <conditionalFormatting sqref="S186:AD186">
    <cfRule type="expression" dxfId="554" priority="742">
      <formula>$R186&gt;$R185</formula>
    </cfRule>
  </conditionalFormatting>
  <conditionalFormatting sqref="S187:AD187">
    <cfRule type="expression" dxfId="553" priority="741">
      <formula>$R187&gt;$R186</formula>
    </cfRule>
  </conditionalFormatting>
  <conditionalFormatting sqref="S188:AD188">
    <cfRule type="expression" dxfId="552" priority="740">
      <formula>$R188&gt;$R187</formula>
    </cfRule>
  </conditionalFormatting>
  <conditionalFormatting sqref="S189:AD189">
    <cfRule type="expression" dxfId="551" priority="739">
      <formula>$R189&gt;$R188</formula>
    </cfRule>
  </conditionalFormatting>
  <conditionalFormatting sqref="S190:AD190">
    <cfRule type="expression" dxfId="550" priority="738">
      <formula>$R190&gt;$R189</formula>
    </cfRule>
  </conditionalFormatting>
  <conditionalFormatting sqref="S191:AD191">
    <cfRule type="expression" dxfId="549" priority="737">
      <formula>$R191&gt;$R190</formula>
    </cfRule>
  </conditionalFormatting>
  <conditionalFormatting sqref="S192:AD192">
    <cfRule type="expression" dxfId="548" priority="736">
      <formula>$R192&gt;$R191</formula>
    </cfRule>
  </conditionalFormatting>
  <conditionalFormatting sqref="S193:AD193">
    <cfRule type="expression" dxfId="547" priority="735">
      <formula>$R193&gt;$R192</formula>
    </cfRule>
  </conditionalFormatting>
  <conditionalFormatting sqref="S194:AD194">
    <cfRule type="expression" dxfId="546" priority="734">
      <formula>$R194&gt;$R193</formula>
    </cfRule>
  </conditionalFormatting>
  <conditionalFormatting sqref="S195:AD195">
    <cfRule type="expression" dxfId="545" priority="733">
      <formula>$R195&gt;$R194</formula>
    </cfRule>
  </conditionalFormatting>
  <conditionalFormatting sqref="S196:AD196">
    <cfRule type="expression" dxfId="544" priority="732">
      <formula>$R196&gt;$R195</formula>
    </cfRule>
  </conditionalFormatting>
  <conditionalFormatting sqref="S197:AD197">
    <cfRule type="expression" dxfId="543" priority="731">
      <formula>$R197&gt;$R196</formula>
    </cfRule>
  </conditionalFormatting>
  <conditionalFormatting sqref="S198:AD198">
    <cfRule type="expression" dxfId="542" priority="730">
      <formula>$R198&gt;$R197</formula>
    </cfRule>
  </conditionalFormatting>
  <conditionalFormatting sqref="S199:AD199">
    <cfRule type="expression" dxfId="541" priority="729">
      <formula>$R199&gt;$R198</formula>
    </cfRule>
  </conditionalFormatting>
  <conditionalFormatting sqref="S200:AD200">
    <cfRule type="expression" dxfId="540" priority="728">
      <formula>$R200&gt;$R199</formula>
    </cfRule>
  </conditionalFormatting>
  <conditionalFormatting sqref="S201:AD201">
    <cfRule type="expression" dxfId="539" priority="727">
      <formula>$R201&gt;$R200</formula>
    </cfRule>
  </conditionalFormatting>
  <conditionalFormatting sqref="S202:AD202">
    <cfRule type="expression" dxfId="538" priority="726">
      <formula>$R202&gt;$R201</formula>
    </cfRule>
  </conditionalFormatting>
  <conditionalFormatting sqref="S203:AD203">
    <cfRule type="expression" dxfId="537" priority="725">
      <formula>$R203&gt;$R202</formula>
    </cfRule>
  </conditionalFormatting>
  <conditionalFormatting sqref="S204:AD204">
    <cfRule type="expression" dxfId="536" priority="724">
      <formula>$R204&gt;$R203</formula>
    </cfRule>
  </conditionalFormatting>
  <conditionalFormatting sqref="S205:AD205">
    <cfRule type="expression" dxfId="535" priority="723">
      <formula>$R205&gt;$R204</formula>
    </cfRule>
  </conditionalFormatting>
  <conditionalFormatting sqref="S206:AD206">
    <cfRule type="expression" dxfId="534" priority="722">
      <formula>$R206&gt;$R205</formula>
    </cfRule>
  </conditionalFormatting>
  <conditionalFormatting sqref="S207:AD207">
    <cfRule type="expression" dxfId="533" priority="721">
      <formula>$R207&gt;$R206</formula>
    </cfRule>
  </conditionalFormatting>
  <conditionalFormatting sqref="S208:AD208">
    <cfRule type="expression" dxfId="532" priority="720">
      <formula>$R208&gt;$R207</formula>
    </cfRule>
  </conditionalFormatting>
  <conditionalFormatting sqref="S209:AD209">
    <cfRule type="expression" dxfId="531" priority="719">
      <formula>$R209&gt;$R208</formula>
    </cfRule>
  </conditionalFormatting>
  <conditionalFormatting sqref="S210:AD210">
    <cfRule type="expression" dxfId="530" priority="718">
      <formula>$R210&gt;$R209</formula>
    </cfRule>
  </conditionalFormatting>
  <conditionalFormatting sqref="S211:AD211">
    <cfRule type="expression" dxfId="529" priority="717">
      <formula>$R211&gt;$R210</formula>
    </cfRule>
  </conditionalFormatting>
  <conditionalFormatting sqref="S212:AD212">
    <cfRule type="expression" dxfId="528" priority="716">
      <formula>$R212&gt;$R211</formula>
    </cfRule>
  </conditionalFormatting>
  <conditionalFormatting sqref="S213:AD213">
    <cfRule type="expression" dxfId="527" priority="715">
      <formula>$R213&gt;$R212</formula>
    </cfRule>
  </conditionalFormatting>
  <conditionalFormatting sqref="S214:AD214">
    <cfRule type="expression" dxfId="526" priority="714">
      <formula>$R214&gt;$R213</formula>
    </cfRule>
  </conditionalFormatting>
  <conditionalFormatting sqref="S215:AD215">
    <cfRule type="expression" dxfId="525" priority="693">
      <formula>$R215&gt;$R214</formula>
    </cfRule>
  </conditionalFormatting>
  <conditionalFormatting sqref="S216:AD216">
    <cfRule type="expression" dxfId="524" priority="692">
      <formula>$R216&gt;$R215</formula>
    </cfRule>
  </conditionalFormatting>
  <conditionalFormatting sqref="S217:AD217">
    <cfRule type="expression" dxfId="523" priority="691">
      <formula>$R217&gt;$R216</formula>
    </cfRule>
  </conditionalFormatting>
  <conditionalFormatting sqref="S218:AD218">
    <cfRule type="expression" dxfId="522" priority="690">
      <formula>$R218&gt;$R217</formula>
    </cfRule>
  </conditionalFormatting>
  <conditionalFormatting sqref="S219:AD219">
    <cfRule type="expression" dxfId="521" priority="689">
      <formula>$R219&gt;$R218</formula>
    </cfRule>
  </conditionalFormatting>
  <conditionalFormatting sqref="S220:AD220">
    <cfRule type="expression" dxfId="520" priority="688">
      <formula>$R220&gt;$R219</formula>
    </cfRule>
  </conditionalFormatting>
  <conditionalFormatting sqref="S221:AD221">
    <cfRule type="expression" dxfId="519" priority="687">
      <formula>$R221&gt;$R220</formula>
    </cfRule>
  </conditionalFormatting>
  <conditionalFormatting sqref="S222:AD222">
    <cfRule type="expression" dxfId="518" priority="686">
      <formula>$R222&gt;$R221</formula>
    </cfRule>
  </conditionalFormatting>
  <conditionalFormatting sqref="S223:AD223">
    <cfRule type="expression" dxfId="517" priority="685">
      <formula>$R223&gt;$R222</formula>
    </cfRule>
  </conditionalFormatting>
  <conditionalFormatting sqref="S224:AD224">
    <cfRule type="expression" dxfId="516" priority="684">
      <formula>$R224&gt;$R223</formula>
    </cfRule>
  </conditionalFormatting>
  <conditionalFormatting sqref="S225:AD225">
    <cfRule type="expression" dxfId="515" priority="683">
      <formula>$R225&gt;$R224</formula>
    </cfRule>
  </conditionalFormatting>
  <conditionalFormatting sqref="S226:AD226">
    <cfRule type="expression" dxfId="514" priority="682">
      <formula>$R226&gt;$R225</formula>
    </cfRule>
  </conditionalFormatting>
  <conditionalFormatting sqref="S227:AD227">
    <cfRule type="expression" dxfId="513" priority="681">
      <formula>$R227&gt;$R226</formula>
    </cfRule>
  </conditionalFormatting>
  <conditionalFormatting sqref="S228:AD228">
    <cfRule type="expression" dxfId="512" priority="680">
      <formula>$R228&gt;$R227</formula>
    </cfRule>
  </conditionalFormatting>
  <conditionalFormatting sqref="S229:AD229">
    <cfRule type="expression" dxfId="511" priority="679">
      <formula>$R229&gt;$R228</formula>
    </cfRule>
  </conditionalFormatting>
  <conditionalFormatting sqref="S230:AD230">
    <cfRule type="expression" dxfId="510" priority="678">
      <formula>$R230&gt;$R229</formula>
    </cfRule>
  </conditionalFormatting>
  <conditionalFormatting sqref="S231:AD231">
    <cfRule type="expression" dxfId="509" priority="677">
      <formula>$R231&gt;$R230</formula>
    </cfRule>
  </conditionalFormatting>
  <conditionalFormatting sqref="S232:AD232">
    <cfRule type="expression" dxfId="508" priority="676">
      <formula>$R232&gt;$R231</formula>
    </cfRule>
  </conditionalFormatting>
  <conditionalFormatting sqref="S233:AD233">
    <cfRule type="expression" dxfId="507" priority="675">
      <formula>$R233&gt;$R232</formula>
    </cfRule>
  </conditionalFormatting>
  <conditionalFormatting sqref="S234:AD234">
    <cfRule type="expression" dxfId="506" priority="674">
      <formula>$R234&gt;$R233</formula>
    </cfRule>
  </conditionalFormatting>
  <conditionalFormatting sqref="S235:AD235">
    <cfRule type="expression" dxfId="505" priority="673">
      <formula>$R235&gt;$R234</formula>
    </cfRule>
  </conditionalFormatting>
  <conditionalFormatting sqref="S236:AD236">
    <cfRule type="expression" dxfId="504" priority="672">
      <formula>$R236&gt;$R235</formula>
    </cfRule>
  </conditionalFormatting>
  <conditionalFormatting sqref="S237:AD237">
    <cfRule type="expression" dxfId="503" priority="671">
      <formula>$R237&gt;$R236</formula>
    </cfRule>
  </conditionalFormatting>
  <conditionalFormatting sqref="S238:AD238">
    <cfRule type="expression" dxfId="502" priority="670">
      <formula>$R238&gt;$R237</formula>
    </cfRule>
  </conditionalFormatting>
  <conditionalFormatting sqref="S239:AD239">
    <cfRule type="expression" dxfId="501" priority="669">
      <formula>$R239&gt;$R238</formula>
    </cfRule>
  </conditionalFormatting>
  <conditionalFormatting sqref="S240:AD240">
    <cfRule type="expression" dxfId="500" priority="668">
      <formula>$R240&gt;$R239</formula>
    </cfRule>
  </conditionalFormatting>
  <conditionalFormatting sqref="S241:AD241">
    <cfRule type="expression" dxfId="499" priority="667">
      <formula>$R241&gt;$R240</formula>
    </cfRule>
  </conditionalFormatting>
  <conditionalFormatting sqref="S242:AD242">
    <cfRule type="expression" dxfId="498" priority="666">
      <formula>$R242&gt;$R241</formula>
    </cfRule>
  </conditionalFormatting>
  <conditionalFormatting sqref="S243:AD243">
    <cfRule type="expression" dxfId="497" priority="665">
      <formula>$R243&gt;$R242</formula>
    </cfRule>
  </conditionalFormatting>
  <conditionalFormatting sqref="S244:AD244">
    <cfRule type="expression" dxfId="496" priority="664">
      <formula>$R244&gt;$R243</formula>
    </cfRule>
  </conditionalFormatting>
  <conditionalFormatting sqref="S245:AD245">
    <cfRule type="expression" dxfId="495" priority="663">
      <formula>$R245&gt;$R244</formula>
    </cfRule>
  </conditionalFormatting>
  <conditionalFormatting sqref="S246:AD246">
    <cfRule type="expression" dxfId="494" priority="662">
      <formula>$R246&gt;$R245</formula>
    </cfRule>
  </conditionalFormatting>
  <conditionalFormatting sqref="S247:AD247">
    <cfRule type="expression" dxfId="493" priority="661">
      <formula>$R247&gt;$R246</formula>
    </cfRule>
  </conditionalFormatting>
  <conditionalFormatting sqref="S248:AD248">
    <cfRule type="expression" dxfId="492" priority="660">
      <formula>$R248&gt;$R247</formula>
    </cfRule>
  </conditionalFormatting>
  <conditionalFormatting sqref="S249:AD249">
    <cfRule type="expression" dxfId="491" priority="659">
      <formula>$R249&gt;$R248</formula>
    </cfRule>
  </conditionalFormatting>
  <conditionalFormatting sqref="S250:AD250">
    <cfRule type="expression" dxfId="490" priority="658">
      <formula>$R250&gt;$R249</formula>
    </cfRule>
  </conditionalFormatting>
  <conditionalFormatting sqref="S251:AD251">
    <cfRule type="expression" dxfId="489" priority="657">
      <formula>$R251&gt;$R250</formula>
    </cfRule>
  </conditionalFormatting>
  <conditionalFormatting sqref="S252:AD252">
    <cfRule type="expression" dxfId="488" priority="656">
      <formula>$R252&gt;$R251</formula>
    </cfRule>
  </conditionalFormatting>
  <conditionalFormatting sqref="S253:AD253">
    <cfRule type="expression" dxfId="487" priority="655">
      <formula>$R253&gt;$R252</formula>
    </cfRule>
  </conditionalFormatting>
  <conditionalFormatting sqref="S254:AD254">
    <cfRule type="expression" dxfId="486" priority="654">
      <formula>$R254&gt;$R253</formula>
    </cfRule>
  </conditionalFormatting>
  <conditionalFormatting sqref="S255:AD255">
    <cfRule type="expression" dxfId="485" priority="653">
      <formula>$R255&gt;$R254</formula>
    </cfRule>
  </conditionalFormatting>
  <conditionalFormatting sqref="S256:AD256">
    <cfRule type="expression" dxfId="484" priority="652">
      <formula>$R256&gt;$R255</formula>
    </cfRule>
  </conditionalFormatting>
  <conditionalFormatting sqref="S257:AD257">
    <cfRule type="expression" dxfId="483" priority="651">
      <formula>$R257&gt;$R256</formula>
    </cfRule>
  </conditionalFormatting>
  <conditionalFormatting sqref="S258:AD258">
    <cfRule type="expression" dxfId="482" priority="650">
      <formula>$R258&gt;$R257</formula>
    </cfRule>
  </conditionalFormatting>
  <conditionalFormatting sqref="S259:AD259">
    <cfRule type="expression" dxfId="481" priority="649">
      <formula>$R259&gt;$R258</formula>
    </cfRule>
  </conditionalFormatting>
  <conditionalFormatting sqref="S260:AD260">
    <cfRule type="expression" dxfId="480" priority="648">
      <formula>$R260&gt;$R259</formula>
    </cfRule>
  </conditionalFormatting>
  <conditionalFormatting sqref="S261:AD261">
    <cfRule type="expression" dxfId="479" priority="647">
      <formula>$R261&gt;$R260</formula>
    </cfRule>
  </conditionalFormatting>
  <conditionalFormatting sqref="S262:AD262">
    <cfRule type="expression" dxfId="478" priority="646">
      <formula>$R262&gt;$R261</formula>
    </cfRule>
  </conditionalFormatting>
  <conditionalFormatting sqref="S263:AD263">
    <cfRule type="expression" dxfId="477" priority="645">
      <formula>$R263&gt;$R262</formula>
    </cfRule>
  </conditionalFormatting>
  <conditionalFormatting sqref="S264:AD264">
    <cfRule type="expression" dxfId="476" priority="644">
      <formula>$R264&gt;$R263</formula>
    </cfRule>
  </conditionalFormatting>
  <conditionalFormatting sqref="S265:AD265">
    <cfRule type="expression" dxfId="475" priority="643">
      <formula>$R265&gt;$R264</formula>
    </cfRule>
  </conditionalFormatting>
  <conditionalFormatting sqref="S266:AD266">
    <cfRule type="expression" dxfId="474" priority="642">
      <formula>$R266&gt;$R265</formula>
    </cfRule>
  </conditionalFormatting>
  <conditionalFormatting sqref="S267:AD267">
    <cfRule type="expression" dxfId="473" priority="641">
      <formula>$R267&gt;$R266</formula>
    </cfRule>
  </conditionalFormatting>
  <conditionalFormatting sqref="S268:AD268">
    <cfRule type="expression" dxfId="472" priority="640">
      <formula>$R268&gt;$R267</formula>
    </cfRule>
  </conditionalFormatting>
  <conditionalFormatting sqref="S269:AD269">
    <cfRule type="expression" dxfId="471" priority="639">
      <formula>$R269&gt;$R268</formula>
    </cfRule>
  </conditionalFormatting>
  <conditionalFormatting sqref="S270:AD270">
    <cfRule type="expression" dxfId="470" priority="638">
      <formula>$R270&gt;$R269</formula>
    </cfRule>
  </conditionalFormatting>
  <conditionalFormatting sqref="S271:AD271">
    <cfRule type="expression" dxfId="469" priority="637">
      <formula>$R271&gt;$R270</formula>
    </cfRule>
  </conditionalFormatting>
  <conditionalFormatting sqref="S272:AD272">
    <cfRule type="expression" dxfId="468" priority="636">
      <formula>$R272&gt;$R271</formula>
    </cfRule>
  </conditionalFormatting>
  <conditionalFormatting sqref="S273:AD273">
    <cfRule type="expression" dxfId="467" priority="635">
      <formula>$R273&gt;$R272</formula>
    </cfRule>
  </conditionalFormatting>
  <conditionalFormatting sqref="S274:AD274">
    <cfRule type="expression" dxfId="466" priority="634">
      <formula>$R274&gt;$R273</formula>
    </cfRule>
  </conditionalFormatting>
  <conditionalFormatting sqref="S275:AD275">
    <cfRule type="expression" dxfId="465" priority="633">
      <formula>$R275&gt;$R274</formula>
    </cfRule>
  </conditionalFormatting>
  <conditionalFormatting sqref="S276:AD276">
    <cfRule type="expression" dxfId="464" priority="632">
      <formula>$R276&gt;$R275</formula>
    </cfRule>
  </conditionalFormatting>
  <conditionalFormatting sqref="S277:AD277">
    <cfRule type="expression" dxfId="463" priority="631">
      <formula>$R277&gt;$R276</formula>
    </cfRule>
  </conditionalFormatting>
  <conditionalFormatting sqref="S278:AD278">
    <cfRule type="expression" dxfId="462" priority="630">
      <formula>$R278&gt;$R277</formula>
    </cfRule>
  </conditionalFormatting>
  <conditionalFormatting sqref="S279:AD279">
    <cfRule type="expression" dxfId="461" priority="629">
      <formula>$R279&gt;$R278</formula>
    </cfRule>
  </conditionalFormatting>
  <conditionalFormatting sqref="S280:AD280">
    <cfRule type="expression" dxfId="460" priority="628">
      <formula>$R280&gt;$R279</formula>
    </cfRule>
  </conditionalFormatting>
  <conditionalFormatting sqref="S281:AD281">
    <cfRule type="expression" dxfId="459" priority="627">
      <formula>$R281&gt;$R280</formula>
    </cfRule>
  </conditionalFormatting>
  <conditionalFormatting sqref="S282:AD282">
    <cfRule type="expression" dxfId="458" priority="626">
      <formula>$R282&gt;$R281</formula>
    </cfRule>
  </conditionalFormatting>
  <conditionalFormatting sqref="S283:AD283">
    <cfRule type="expression" dxfId="457" priority="625">
      <formula>$R283&gt;$R282</formula>
    </cfRule>
  </conditionalFormatting>
  <conditionalFormatting sqref="S284:AD284">
    <cfRule type="expression" dxfId="456" priority="624">
      <formula>$R284&gt;$R283</formula>
    </cfRule>
  </conditionalFormatting>
  <conditionalFormatting sqref="S285:AD285">
    <cfRule type="expression" dxfId="455" priority="623">
      <formula>$R285&gt;$R284</formula>
    </cfRule>
  </conditionalFormatting>
  <conditionalFormatting sqref="S286:AD286">
    <cfRule type="expression" dxfId="454" priority="622">
      <formula>$R286&gt;$R285</formula>
    </cfRule>
  </conditionalFormatting>
  <conditionalFormatting sqref="S287:AD287">
    <cfRule type="expression" dxfId="453" priority="621">
      <formula>$R287&gt;$R286</formula>
    </cfRule>
  </conditionalFormatting>
  <conditionalFormatting sqref="S288:AD288">
    <cfRule type="expression" dxfId="452" priority="620">
      <formula>$R288&gt;$R287</formula>
    </cfRule>
  </conditionalFormatting>
  <conditionalFormatting sqref="S289:AD289">
    <cfRule type="expression" dxfId="451" priority="619">
      <formula>$R289&gt;$R288</formula>
    </cfRule>
  </conditionalFormatting>
  <conditionalFormatting sqref="S290:AD290">
    <cfRule type="expression" dxfId="450" priority="618">
      <formula>$R290&gt;$R289</formula>
    </cfRule>
  </conditionalFormatting>
  <conditionalFormatting sqref="S291:AD291">
    <cfRule type="expression" dxfId="449" priority="617">
      <formula>$R291&gt;$R290</formula>
    </cfRule>
  </conditionalFormatting>
  <conditionalFormatting sqref="S292:AD292">
    <cfRule type="expression" dxfId="448" priority="616">
      <formula>$R292&gt;$R291</formula>
    </cfRule>
  </conditionalFormatting>
  <conditionalFormatting sqref="S293:AD293">
    <cfRule type="expression" dxfId="447" priority="615">
      <formula>$R293&gt;$R292</formula>
    </cfRule>
  </conditionalFormatting>
  <conditionalFormatting sqref="S294:AD294">
    <cfRule type="expression" dxfId="446" priority="614">
      <formula>$R294&gt;$R293</formula>
    </cfRule>
  </conditionalFormatting>
  <conditionalFormatting sqref="S295:AD295">
    <cfRule type="expression" dxfId="445" priority="613">
      <formula>$R295&gt;$R294</formula>
    </cfRule>
  </conditionalFormatting>
  <conditionalFormatting sqref="S296:AD296">
    <cfRule type="expression" dxfId="444" priority="612">
      <formula>$R296&gt;$R295</formula>
    </cfRule>
  </conditionalFormatting>
  <conditionalFormatting sqref="S297:AD297">
    <cfRule type="expression" dxfId="443" priority="611">
      <formula>$R297&gt;$R296</formula>
    </cfRule>
  </conditionalFormatting>
  <conditionalFormatting sqref="S298:AD298">
    <cfRule type="expression" dxfId="442" priority="610">
      <formula>$R298&gt;$R297</formula>
    </cfRule>
  </conditionalFormatting>
  <conditionalFormatting sqref="S299:AD299">
    <cfRule type="expression" dxfId="441" priority="609">
      <formula>$R299&gt;$R298</formula>
    </cfRule>
  </conditionalFormatting>
  <conditionalFormatting sqref="S300:AD300">
    <cfRule type="expression" dxfId="440" priority="608">
      <formula>$R300&gt;$R299</formula>
    </cfRule>
  </conditionalFormatting>
  <conditionalFormatting sqref="S301:AD301">
    <cfRule type="expression" dxfId="439" priority="607">
      <formula>$R301&gt;$R300</formula>
    </cfRule>
  </conditionalFormatting>
  <conditionalFormatting sqref="S302:AD302">
    <cfRule type="expression" dxfId="438" priority="606">
      <formula>$R302&gt;$R301</formula>
    </cfRule>
  </conditionalFormatting>
  <conditionalFormatting sqref="S303:AD303">
    <cfRule type="expression" dxfId="437" priority="605">
      <formula>$R303&gt;$R302</formula>
    </cfRule>
  </conditionalFormatting>
  <conditionalFormatting sqref="S304:AD304">
    <cfRule type="expression" dxfId="436" priority="604">
      <formula>$R304&gt;$R303</formula>
    </cfRule>
  </conditionalFormatting>
  <conditionalFormatting sqref="S305:AD305">
    <cfRule type="expression" dxfId="435" priority="603">
      <formula>$R305&gt;$R304</formula>
    </cfRule>
  </conditionalFormatting>
  <conditionalFormatting sqref="S306:AD306">
    <cfRule type="expression" dxfId="434" priority="602">
      <formula>$R306&gt;$R305</formula>
    </cfRule>
  </conditionalFormatting>
  <conditionalFormatting sqref="S307:AD307">
    <cfRule type="expression" dxfId="433" priority="601">
      <formula>$R307&gt;$R306</formula>
    </cfRule>
  </conditionalFormatting>
  <conditionalFormatting sqref="S308:AD308">
    <cfRule type="expression" dxfId="432" priority="600">
      <formula>$R308&gt;$R307</formula>
    </cfRule>
  </conditionalFormatting>
  <conditionalFormatting sqref="S309:AD309">
    <cfRule type="expression" dxfId="431" priority="599">
      <formula>$R309&gt;$R308</formula>
    </cfRule>
  </conditionalFormatting>
  <conditionalFormatting sqref="S310:AD310">
    <cfRule type="expression" dxfId="430" priority="598">
      <formula>$R310&gt;$R309</formula>
    </cfRule>
  </conditionalFormatting>
  <conditionalFormatting sqref="S311:AD311">
    <cfRule type="expression" dxfId="429" priority="597">
      <formula>$R311&gt;$R310</formula>
    </cfRule>
  </conditionalFormatting>
  <conditionalFormatting sqref="S312:AD312">
    <cfRule type="expression" dxfId="428" priority="596">
      <formula>$R312&gt;$R311</formula>
    </cfRule>
  </conditionalFormatting>
  <conditionalFormatting sqref="S313:AD313">
    <cfRule type="expression" dxfId="427" priority="595">
      <formula>$R313&gt;$R312</formula>
    </cfRule>
  </conditionalFormatting>
  <conditionalFormatting sqref="S314:AD314">
    <cfRule type="expression" dxfId="426" priority="594">
      <formula>$R314&gt;$R313</formula>
    </cfRule>
  </conditionalFormatting>
  <conditionalFormatting sqref="S315:AD315">
    <cfRule type="expression" dxfId="425" priority="593">
      <formula>$R315&gt;$R314</formula>
    </cfRule>
  </conditionalFormatting>
  <conditionalFormatting sqref="S316:AD316">
    <cfRule type="expression" dxfId="424" priority="592">
      <formula>$R316&gt;$R315</formula>
    </cfRule>
  </conditionalFormatting>
  <conditionalFormatting sqref="S317:AD317">
    <cfRule type="expression" dxfId="423" priority="591">
      <formula>$R317&gt;$R316</formula>
    </cfRule>
  </conditionalFormatting>
  <conditionalFormatting sqref="S318:AD318">
    <cfRule type="expression" dxfId="422" priority="590">
      <formula>$R318&gt;$R317</formula>
    </cfRule>
  </conditionalFormatting>
  <conditionalFormatting sqref="S319:AD319">
    <cfRule type="expression" dxfId="421" priority="589">
      <formula>$R319&gt;$R318</formula>
    </cfRule>
  </conditionalFormatting>
  <conditionalFormatting sqref="S320:AD320">
    <cfRule type="expression" dxfId="420" priority="588">
      <formula>$R320&gt;$R319</formula>
    </cfRule>
  </conditionalFormatting>
  <conditionalFormatting sqref="S321:AD321">
    <cfRule type="expression" dxfId="419" priority="587">
      <formula>$R321&gt;$R320</formula>
    </cfRule>
  </conditionalFormatting>
  <conditionalFormatting sqref="S322:AD322">
    <cfRule type="expression" dxfId="418" priority="586">
      <formula>$R322&gt;$R321</formula>
    </cfRule>
  </conditionalFormatting>
  <conditionalFormatting sqref="S323:AD323">
    <cfRule type="expression" dxfId="417" priority="585">
      <formula>$R323&gt;$R322</formula>
    </cfRule>
  </conditionalFormatting>
  <conditionalFormatting sqref="S324:AD324">
    <cfRule type="expression" dxfId="416" priority="584">
      <formula>$R324&gt;$R323</formula>
    </cfRule>
  </conditionalFormatting>
  <conditionalFormatting sqref="S325:AD325">
    <cfRule type="expression" dxfId="415" priority="583">
      <formula>$R325&gt;$R324</formula>
    </cfRule>
  </conditionalFormatting>
  <conditionalFormatting sqref="S326:AD326">
    <cfRule type="expression" dxfId="414" priority="582">
      <formula>$R326&gt;$R325</formula>
    </cfRule>
  </conditionalFormatting>
  <conditionalFormatting sqref="S327:AD327">
    <cfRule type="expression" dxfId="413" priority="581">
      <formula>$R327&gt;$R326</formula>
    </cfRule>
  </conditionalFormatting>
  <conditionalFormatting sqref="S328:AD328">
    <cfRule type="expression" dxfId="412" priority="580">
      <formula>$R328&gt;$R327</formula>
    </cfRule>
  </conditionalFormatting>
  <conditionalFormatting sqref="S329:AD329">
    <cfRule type="expression" dxfId="411" priority="579">
      <formula>$R329&gt;$R328</formula>
    </cfRule>
  </conditionalFormatting>
  <conditionalFormatting sqref="S330:AD330">
    <cfRule type="expression" dxfId="410" priority="578">
      <formula>$R330&gt;$R329</formula>
    </cfRule>
  </conditionalFormatting>
  <conditionalFormatting sqref="S331:AD331">
    <cfRule type="expression" dxfId="409" priority="577">
      <formula>$R331&gt;$R330</formula>
    </cfRule>
  </conditionalFormatting>
  <conditionalFormatting sqref="S332:AD332">
    <cfRule type="expression" dxfId="408" priority="576">
      <formula>$R332&gt;$R331</formula>
    </cfRule>
  </conditionalFormatting>
  <conditionalFormatting sqref="S333:AD333">
    <cfRule type="expression" dxfId="407" priority="575">
      <formula>$R333&gt;$R332</formula>
    </cfRule>
  </conditionalFormatting>
  <conditionalFormatting sqref="S334:AD334">
    <cfRule type="expression" dxfId="406" priority="574">
      <formula>$R334&gt;$R333</formula>
    </cfRule>
  </conditionalFormatting>
  <conditionalFormatting sqref="S335:AD335">
    <cfRule type="expression" dxfId="405" priority="573">
      <formula>$R335&gt;$R334</formula>
    </cfRule>
  </conditionalFormatting>
  <conditionalFormatting sqref="S336:AD336">
    <cfRule type="expression" dxfId="404" priority="572">
      <formula>$R336&gt;$R335</formula>
    </cfRule>
  </conditionalFormatting>
  <conditionalFormatting sqref="S337:AD337">
    <cfRule type="expression" dxfId="403" priority="571">
      <formula>$R337&gt;$R336</formula>
    </cfRule>
  </conditionalFormatting>
  <conditionalFormatting sqref="S338:AD338">
    <cfRule type="expression" dxfId="402" priority="570">
      <formula>$R338&gt;$R337</formula>
    </cfRule>
  </conditionalFormatting>
  <conditionalFormatting sqref="S339:AD339">
    <cfRule type="expression" dxfId="401" priority="569">
      <formula>$R339&gt;$R338</formula>
    </cfRule>
  </conditionalFormatting>
  <conditionalFormatting sqref="S340:AD340">
    <cfRule type="expression" dxfId="400" priority="568">
      <formula>$R340&gt;$R339</formula>
    </cfRule>
  </conditionalFormatting>
  <conditionalFormatting sqref="S341:AD341">
    <cfRule type="expression" dxfId="399" priority="567">
      <formula>$R341&gt;$R340</formula>
    </cfRule>
  </conditionalFormatting>
  <conditionalFormatting sqref="S342:AD342">
    <cfRule type="expression" dxfId="398" priority="566">
      <formula>$R342&gt;$R341</formula>
    </cfRule>
  </conditionalFormatting>
  <conditionalFormatting sqref="S343:AD343">
    <cfRule type="expression" dxfId="397" priority="565">
      <formula>$R343&gt;$R342</formula>
    </cfRule>
  </conditionalFormatting>
  <conditionalFormatting sqref="S344:AD344">
    <cfRule type="expression" dxfId="396" priority="564">
      <formula>$R344&gt;$R343</formula>
    </cfRule>
  </conditionalFormatting>
  <conditionalFormatting sqref="S345:AD345">
    <cfRule type="expression" dxfId="395" priority="563">
      <formula>$R345&gt;$R344</formula>
    </cfRule>
  </conditionalFormatting>
  <conditionalFormatting sqref="S346:AD346">
    <cfRule type="expression" dxfId="394" priority="562">
      <formula>$R346&gt;$R345</formula>
    </cfRule>
  </conditionalFormatting>
  <conditionalFormatting sqref="S347:AD347">
    <cfRule type="expression" dxfId="393" priority="561">
      <formula>$R347&gt;$R346</formula>
    </cfRule>
  </conditionalFormatting>
  <conditionalFormatting sqref="S348:AD348">
    <cfRule type="expression" dxfId="392" priority="560">
      <formula>$R348&gt;$R347</formula>
    </cfRule>
  </conditionalFormatting>
  <conditionalFormatting sqref="S349:AD349">
    <cfRule type="expression" dxfId="391" priority="559">
      <formula>$R349&gt;$R348</formula>
    </cfRule>
  </conditionalFormatting>
  <conditionalFormatting sqref="S350:AD350">
    <cfRule type="expression" dxfId="390" priority="558">
      <formula>$R350&gt;$R349</formula>
    </cfRule>
  </conditionalFormatting>
  <conditionalFormatting sqref="S351:AD351">
    <cfRule type="expression" dxfId="389" priority="557">
      <formula>$R351&gt;$R350</formula>
    </cfRule>
  </conditionalFormatting>
  <conditionalFormatting sqref="S352:AD352">
    <cfRule type="expression" dxfId="388" priority="556">
      <formula>$R352&gt;$R351</formula>
    </cfRule>
  </conditionalFormatting>
  <conditionalFormatting sqref="S353:AD353">
    <cfRule type="expression" dxfId="387" priority="555">
      <formula>$R353&gt;$R352</formula>
    </cfRule>
  </conditionalFormatting>
  <conditionalFormatting sqref="S354:AD354">
    <cfRule type="expression" dxfId="386" priority="554">
      <formula>$R354&gt;$R353</formula>
    </cfRule>
  </conditionalFormatting>
  <conditionalFormatting sqref="S355:AD355">
    <cfRule type="expression" dxfId="385" priority="553">
      <formula>$R355&gt;$R354</formula>
    </cfRule>
  </conditionalFormatting>
  <conditionalFormatting sqref="S356:AD356">
    <cfRule type="expression" dxfId="384" priority="552">
      <formula>$R356&gt;$R355</formula>
    </cfRule>
  </conditionalFormatting>
  <conditionalFormatting sqref="S357:AD357">
    <cfRule type="expression" dxfId="383" priority="551">
      <formula>$R357&gt;$R356</formula>
    </cfRule>
  </conditionalFormatting>
  <conditionalFormatting sqref="S358:AD358">
    <cfRule type="expression" dxfId="382" priority="550">
      <formula>$R358&gt;$R357</formula>
    </cfRule>
  </conditionalFormatting>
  <conditionalFormatting sqref="S359:AD359">
    <cfRule type="expression" dxfId="381" priority="549">
      <formula>$R359&gt;$R358</formula>
    </cfRule>
  </conditionalFormatting>
  <conditionalFormatting sqref="S360:AD360">
    <cfRule type="expression" dxfId="380" priority="548">
      <formula>$R360&gt;$R359</formula>
    </cfRule>
  </conditionalFormatting>
  <conditionalFormatting sqref="S361:AD361">
    <cfRule type="expression" dxfId="379" priority="547">
      <formula>$R361&gt;$R360</formula>
    </cfRule>
  </conditionalFormatting>
  <conditionalFormatting sqref="S362:AD362">
    <cfRule type="expression" dxfId="378" priority="546">
      <formula>$R362&gt;$R361</formula>
    </cfRule>
  </conditionalFormatting>
  <conditionalFormatting sqref="S363:AD363">
    <cfRule type="expression" dxfId="377" priority="545">
      <formula>$R363&gt;$R362</formula>
    </cfRule>
  </conditionalFormatting>
  <conditionalFormatting sqref="S364:AD364">
    <cfRule type="expression" dxfId="376" priority="544">
      <formula>$R364&gt;$R363</formula>
    </cfRule>
  </conditionalFormatting>
  <conditionalFormatting sqref="S365:AD365">
    <cfRule type="expression" dxfId="375" priority="543">
      <formula>$R365&gt;$R364</formula>
    </cfRule>
  </conditionalFormatting>
  <conditionalFormatting sqref="S366:AD366">
    <cfRule type="expression" dxfId="374" priority="542">
      <formula>$R366&gt;$R365</formula>
    </cfRule>
  </conditionalFormatting>
  <conditionalFormatting sqref="S367:AD367">
    <cfRule type="expression" dxfId="373" priority="541">
      <formula>$R367&gt;$R366</formula>
    </cfRule>
  </conditionalFormatting>
  <conditionalFormatting sqref="S368:AD368">
    <cfRule type="expression" dxfId="372" priority="540">
      <formula>$R368&gt;$R367</formula>
    </cfRule>
  </conditionalFormatting>
  <conditionalFormatting sqref="S369:AD369">
    <cfRule type="expression" dxfId="371" priority="539">
      <formula>$R369&gt;$R368</formula>
    </cfRule>
  </conditionalFormatting>
  <conditionalFormatting sqref="S370:AD370">
    <cfRule type="expression" dxfId="370" priority="538">
      <formula>$R370&gt;$R369</formula>
    </cfRule>
  </conditionalFormatting>
  <conditionalFormatting sqref="S371:AD371">
    <cfRule type="expression" dxfId="369" priority="537">
      <formula>$R371&gt;$R370</formula>
    </cfRule>
  </conditionalFormatting>
  <conditionalFormatting sqref="S372:AD372">
    <cfRule type="expression" dxfId="368" priority="536">
      <formula>$R372&gt;$R371</formula>
    </cfRule>
  </conditionalFormatting>
  <conditionalFormatting sqref="S373:AD373">
    <cfRule type="expression" dxfId="367" priority="535">
      <formula>$R373&gt;$R372</formula>
    </cfRule>
  </conditionalFormatting>
  <conditionalFormatting sqref="S374:AD374">
    <cfRule type="expression" dxfId="366" priority="534">
      <formula>$R374&gt;$R373</formula>
    </cfRule>
  </conditionalFormatting>
  <conditionalFormatting sqref="S375:AD375">
    <cfRule type="expression" dxfId="365" priority="533">
      <formula>$R375&gt;$R374</formula>
    </cfRule>
  </conditionalFormatting>
  <conditionalFormatting sqref="S376:AD376">
    <cfRule type="expression" dxfId="364" priority="532">
      <formula>$R376&gt;$R375</formula>
    </cfRule>
  </conditionalFormatting>
  <conditionalFormatting sqref="S377:AD377">
    <cfRule type="expression" dxfId="363" priority="531">
      <formula>$R377&gt;$R376</formula>
    </cfRule>
  </conditionalFormatting>
  <conditionalFormatting sqref="S378:AD378">
    <cfRule type="expression" dxfId="362" priority="530">
      <formula>$R378&gt;$R377</formula>
    </cfRule>
  </conditionalFormatting>
  <conditionalFormatting sqref="S379:AD379">
    <cfRule type="expression" dxfId="361" priority="529">
      <formula>$R379&gt;$R378</formula>
    </cfRule>
  </conditionalFormatting>
  <conditionalFormatting sqref="S380:AD380">
    <cfRule type="expression" dxfId="360" priority="528">
      <formula>$R380&gt;$R379</formula>
    </cfRule>
  </conditionalFormatting>
  <conditionalFormatting sqref="S381:AD381">
    <cfRule type="expression" dxfId="359" priority="527">
      <formula>$R381&gt;$R380</formula>
    </cfRule>
  </conditionalFormatting>
  <conditionalFormatting sqref="S382:AD382">
    <cfRule type="expression" dxfId="358" priority="526">
      <formula>$R382&gt;$R381</formula>
    </cfRule>
  </conditionalFormatting>
  <conditionalFormatting sqref="S383:AD383">
    <cfRule type="expression" dxfId="357" priority="525">
      <formula>$R383&gt;$R382</formula>
    </cfRule>
  </conditionalFormatting>
  <conditionalFormatting sqref="S384:AD384">
    <cfRule type="expression" dxfId="356" priority="524">
      <formula>$R384&gt;$R383</formula>
    </cfRule>
  </conditionalFormatting>
  <conditionalFormatting sqref="S385:AD385">
    <cfRule type="expression" dxfId="355" priority="523">
      <formula>$R385&gt;$R384</formula>
    </cfRule>
  </conditionalFormatting>
  <conditionalFormatting sqref="S386:AD386">
    <cfRule type="expression" dxfId="354" priority="522">
      <formula>$R386&gt;$R385</formula>
    </cfRule>
  </conditionalFormatting>
  <conditionalFormatting sqref="S387:AD387">
    <cfRule type="expression" dxfId="353" priority="521">
      <formula>$R387&gt;$R386</formula>
    </cfRule>
  </conditionalFormatting>
  <conditionalFormatting sqref="S388:AD388">
    <cfRule type="expression" dxfId="352" priority="520">
      <formula>$R388&gt;$R387</formula>
    </cfRule>
  </conditionalFormatting>
  <conditionalFormatting sqref="S389:AD389">
    <cfRule type="expression" dxfId="351" priority="519">
      <formula>$R389&gt;$R388</formula>
    </cfRule>
  </conditionalFormatting>
  <conditionalFormatting sqref="S390:AD390">
    <cfRule type="expression" dxfId="350" priority="518">
      <formula>$R390&gt;$R389</formula>
    </cfRule>
  </conditionalFormatting>
  <conditionalFormatting sqref="S391:AD391">
    <cfRule type="expression" dxfId="349" priority="517">
      <formula>$R391&gt;$R390</formula>
    </cfRule>
  </conditionalFormatting>
  <conditionalFormatting sqref="S392:AD392">
    <cfRule type="expression" dxfId="348" priority="516">
      <formula>$R392&gt;$R391</formula>
    </cfRule>
  </conditionalFormatting>
  <conditionalFormatting sqref="S393:AD393">
    <cfRule type="expression" dxfId="347" priority="515">
      <formula>$R393&gt;$R392</formula>
    </cfRule>
  </conditionalFormatting>
  <conditionalFormatting sqref="S394:AD394">
    <cfRule type="expression" dxfId="346" priority="514">
      <formula>$R394&gt;$R393</formula>
    </cfRule>
  </conditionalFormatting>
  <conditionalFormatting sqref="S395:AD395">
    <cfRule type="expression" dxfId="345" priority="513">
      <formula>$R395&gt;$R394</formula>
    </cfRule>
  </conditionalFormatting>
  <conditionalFormatting sqref="S396:AD396">
    <cfRule type="expression" dxfId="344" priority="512">
      <formula>$R396&gt;$R395</formula>
    </cfRule>
  </conditionalFormatting>
  <conditionalFormatting sqref="S397:AD397">
    <cfRule type="expression" dxfId="343" priority="511">
      <formula>$R397&gt;$R396</formula>
    </cfRule>
  </conditionalFormatting>
  <conditionalFormatting sqref="S398:AD398">
    <cfRule type="expression" dxfId="342" priority="510">
      <formula>$R398&gt;$R397</formula>
    </cfRule>
  </conditionalFormatting>
  <conditionalFormatting sqref="S399:AD399">
    <cfRule type="expression" dxfId="341" priority="509">
      <formula>$R399&gt;$R398</formula>
    </cfRule>
  </conditionalFormatting>
  <conditionalFormatting sqref="S400:AD400">
    <cfRule type="expression" dxfId="340" priority="508">
      <formula>$R400&gt;$R399</formula>
    </cfRule>
  </conditionalFormatting>
  <conditionalFormatting sqref="S401:AD401">
    <cfRule type="expression" dxfId="339" priority="507">
      <formula>$R401&gt;$R400</formula>
    </cfRule>
  </conditionalFormatting>
  <conditionalFormatting sqref="S402:AD402">
    <cfRule type="expression" dxfId="338" priority="506">
      <formula>$R402&gt;$R401</formula>
    </cfRule>
  </conditionalFormatting>
  <conditionalFormatting sqref="S403:AD403">
    <cfRule type="expression" dxfId="337" priority="505">
      <formula>$R403&gt;$R402</formula>
    </cfRule>
  </conditionalFormatting>
  <conditionalFormatting sqref="S404:AD404">
    <cfRule type="expression" dxfId="336" priority="504">
      <formula>$R404&gt;$R403</formula>
    </cfRule>
  </conditionalFormatting>
  <conditionalFormatting sqref="S405:AD405">
    <cfRule type="expression" dxfId="335" priority="503">
      <formula>$R405&gt;$R404</formula>
    </cfRule>
  </conditionalFormatting>
  <conditionalFormatting sqref="S406:AD406">
    <cfRule type="expression" dxfId="334" priority="502">
      <formula>$R406&gt;$R405</formula>
    </cfRule>
  </conditionalFormatting>
  <conditionalFormatting sqref="S407:AD407">
    <cfRule type="expression" dxfId="333" priority="501">
      <formula>$R407&gt;$R406</formula>
    </cfRule>
  </conditionalFormatting>
  <conditionalFormatting sqref="S408:AD408">
    <cfRule type="expression" dxfId="332" priority="500">
      <formula>$R408&gt;$R407</formula>
    </cfRule>
  </conditionalFormatting>
  <conditionalFormatting sqref="S409:AD409">
    <cfRule type="expression" dxfId="331" priority="499">
      <formula>$R409&gt;$R408</formula>
    </cfRule>
  </conditionalFormatting>
  <conditionalFormatting sqref="S410:AD410">
    <cfRule type="expression" dxfId="330" priority="498">
      <formula>$R410&gt;$R409</formula>
    </cfRule>
  </conditionalFormatting>
  <conditionalFormatting sqref="S411:AD411">
    <cfRule type="expression" dxfId="329" priority="497">
      <formula>$R411&gt;$R410</formula>
    </cfRule>
  </conditionalFormatting>
  <conditionalFormatting sqref="S412:AD412">
    <cfRule type="expression" dxfId="328" priority="496">
      <formula>$R412&gt;$R411</formula>
    </cfRule>
  </conditionalFormatting>
  <conditionalFormatting sqref="S413:AD413">
    <cfRule type="expression" dxfId="327" priority="495">
      <formula>$R413&gt;$R412</formula>
    </cfRule>
  </conditionalFormatting>
  <conditionalFormatting sqref="S414:AD414">
    <cfRule type="expression" dxfId="326" priority="494">
      <formula>$R414&gt;$R413</formula>
    </cfRule>
  </conditionalFormatting>
  <conditionalFormatting sqref="S415:AD415">
    <cfRule type="expression" dxfId="325" priority="493">
      <formula>$R415&gt;$R414</formula>
    </cfRule>
  </conditionalFormatting>
  <conditionalFormatting sqref="S416:AD416">
    <cfRule type="expression" dxfId="324" priority="492">
      <formula>$R416&gt;$R415</formula>
    </cfRule>
  </conditionalFormatting>
  <conditionalFormatting sqref="S417:AD417">
    <cfRule type="expression" dxfId="323" priority="491">
      <formula>$R417&gt;$R416</formula>
    </cfRule>
  </conditionalFormatting>
  <conditionalFormatting sqref="S418:AD418">
    <cfRule type="expression" dxfId="322" priority="490">
      <formula>$R418&gt;$R417</formula>
    </cfRule>
  </conditionalFormatting>
  <conditionalFormatting sqref="S419:AD419">
    <cfRule type="expression" dxfId="321" priority="489">
      <formula>$R419&gt;$R418</formula>
    </cfRule>
  </conditionalFormatting>
  <conditionalFormatting sqref="S420:AD420">
    <cfRule type="expression" dxfId="320" priority="488">
      <formula>$R420&gt;$R419</formula>
    </cfRule>
  </conditionalFormatting>
  <conditionalFormatting sqref="S421:AD421">
    <cfRule type="expression" dxfId="319" priority="487">
      <formula>$R421&gt;$R420</formula>
    </cfRule>
  </conditionalFormatting>
  <conditionalFormatting sqref="S422:AD422">
    <cfRule type="expression" dxfId="318" priority="486">
      <formula>$R422&gt;$R421</formula>
    </cfRule>
  </conditionalFormatting>
  <conditionalFormatting sqref="S423:AD423">
    <cfRule type="expression" dxfId="317" priority="485">
      <formula>$R423&gt;$R422</formula>
    </cfRule>
  </conditionalFormatting>
  <conditionalFormatting sqref="S424:AD424">
    <cfRule type="expression" dxfId="316" priority="484">
      <formula>$R424&gt;$R423</formula>
    </cfRule>
  </conditionalFormatting>
  <conditionalFormatting sqref="S425:AD425">
    <cfRule type="expression" dxfId="315" priority="483">
      <formula>$R425&gt;$R424</formula>
    </cfRule>
  </conditionalFormatting>
  <conditionalFormatting sqref="S426:AD426">
    <cfRule type="expression" dxfId="314" priority="482">
      <formula>$R426&gt;$R425</formula>
    </cfRule>
  </conditionalFormatting>
  <conditionalFormatting sqref="S427:AD427">
    <cfRule type="expression" dxfId="313" priority="481">
      <formula>$R427&gt;$R426</formula>
    </cfRule>
  </conditionalFormatting>
  <conditionalFormatting sqref="S428:AD428">
    <cfRule type="expression" dxfId="312" priority="480">
      <formula>$R428&gt;$R427</formula>
    </cfRule>
  </conditionalFormatting>
  <conditionalFormatting sqref="S429:AD429">
    <cfRule type="expression" dxfId="311" priority="479">
      <formula>$R429&gt;$R428</formula>
    </cfRule>
  </conditionalFormatting>
  <conditionalFormatting sqref="S430:AD430">
    <cfRule type="expression" dxfId="310" priority="478">
      <formula>$R430&gt;$R429</formula>
    </cfRule>
  </conditionalFormatting>
  <conditionalFormatting sqref="S431:AD431">
    <cfRule type="expression" dxfId="309" priority="477">
      <formula>$R431&gt;$R430</formula>
    </cfRule>
  </conditionalFormatting>
  <conditionalFormatting sqref="S432:AD432">
    <cfRule type="expression" dxfId="308" priority="476">
      <formula>$R432&gt;$R431</formula>
    </cfRule>
  </conditionalFormatting>
  <conditionalFormatting sqref="S433:AD433">
    <cfRule type="expression" dxfId="307" priority="475">
      <formula>$R433&gt;$R432</formula>
    </cfRule>
  </conditionalFormatting>
  <conditionalFormatting sqref="S434:AD434">
    <cfRule type="expression" dxfId="306" priority="474">
      <formula>$R434&gt;$R433</formula>
    </cfRule>
  </conditionalFormatting>
  <conditionalFormatting sqref="S435:AD435">
    <cfRule type="expression" dxfId="305" priority="473">
      <formula>$R435&gt;$R434</formula>
    </cfRule>
  </conditionalFormatting>
  <conditionalFormatting sqref="S436:AD436">
    <cfRule type="expression" dxfId="304" priority="472">
      <formula>$R436&gt;$R435</formula>
    </cfRule>
  </conditionalFormatting>
  <conditionalFormatting sqref="S437:AD437">
    <cfRule type="expression" dxfId="303" priority="471">
      <formula>$R437&gt;$R436</formula>
    </cfRule>
  </conditionalFormatting>
  <conditionalFormatting sqref="S438:AD438">
    <cfRule type="expression" dxfId="302" priority="470">
      <formula>$R438&gt;$R437</formula>
    </cfRule>
  </conditionalFormatting>
  <conditionalFormatting sqref="S439:AD439">
    <cfRule type="expression" dxfId="301" priority="469">
      <formula>$R439&gt;$R438</formula>
    </cfRule>
  </conditionalFormatting>
  <conditionalFormatting sqref="S440:AD440">
    <cfRule type="expression" dxfId="300" priority="468">
      <formula>$R440&gt;$R439</formula>
    </cfRule>
  </conditionalFormatting>
  <conditionalFormatting sqref="S441:AD441">
    <cfRule type="expression" dxfId="299" priority="467">
      <formula>$R441&gt;$R440</formula>
    </cfRule>
  </conditionalFormatting>
  <conditionalFormatting sqref="S442:AD442">
    <cfRule type="expression" dxfId="298" priority="466">
      <formula>$R442&gt;$R441</formula>
    </cfRule>
  </conditionalFormatting>
  <conditionalFormatting sqref="S443:AD443">
    <cfRule type="expression" dxfId="297" priority="465">
      <formula>$R443&gt;$R442</formula>
    </cfRule>
  </conditionalFormatting>
  <conditionalFormatting sqref="S444:AD444">
    <cfRule type="expression" dxfId="296" priority="464">
      <formula>$R444&gt;$R443</formula>
    </cfRule>
  </conditionalFormatting>
  <conditionalFormatting sqref="S445:AD445">
    <cfRule type="expression" dxfId="295" priority="463">
      <formula>$R445&gt;$R444</formula>
    </cfRule>
  </conditionalFormatting>
  <conditionalFormatting sqref="S446:AD446">
    <cfRule type="expression" dxfId="294" priority="462">
      <formula>$R446&gt;$R445</formula>
    </cfRule>
  </conditionalFormatting>
  <conditionalFormatting sqref="S447:AD447">
    <cfRule type="expression" dxfId="293" priority="461">
      <formula>$R447&gt;$R446</formula>
    </cfRule>
  </conditionalFormatting>
  <conditionalFormatting sqref="S448:AD448">
    <cfRule type="expression" dxfId="292" priority="460">
      <formula>$R448&gt;$R447</formula>
    </cfRule>
  </conditionalFormatting>
  <conditionalFormatting sqref="S449:AD449">
    <cfRule type="expression" dxfId="291" priority="459">
      <formula>$R449&gt;$R448</formula>
    </cfRule>
  </conditionalFormatting>
  <conditionalFormatting sqref="S450:AD450">
    <cfRule type="expression" dxfId="290" priority="458">
      <formula>$R450&gt;$R449</formula>
    </cfRule>
  </conditionalFormatting>
  <conditionalFormatting sqref="S451:AD451">
    <cfRule type="expression" dxfId="289" priority="457">
      <formula>$R451&gt;$R450</formula>
    </cfRule>
  </conditionalFormatting>
  <conditionalFormatting sqref="S452:AD452">
    <cfRule type="expression" dxfId="288" priority="456">
      <formula>$R452&gt;$R451</formula>
    </cfRule>
  </conditionalFormatting>
  <conditionalFormatting sqref="S453:AD453">
    <cfRule type="expression" dxfId="287" priority="455">
      <formula>$R453&gt;$R452</formula>
    </cfRule>
  </conditionalFormatting>
  <conditionalFormatting sqref="S454:AD454">
    <cfRule type="expression" dxfId="286" priority="454">
      <formula>$R454&gt;$R453</formula>
    </cfRule>
  </conditionalFormatting>
  <conditionalFormatting sqref="S455:AD455">
    <cfRule type="expression" dxfId="285" priority="453">
      <formula>$R455&gt;$R454</formula>
    </cfRule>
  </conditionalFormatting>
  <conditionalFormatting sqref="S456:AD456">
    <cfRule type="expression" dxfId="284" priority="452">
      <formula>$R456&gt;$R455</formula>
    </cfRule>
  </conditionalFormatting>
  <conditionalFormatting sqref="S457:AD457">
    <cfRule type="expression" dxfId="283" priority="451">
      <formula>$R457&gt;$R456</formula>
    </cfRule>
  </conditionalFormatting>
  <conditionalFormatting sqref="S458:AD458">
    <cfRule type="expression" dxfId="282" priority="450">
      <formula>$R458&gt;$R457</formula>
    </cfRule>
  </conditionalFormatting>
  <conditionalFormatting sqref="S459:AD459">
    <cfRule type="expression" dxfId="281" priority="449">
      <formula>$R459&gt;$R458</formula>
    </cfRule>
  </conditionalFormatting>
  <conditionalFormatting sqref="S460:AD460">
    <cfRule type="expression" dxfId="280" priority="448">
      <formula>$R460&gt;$R459</formula>
    </cfRule>
  </conditionalFormatting>
  <conditionalFormatting sqref="S461:AD461">
    <cfRule type="expression" dxfId="279" priority="447">
      <formula>$R461&gt;$R460</formula>
    </cfRule>
  </conditionalFormatting>
  <conditionalFormatting sqref="S462:AD462">
    <cfRule type="expression" dxfId="278" priority="446">
      <formula>$R462&gt;$R461</formula>
    </cfRule>
  </conditionalFormatting>
  <conditionalFormatting sqref="S463:AD463">
    <cfRule type="expression" dxfId="277" priority="445">
      <formula>$R463&gt;$R462</formula>
    </cfRule>
  </conditionalFormatting>
  <conditionalFormatting sqref="S464:AD464">
    <cfRule type="expression" dxfId="276" priority="444">
      <formula>$R464&gt;$R463</formula>
    </cfRule>
  </conditionalFormatting>
  <conditionalFormatting sqref="S465:AD465">
    <cfRule type="expression" dxfId="275" priority="443">
      <formula>$R465&gt;$R464</formula>
    </cfRule>
  </conditionalFormatting>
  <conditionalFormatting sqref="S466:AD466">
    <cfRule type="expression" dxfId="274" priority="442">
      <formula>$R466&gt;$R465</formula>
    </cfRule>
  </conditionalFormatting>
  <conditionalFormatting sqref="S467:AD467">
    <cfRule type="expression" dxfId="273" priority="441">
      <formula>$R467&gt;$R466</formula>
    </cfRule>
  </conditionalFormatting>
  <conditionalFormatting sqref="S468:AD468">
    <cfRule type="expression" dxfId="272" priority="440">
      <formula>$R468&gt;$R467</formula>
    </cfRule>
  </conditionalFormatting>
  <conditionalFormatting sqref="S469:AD469">
    <cfRule type="expression" dxfId="271" priority="439">
      <formula>$R469&gt;$R468</formula>
    </cfRule>
  </conditionalFormatting>
  <conditionalFormatting sqref="S470:AD470">
    <cfRule type="expression" dxfId="270" priority="438">
      <formula>$R470&gt;$R469</formula>
    </cfRule>
  </conditionalFormatting>
  <conditionalFormatting sqref="S471:AD471">
    <cfRule type="expression" dxfId="269" priority="437">
      <formula>$R471&gt;$R470</formula>
    </cfRule>
  </conditionalFormatting>
  <conditionalFormatting sqref="S472:AD472">
    <cfRule type="expression" dxfId="268" priority="436">
      <formula>$R472&gt;$R471</formula>
    </cfRule>
  </conditionalFormatting>
  <conditionalFormatting sqref="S473:AD473">
    <cfRule type="expression" dxfId="267" priority="435">
      <formula>$R473&gt;$R472</formula>
    </cfRule>
  </conditionalFormatting>
  <conditionalFormatting sqref="S474:AD474">
    <cfRule type="expression" dxfId="266" priority="434">
      <formula>$R474&gt;$R473</formula>
    </cfRule>
  </conditionalFormatting>
  <conditionalFormatting sqref="S475:AD475">
    <cfRule type="expression" dxfId="265" priority="433">
      <formula>$R475&gt;$R474</formula>
    </cfRule>
  </conditionalFormatting>
  <conditionalFormatting sqref="S476:AD476">
    <cfRule type="expression" dxfId="264" priority="432">
      <formula>$R476&gt;$R475</formula>
    </cfRule>
  </conditionalFormatting>
  <conditionalFormatting sqref="S477:AD477">
    <cfRule type="expression" dxfId="263" priority="431">
      <formula>$R477&gt;$R476</formula>
    </cfRule>
  </conditionalFormatting>
  <conditionalFormatting sqref="S478:AD478">
    <cfRule type="expression" dxfId="262" priority="430">
      <formula>$R478&gt;$R477</formula>
    </cfRule>
  </conditionalFormatting>
  <conditionalFormatting sqref="S479:AD479">
    <cfRule type="expression" dxfId="261" priority="429">
      <formula>$R479&gt;$R478</formula>
    </cfRule>
  </conditionalFormatting>
  <conditionalFormatting sqref="S480:AD480">
    <cfRule type="expression" dxfId="260" priority="428">
      <formula>$R480&gt;$R479</formula>
    </cfRule>
  </conditionalFormatting>
  <conditionalFormatting sqref="S481:AD481">
    <cfRule type="expression" dxfId="259" priority="427">
      <formula>$R481&gt;$R480</formula>
    </cfRule>
  </conditionalFormatting>
  <conditionalFormatting sqref="S482:AD482">
    <cfRule type="expression" dxfId="258" priority="426">
      <formula>$R482&gt;$R481</formula>
    </cfRule>
  </conditionalFormatting>
  <conditionalFormatting sqref="S483:AD483">
    <cfRule type="expression" dxfId="257" priority="425">
      <formula>$R483&gt;$R482</formula>
    </cfRule>
  </conditionalFormatting>
  <conditionalFormatting sqref="S484:AD484">
    <cfRule type="expression" dxfId="256" priority="424">
      <formula>$R484&gt;$R483</formula>
    </cfRule>
  </conditionalFormatting>
  <conditionalFormatting sqref="S485:AD485">
    <cfRule type="expression" dxfId="255" priority="423">
      <formula>$R485&gt;$R484</formula>
    </cfRule>
  </conditionalFormatting>
  <conditionalFormatting sqref="S486:AD486">
    <cfRule type="expression" dxfId="254" priority="422">
      <formula>$R486&gt;$R485</formula>
    </cfRule>
  </conditionalFormatting>
  <conditionalFormatting sqref="S487:AD487">
    <cfRule type="expression" dxfId="253" priority="421">
      <formula>$R487&gt;$R486</formula>
    </cfRule>
  </conditionalFormatting>
  <conditionalFormatting sqref="S488:AD488">
    <cfRule type="expression" dxfId="252" priority="420">
      <formula>$R488&gt;$R487</formula>
    </cfRule>
  </conditionalFormatting>
  <conditionalFormatting sqref="S489:AD489">
    <cfRule type="expression" dxfId="251" priority="419">
      <formula>$R489&gt;$R488</formula>
    </cfRule>
  </conditionalFormatting>
  <conditionalFormatting sqref="S490:AD490">
    <cfRule type="expression" dxfId="250" priority="418">
      <formula>$R490&gt;$R489</formula>
    </cfRule>
  </conditionalFormatting>
  <conditionalFormatting sqref="S491:AD491">
    <cfRule type="expression" dxfId="249" priority="417">
      <formula>$R491&gt;$R490</formula>
    </cfRule>
  </conditionalFormatting>
  <conditionalFormatting sqref="S492:AD492">
    <cfRule type="expression" dxfId="248" priority="416">
      <formula>$R492&gt;$R491</formula>
    </cfRule>
  </conditionalFormatting>
  <conditionalFormatting sqref="S493:AD493">
    <cfRule type="expression" dxfId="247" priority="415">
      <formula>$R493&gt;$R492</formula>
    </cfRule>
  </conditionalFormatting>
  <conditionalFormatting sqref="S494:AD494">
    <cfRule type="expression" dxfId="246" priority="414">
      <formula>$R494&gt;$R493</formula>
    </cfRule>
  </conditionalFormatting>
  <conditionalFormatting sqref="S495:AD495">
    <cfRule type="expression" dxfId="245" priority="413">
      <formula>$R495&gt;$R494</formula>
    </cfRule>
  </conditionalFormatting>
  <conditionalFormatting sqref="S496:AD496">
    <cfRule type="expression" dxfId="244" priority="412">
      <formula>$R496&gt;$R495</formula>
    </cfRule>
  </conditionalFormatting>
  <conditionalFormatting sqref="S497:AD497">
    <cfRule type="expression" dxfId="243" priority="411">
      <formula>$R497&gt;$R496</formula>
    </cfRule>
  </conditionalFormatting>
  <conditionalFormatting sqref="S498:AD498">
    <cfRule type="expression" dxfId="242" priority="243">
      <formula>$R498&gt;$R497</formula>
    </cfRule>
  </conditionalFormatting>
  <conditionalFormatting sqref="S499:AD499">
    <cfRule type="expression" dxfId="241" priority="242">
      <formula>$R499&gt;$R498</formula>
    </cfRule>
  </conditionalFormatting>
  <conditionalFormatting sqref="S500:AD500">
    <cfRule type="expression" dxfId="240" priority="241">
      <formula>$R500&gt;$R499</formula>
    </cfRule>
  </conditionalFormatting>
  <conditionalFormatting sqref="S501:AD501">
    <cfRule type="expression" dxfId="239" priority="240">
      <formula>$R501&gt;$R500</formula>
    </cfRule>
  </conditionalFormatting>
  <conditionalFormatting sqref="S502:AD502">
    <cfRule type="expression" dxfId="238" priority="239">
      <formula>$R502&gt;$R501</formula>
    </cfRule>
  </conditionalFormatting>
  <conditionalFormatting sqref="S503:AD503">
    <cfRule type="expression" dxfId="237" priority="238">
      <formula>$R503&gt;$R502</formula>
    </cfRule>
  </conditionalFormatting>
  <conditionalFormatting sqref="S504:AD504">
    <cfRule type="expression" dxfId="236" priority="237">
      <formula>$R504&gt;$R503</formula>
    </cfRule>
  </conditionalFormatting>
  <conditionalFormatting sqref="S505:AD505">
    <cfRule type="expression" dxfId="235" priority="236">
      <formula>$R505&gt;$R504</formula>
    </cfRule>
  </conditionalFormatting>
  <conditionalFormatting sqref="S506:AD506">
    <cfRule type="expression" dxfId="234" priority="235">
      <formula>$R506&gt;$R505</formula>
    </cfRule>
  </conditionalFormatting>
  <conditionalFormatting sqref="S507:AD507">
    <cfRule type="expression" dxfId="233" priority="234">
      <formula>$R507&gt;$R506</formula>
    </cfRule>
  </conditionalFormatting>
  <conditionalFormatting sqref="S508:AD508">
    <cfRule type="expression" dxfId="232" priority="233">
      <formula>$R508&gt;$R507</formula>
    </cfRule>
  </conditionalFormatting>
  <conditionalFormatting sqref="S509:AD509">
    <cfRule type="expression" dxfId="231" priority="232">
      <formula>$R509&gt;$R508</formula>
    </cfRule>
  </conditionalFormatting>
  <conditionalFormatting sqref="S510:AD510">
    <cfRule type="expression" dxfId="230" priority="231">
      <formula>$R510&gt;$R509</formula>
    </cfRule>
  </conditionalFormatting>
  <conditionalFormatting sqref="S511:AD511">
    <cfRule type="expression" dxfId="229" priority="230">
      <formula>$R511&gt;$R510</formula>
    </cfRule>
  </conditionalFormatting>
  <conditionalFormatting sqref="S512:AD512">
    <cfRule type="expression" dxfId="228" priority="229">
      <formula>$R512&gt;$R511</formula>
    </cfRule>
  </conditionalFormatting>
  <conditionalFormatting sqref="S513:AD513">
    <cfRule type="expression" dxfId="227" priority="228">
      <formula>$R513&gt;$R512</formula>
    </cfRule>
  </conditionalFormatting>
  <conditionalFormatting sqref="S514:AD514">
    <cfRule type="expression" dxfId="226" priority="227">
      <formula>$R514&gt;$R513</formula>
    </cfRule>
  </conditionalFormatting>
  <conditionalFormatting sqref="S515:AD515">
    <cfRule type="expression" dxfId="225" priority="226">
      <formula>$R515&gt;$R514</formula>
    </cfRule>
  </conditionalFormatting>
  <conditionalFormatting sqref="S516:AD516">
    <cfRule type="expression" dxfId="224" priority="225">
      <formula>$R516&gt;$R515</formula>
    </cfRule>
  </conditionalFormatting>
  <conditionalFormatting sqref="S517:AD517">
    <cfRule type="expression" dxfId="223" priority="224">
      <formula>$R517&gt;$R516</formula>
    </cfRule>
  </conditionalFormatting>
  <conditionalFormatting sqref="S518:AD518">
    <cfRule type="expression" dxfId="222" priority="223">
      <formula>$R518&gt;$R517</formula>
    </cfRule>
  </conditionalFormatting>
  <conditionalFormatting sqref="S519:AD519">
    <cfRule type="expression" dxfId="221" priority="222">
      <formula>$R519&gt;$R518</formula>
    </cfRule>
  </conditionalFormatting>
  <conditionalFormatting sqref="S520:AD520">
    <cfRule type="expression" dxfId="220" priority="221">
      <formula>$R520&gt;$R519</formula>
    </cfRule>
  </conditionalFormatting>
  <conditionalFormatting sqref="S521:AD521">
    <cfRule type="expression" dxfId="219" priority="220">
      <formula>$R521&gt;$R520</formula>
    </cfRule>
  </conditionalFormatting>
  <conditionalFormatting sqref="S522:AD522">
    <cfRule type="expression" dxfId="218" priority="219">
      <formula>$R522&gt;$R521</formula>
    </cfRule>
  </conditionalFormatting>
  <conditionalFormatting sqref="S523:AD523">
    <cfRule type="expression" dxfId="217" priority="218">
      <formula>$R523&gt;$R522</formula>
    </cfRule>
  </conditionalFormatting>
  <conditionalFormatting sqref="S524:AD524">
    <cfRule type="expression" dxfId="216" priority="217">
      <formula>$R524&gt;$R523</formula>
    </cfRule>
  </conditionalFormatting>
  <conditionalFormatting sqref="S525:AD525">
    <cfRule type="expression" dxfId="215" priority="216">
      <formula>$R525&gt;$R524</formula>
    </cfRule>
  </conditionalFormatting>
  <conditionalFormatting sqref="S526:AD526">
    <cfRule type="expression" dxfId="214" priority="215">
      <formula>$R526&gt;$R525</formula>
    </cfRule>
  </conditionalFormatting>
  <conditionalFormatting sqref="S527:AD527">
    <cfRule type="expression" dxfId="213" priority="214">
      <formula>$R527&gt;$R526</formula>
    </cfRule>
  </conditionalFormatting>
  <conditionalFormatting sqref="S528:AD528">
    <cfRule type="expression" dxfId="212" priority="213">
      <formula>$R528&gt;$R527</formula>
    </cfRule>
  </conditionalFormatting>
  <conditionalFormatting sqref="S529:AD529">
    <cfRule type="expression" dxfId="211" priority="212">
      <formula>$R529&gt;$R528</formula>
    </cfRule>
  </conditionalFormatting>
  <conditionalFormatting sqref="S530:AD530">
    <cfRule type="expression" dxfId="210" priority="211">
      <formula>$R530&gt;$R529</formula>
    </cfRule>
  </conditionalFormatting>
  <conditionalFormatting sqref="S531:AD531">
    <cfRule type="expression" dxfId="209" priority="210">
      <formula>$R531&gt;$R530</formula>
    </cfRule>
  </conditionalFormatting>
  <conditionalFormatting sqref="S532:AD532">
    <cfRule type="expression" dxfId="208" priority="209">
      <formula>$R532&gt;$R531</formula>
    </cfRule>
  </conditionalFormatting>
  <conditionalFormatting sqref="S533:AD533">
    <cfRule type="expression" dxfId="207" priority="208">
      <formula>$R533&gt;$R532</formula>
    </cfRule>
  </conditionalFormatting>
  <conditionalFormatting sqref="S534:AD534">
    <cfRule type="expression" dxfId="206" priority="207">
      <formula>$R534&gt;$R533</formula>
    </cfRule>
  </conditionalFormatting>
  <conditionalFormatting sqref="S535:AD535">
    <cfRule type="expression" dxfId="205" priority="206">
      <formula>$R535&gt;$R534</formula>
    </cfRule>
  </conditionalFormatting>
  <conditionalFormatting sqref="S536:AD536">
    <cfRule type="expression" dxfId="204" priority="205">
      <formula>$R536&gt;$R535</formula>
    </cfRule>
  </conditionalFormatting>
  <conditionalFormatting sqref="S537:AD537">
    <cfRule type="expression" dxfId="203" priority="204">
      <formula>$R537&gt;$R536</formula>
    </cfRule>
  </conditionalFormatting>
  <conditionalFormatting sqref="S538:AD538">
    <cfRule type="expression" dxfId="202" priority="203">
      <formula>$R538&gt;$R537</formula>
    </cfRule>
  </conditionalFormatting>
  <conditionalFormatting sqref="S539:AD539">
    <cfRule type="expression" dxfId="201" priority="202">
      <formula>$R539&gt;$R538</formula>
    </cfRule>
  </conditionalFormatting>
  <conditionalFormatting sqref="S540:AD540">
    <cfRule type="expression" dxfId="200" priority="201">
      <formula>$R540&gt;$R539</formula>
    </cfRule>
  </conditionalFormatting>
  <conditionalFormatting sqref="S541:AD541">
    <cfRule type="expression" dxfId="199" priority="200">
      <formula>$R541&gt;$R540</formula>
    </cfRule>
  </conditionalFormatting>
  <conditionalFormatting sqref="S542:AD542">
    <cfRule type="expression" dxfId="198" priority="199">
      <formula>$R542&gt;$R541</formula>
    </cfRule>
  </conditionalFormatting>
  <conditionalFormatting sqref="S543:AD543">
    <cfRule type="expression" dxfId="197" priority="198">
      <formula>$R543&gt;$R542</formula>
    </cfRule>
  </conditionalFormatting>
  <conditionalFormatting sqref="S544:AD544">
    <cfRule type="expression" dxfId="196" priority="197">
      <formula>$R544&gt;$R543</formula>
    </cfRule>
  </conditionalFormatting>
  <conditionalFormatting sqref="S545:AD545">
    <cfRule type="expression" dxfId="195" priority="196">
      <formula>$R545&gt;$R544</formula>
    </cfRule>
  </conditionalFormatting>
  <conditionalFormatting sqref="S546:AD546">
    <cfRule type="expression" dxfId="194" priority="195">
      <formula>$R546&gt;$R545</formula>
    </cfRule>
  </conditionalFormatting>
  <conditionalFormatting sqref="S547:AD547">
    <cfRule type="expression" dxfId="193" priority="194">
      <formula>$R547&gt;$R546</formula>
    </cfRule>
  </conditionalFormatting>
  <conditionalFormatting sqref="S548:AD548">
    <cfRule type="expression" dxfId="192" priority="193">
      <formula>$R548&gt;$R547</formula>
    </cfRule>
  </conditionalFormatting>
  <conditionalFormatting sqref="S549:AD549">
    <cfRule type="expression" dxfId="191" priority="192">
      <formula>$R549&gt;$R548</formula>
    </cfRule>
  </conditionalFormatting>
  <conditionalFormatting sqref="S550:AD550">
    <cfRule type="expression" dxfId="190" priority="191">
      <formula>$R550&gt;$R549</formula>
    </cfRule>
  </conditionalFormatting>
  <conditionalFormatting sqref="S551:AD551">
    <cfRule type="expression" dxfId="189" priority="190">
      <formula>$R551&gt;$R550</formula>
    </cfRule>
  </conditionalFormatting>
  <conditionalFormatting sqref="S552:AD552">
    <cfRule type="expression" dxfId="188" priority="189">
      <formula>$R552&gt;$R551</formula>
    </cfRule>
  </conditionalFormatting>
  <conditionalFormatting sqref="S553:AD553">
    <cfRule type="expression" dxfId="187" priority="188">
      <formula>$R553&gt;$R552</formula>
    </cfRule>
  </conditionalFormatting>
  <conditionalFormatting sqref="S554:AD554">
    <cfRule type="expression" dxfId="186" priority="187">
      <formula>$R554&gt;$R553</formula>
    </cfRule>
  </conditionalFormatting>
  <conditionalFormatting sqref="S555:AD555">
    <cfRule type="expression" dxfId="185" priority="186">
      <formula>$R555&gt;$R554</formula>
    </cfRule>
  </conditionalFormatting>
  <conditionalFormatting sqref="S556:AD556">
    <cfRule type="expression" dxfId="184" priority="185">
      <formula>$R556&gt;$R555</formula>
    </cfRule>
  </conditionalFormatting>
  <conditionalFormatting sqref="S557:AD557">
    <cfRule type="expression" dxfId="183" priority="184">
      <formula>$R557&gt;$R556</formula>
    </cfRule>
  </conditionalFormatting>
  <conditionalFormatting sqref="S558:AD558">
    <cfRule type="expression" dxfId="182" priority="183">
      <formula>$R558&gt;$R557</formula>
    </cfRule>
  </conditionalFormatting>
  <conditionalFormatting sqref="S559:AD559">
    <cfRule type="expression" dxfId="181" priority="182">
      <formula>$R559&gt;$R558</formula>
    </cfRule>
  </conditionalFormatting>
  <conditionalFormatting sqref="S560:AD560">
    <cfRule type="expression" dxfId="180" priority="181">
      <formula>$R560&gt;$R559</formula>
    </cfRule>
  </conditionalFormatting>
  <conditionalFormatting sqref="S561:AD561">
    <cfRule type="expression" dxfId="179" priority="180">
      <formula>$R561&gt;$R560</formula>
    </cfRule>
  </conditionalFormatting>
  <conditionalFormatting sqref="S562:AD562">
    <cfRule type="expression" dxfId="178" priority="179">
      <formula>$R562&gt;$R561</formula>
    </cfRule>
  </conditionalFormatting>
  <conditionalFormatting sqref="S563:AD563">
    <cfRule type="expression" dxfId="177" priority="178">
      <formula>$R563&gt;$R562</formula>
    </cfRule>
  </conditionalFormatting>
  <conditionalFormatting sqref="S564:AD564">
    <cfRule type="expression" dxfId="176" priority="177">
      <formula>$R564&gt;$R563</formula>
    </cfRule>
  </conditionalFormatting>
  <conditionalFormatting sqref="S565:AD565">
    <cfRule type="expression" dxfId="175" priority="176">
      <formula>$R565&gt;$R564</formula>
    </cfRule>
  </conditionalFormatting>
  <conditionalFormatting sqref="S566:AD566">
    <cfRule type="expression" dxfId="174" priority="175">
      <formula>$R566&gt;$R565</formula>
    </cfRule>
  </conditionalFormatting>
  <conditionalFormatting sqref="S567:AD567">
    <cfRule type="expression" dxfId="173" priority="174">
      <formula>$R567&gt;$R566</formula>
    </cfRule>
  </conditionalFormatting>
  <conditionalFormatting sqref="S568:AD568">
    <cfRule type="expression" dxfId="172" priority="173">
      <formula>$R568&gt;$R567</formula>
    </cfRule>
  </conditionalFormatting>
  <conditionalFormatting sqref="S569:AD569">
    <cfRule type="expression" dxfId="171" priority="172">
      <formula>$R569&gt;$R568</formula>
    </cfRule>
  </conditionalFormatting>
  <conditionalFormatting sqref="S570:AD570">
    <cfRule type="expression" dxfId="170" priority="171">
      <formula>$R570&gt;$R569</formula>
    </cfRule>
  </conditionalFormatting>
  <conditionalFormatting sqref="S571:AD571">
    <cfRule type="expression" dxfId="169" priority="170">
      <formula>$R571&gt;$R570</formula>
    </cfRule>
  </conditionalFormatting>
  <conditionalFormatting sqref="S572:AD572">
    <cfRule type="expression" dxfId="168" priority="169">
      <formula>$R572&gt;$R571</formula>
    </cfRule>
  </conditionalFormatting>
  <conditionalFormatting sqref="S573:AD573">
    <cfRule type="expression" dxfId="167" priority="168">
      <formula>$R573&gt;$R572</formula>
    </cfRule>
  </conditionalFormatting>
  <conditionalFormatting sqref="S574:AD574">
    <cfRule type="expression" dxfId="166" priority="167">
      <formula>$R574&gt;$R573</formula>
    </cfRule>
  </conditionalFormatting>
  <conditionalFormatting sqref="S575:AD575">
    <cfRule type="expression" dxfId="165" priority="166">
      <formula>$R575&gt;$R574</formula>
    </cfRule>
  </conditionalFormatting>
  <conditionalFormatting sqref="S576:AD576">
    <cfRule type="expression" dxfId="164" priority="165">
      <formula>$R576&gt;$R575</formula>
    </cfRule>
  </conditionalFormatting>
  <conditionalFormatting sqref="S577:AD577">
    <cfRule type="expression" dxfId="163" priority="164">
      <formula>$R577&gt;$R576</formula>
    </cfRule>
  </conditionalFormatting>
  <conditionalFormatting sqref="S578:AD578">
    <cfRule type="expression" dxfId="162" priority="163">
      <formula>$R578&gt;$R577</formula>
    </cfRule>
  </conditionalFormatting>
  <conditionalFormatting sqref="S579:AD579">
    <cfRule type="expression" dxfId="161" priority="162">
      <formula>$R579&gt;$R578</formula>
    </cfRule>
  </conditionalFormatting>
  <conditionalFormatting sqref="S580:AD580">
    <cfRule type="expression" dxfId="160" priority="161">
      <formula>$R580&gt;$R579</formula>
    </cfRule>
  </conditionalFormatting>
  <conditionalFormatting sqref="S581:AD581">
    <cfRule type="expression" dxfId="159" priority="160">
      <formula>$R581&gt;$R580</formula>
    </cfRule>
  </conditionalFormatting>
  <conditionalFormatting sqref="S582:AD582">
    <cfRule type="expression" dxfId="158" priority="159">
      <formula>$R582&gt;$R581</formula>
    </cfRule>
  </conditionalFormatting>
  <conditionalFormatting sqref="S583:AD583">
    <cfRule type="expression" dxfId="157" priority="158">
      <formula>$R583&gt;$R582</formula>
    </cfRule>
  </conditionalFormatting>
  <conditionalFormatting sqref="S584:AD584">
    <cfRule type="expression" dxfId="156" priority="157">
      <formula>$R584&gt;$R583</formula>
    </cfRule>
  </conditionalFormatting>
  <conditionalFormatting sqref="S585:AD585">
    <cfRule type="expression" dxfId="155" priority="156">
      <formula>$R585&gt;$R584</formula>
    </cfRule>
  </conditionalFormatting>
  <conditionalFormatting sqref="S586:AD586">
    <cfRule type="expression" dxfId="154" priority="155">
      <formula>$R586&gt;$R585</formula>
    </cfRule>
  </conditionalFormatting>
  <conditionalFormatting sqref="S587:AD587">
    <cfRule type="expression" dxfId="153" priority="154">
      <formula>$R587&gt;$R586</formula>
    </cfRule>
  </conditionalFormatting>
  <conditionalFormatting sqref="S588:AD588">
    <cfRule type="expression" dxfId="152" priority="153">
      <formula>$R588&gt;$R587</formula>
    </cfRule>
  </conditionalFormatting>
  <conditionalFormatting sqref="S589:AD589">
    <cfRule type="expression" dxfId="151" priority="152">
      <formula>$R589&gt;$R588</formula>
    </cfRule>
  </conditionalFormatting>
  <conditionalFormatting sqref="S590:AD590">
    <cfRule type="expression" dxfId="150" priority="151">
      <formula>$R590&gt;$R589</formula>
    </cfRule>
  </conditionalFormatting>
  <conditionalFormatting sqref="S591:AD591">
    <cfRule type="expression" dxfId="149" priority="150">
      <formula>$R591&gt;$R590</formula>
    </cfRule>
  </conditionalFormatting>
  <conditionalFormatting sqref="S592:AD592">
    <cfRule type="expression" dxfId="148" priority="149">
      <formula>$R592&gt;$R591</formula>
    </cfRule>
  </conditionalFormatting>
  <conditionalFormatting sqref="S593:AD593">
    <cfRule type="expression" dxfId="147" priority="148">
      <formula>$R593&gt;$R592</formula>
    </cfRule>
  </conditionalFormatting>
  <conditionalFormatting sqref="S594:AD594">
    <cfRule type="expression" dxfId="146" priority="147">
      <formula>$R594&gt;$R593</formula>
    </cfRule>
  </conditionalFormatting>
  <conditionalFormatting sqref="S595:AD595">
    <cfRule type="expression" dxfId="145" priority="146">
      <formula>$R595&gt;$R594</formula>
    </cfRule>
  </conditionalFormatting>
  <conditionalFormatting sqref="S596:AD596">
    <cfRule type="expression" dxfId="144" priority="145">
      <formula>$R596&gt;$R595</formula>
    </cfRule>
  </conditionalFormatting>
  <conditionalFormatting sqref="S597:AD597">
    <cfRule type="expression" dxfId="143" priority="144">
      <formula>$R597&gt;$R596</formula>
    </cfRule>
  </conditionalFormatting>
  <conditionalFormatting sqref="S598:AD598">
    <cfRule type="expression" dxfId="142" priority="143">
      <formula>$R598&gt;$R597</formula>
    </cfRule>
  </conditionalFormatting>
  <conditionalFormatting sqref="S599:AD599">
    <cfRule type="expression" dxfId="141" priority="142">
      <formula>$R599&gt;$R598</formula>
    </cfRule>
  </conditionalFormatting>
  <conditionalFormatting sqref="S600:AD600">
    <cfRule type="expression" dxfId="140" priority="141">
      <formula>$R600&gt;$R599</formula>
    </cfRule>
  </conditionalFormatting>
  <conditionalFormatting sqref="S601:AD601">
    <cfRule type="expression" dxfId="139" priority="140">
      <formula>$R601&gt;$R600</formula>
    </cfRule>
  </conditionalFormatting>
  <conditionalFormatting sqref="S602:AD602">
    <cfRule type="expression" dxfId="138" priority="139">
      <formula>$R602&gt;$R601</formula>
    </cfRule>
  </conditionalFormatting>
  <conditionalFormatting sqref="S603:AD603">
    <cfRule type="expression" dxfId="137" priority="138">
      <formula>$R603&gt;$R602</formula>
    </cfRule>
  </conditionalFormatting>
  <conditionalFormatting sqref="S604:AD604">
    <cfRule type="expression" dxfId="136" priority="137">
      <formula>$R604&gt;$R603</formula>
    </cfRule>
  </conditionalFormatting>
  <conditionalFormatting sqref="S605:AD605">
    <cfRule type="expression" dxfId="135" priority="136">
      <formula>$R605&gt;$R604</formula>
    </cfRule>
  </conditionalFormatting>
  <conditionalFormatting sqref="S606:AD606">
    <cfRule type="expression" dxfId="134" priority="135">
      <formula>$R606&gt;$R605</formula>
    </cfRule>
  </conditionalFormatting>
  <conditionalFormatting sqref="S607:AD607">
    <cfRule type="expression" dxfId="133" priority="134">
      <formula>$R607&gt;$R606</formula>
    </cfRule>
  </conditionalFormatting>
  <conditionalFormatting sqref="S608:AD608">
    <cfRule type="expression" dxfId="132" priority="133">
      <formula>$R608&gt;$R607</formula>
    </cfRule>
  </conditionalFormatting>
  <conditionalFormatting sqref="S609:AD609">
    <cfRule type="expression" dxfId="131" priority="132">
      <formula>$R609&gt;$R608</formula>
    </cfRule>
  </conditionalFormatting>
  <conditionalFormatting sqref="S610:AD610">
    <cfRule type="expression" dxfId="130" priority="131">
      <formula>$R610&gt;$R609</formula>
    </cfRule>
  </conditionalFormatting>
  <conditionalFormatting sqref="S611:AD611">
    <cfRule type="expression" dxfId="129" priority="130">
      <formula>$R611&gt;$R610</formula>
    </cfRule>
  </conditionalFormatting>
  <conditionalFormatting sqref="S612:AD612">
    <cfRule type="expression" dxfId="128" priority="129">
      <formula>$R612&gt;$R611</formula>
    </cfRule>
  </conditionalFormatting>
  <conditionalFormatting sqref="S613:AD613">
    <cfRule type="expression" dxfId="127" priority="128">
      <formula>$R613&gt;$R612</formula>
    </cfRule>
  </conditionalFormatting>
  <conditionalFormatting sqref="S614:AD614">
    <cfRule type="expression" dxfId="126" priority="127">
      <formula>$R614&gt;$R613</formula>
    </cfRule>
  </conditionalFormatting>
  <conditionalFormatting sqref="S615:AD615">
    <cfRule type="expression" dxfId="125" priority="126">
      <formula>$R615&gt;$R614</formula>
    </cfRule>
  </conditionalFormatting>
  <conditionalFormatting sqref="S616:AD616">
    <cfRule type="expression" dxfId="124" priority="125">
      <formula>$R616&gt;$R615</formula>
    </cfRule>
  </conditionalFormatting>
  <conditionalFormatting sqref="S617:AD617">
    <cfRule type="expression" dxfId="123" priority="124">
      <formula>$R617&gt;$R616</formula>
    </cfRule>
  </conditionalFormatting>
  <conditionalFormatting sqref="S618:AD618">
    <cfRule type="expression" dxfId="122" priority="123">
      <formula>$R618&gt;$R617</formula>
    </cfRule>
  </conditionalFormatting>
  <conditionalFormatting sqref="S619:AD619">
    <cfRule type="expression" dxfId="121" priority="122">
      <formula>$R619&gt;$R618</formula>
    </cfRule>
  </conditionalFormatting>
  <conditionalFormatting sqref="S620:AD620">
    <cfRule type="expression" dxfId="120" priority="121">
      <formula>$R620&gt;$R619</formula>
    </cfRule>
  </conditionalFormatting>
  <conditionalFormatting sqref="S621:AD621">
    <cfRule type="expression" dxfId="119" priority="120">
      <formula>$R621&gt;$R620</formula>
    </cfRule>
  </conditionalFormatting>
  <conditionalFormatting sqref="S622:AD622">
    <cfRule type="expression" dxfId="118" priority="119">
      <formula>$R622&gt;$R621</formula>
    </cfRule>
  </conditionalFormatting>
  <conditionalFormatting sqref="S623:AD623">
    <cfRule type="expression" dxfId="117" priority="118">
      <formula>$R623&gt;$R622</formula>
    </cfRule>
  </conditionalFormatting>
  <conditionalFormatting sqref="S624:AD624">
    <cfRule type="expression" dxfId="116" priority="117">
      <formula>$R624&gt;$R623</formula>
    </cfRule>
  </conditionalFormatting>
  <conditionalFormatting sqref="S625:AD625">
    <cfRule type="expression" dxfId="115" priority="116">
      <formula>$R625&gt;$R624</formula>
    </cfRule>
  </conditionalFormatting>
  <conditionalFormatting sqref="S626:AD626">
    <cfRule type="expression" dxfId="114" priority="115">
      <formula>$R626&gt;$R625</formula>
    </cfRule>
  </conditionalFormatting>
  <conditionalFormatting sqref="S627:AD627">
    <cfRule type="expression" dxfId="113" priority="114">
      <formula>$R627&gt;$R626</formula>
    </cfRule>
  </conditionalFormatting>
  <conditionalFormatting sqref="S628:AD628">
    <cfRule type="expression" dxfId="112" priority="113">
      <formula>$R628&gt;$R627</formula>
    </cfRule>
  </conditionalFormatting>
  <conditionalFormatting sqref="S629:AD629">
    <cfRule type="expression" dxfId="111" priority="112">
      <formula>$R629&gt;$R628</formula>
    </cfRule>
  </conditionalFormatting>
  <conditionalFormatting sqref="S630:AD630">
    <cfRule type="expression" dxfId="110" priority="111">
      <formula>$R630&gt;$R629</formula>
    </cfRule>
  </conditionalFormatting>
  <conditionalFormatting sqref="S631:AD631">
    <cfRule type="expression" dxfId="109" priority="110">
      <formula>$R631&gt;$R630</formula>
    </cfRule>
  </conditionalFormatting>
  <conditionalFormatting sqref="S632:AD632">
    <cfRule type="expression" dxfId="108" priority="109">
      <formula>$R632&gt;$R631</formula>
    </cfRule>
  </conditionalFormatting>
  <conditionalFormatting sqref="S633:AD633">
    <cfRule type="expression" dxfId="107" priority="108">
      <formula>$R633&gt;$R632</formula>
    </cfRule>
  </conditionalFormatting>
  <conditionalFormatting sqref="S634:AD634">
    <cfRule type="expression" dxfId="106" priority="107">
      <formula>$R634&gt;$R633</formula>
    </cfRule>
  </conditionalFormatting>
  <conditionalFormatting sqref="S635:AD635">
    <cfRule type="expression" dxfId="105" priority="106">
      <formula>$R635&gt;$R634</formula>
    </cfRule>
  </conditionalFormatting>
  <conditionalFormatting sqref="S636:AD636">
    <cfRule type="expression" dxfId="104" priority="105">
      <formula>$R636&gt;$R635</formula>
    </cfRule>
  </conditionalFormatting>
  <conditionalFormatting sqref="S637:AD637">
    <cfRule type="expression" dxfId="103" priority="104">
      <formula>$R637&gt;$R636</formula>
    </cfRule>
  </conditionalFormatting>
  <conditionalFormatting sqref="S638:AD638">
    <cfRule type="expression" dxfId="102" priority="103">
      <formula>$R638&gt;$R637</formula>
    </cfRule>
  </conditionalFormatting>
  <conditionalFormatting sqref="S639:AD639">
    <cfRule type="expression" dxfId="101" priority="102">
      <formula>$R639&gt;$R638</formula>
    </cfRule>
  </conditionalFormatting>
  <conditionalFormatting sqref="S640:AD640">
    <cfRule type="expression" dxfId="100" priority="101">
      <formula>$R640&gt;$R639</formula>
    </cfRule>
  </conditionalFormatting>
  <conditionalFormatting sqref="S641:AD641">
    <cfRule type="expression" dxfId="99" priority="100">
      <formula>$R641&gt;$R640</formula>
    </cfRule>
  </conditionalFormatting>
  <conditionalFormatting sqref="S642:AD642">
    <cfRule type="expression" dxfId="98" priority="99">
      <formula>$R642&gt;$R641</formula>
    </cfRule>
  </conditionalFormatting>
  <conditionalFormatting sqref="S643:AD643">
    <cfRule type="expression" dxfId="97" priority="98">
      <formula>$R643&gt;$R642</formula>
    </cfRule>
  </conditionalFormatting>
  <conditionalFormatting sqref="S644:AD644">
    <cfRule type="expression" dxfId="96" priority="97">
      <formula>$R644&gt;$R643</formula>
    </cfRule>
  </conditionalFormatting>
  <conditionalFormatting sqref="S645:AD645">
    <cfRule type="expression" dxfId="95" priority="96">
      <formula>$R645&gt;$R644</formula>
    </cfRule>
  </conditionalFormatting>
  <conditionalFormatting sqref="S646:AD646">
    <cfRule type="expression" dxfId="94" priority="95">
      <formula>$R646&gt;$R645</formula>
    </cfRule>
  </conditionalFormatting>
  <conditionalFormatting sqref="S647:AD647">
    <cfRule type="expression" dxfId="93" priority="94">
      <formula>$R647&gt;$R646</formula>
    </cfRule>
  </conditionalFormatting>
  <conditionalFormatting sqref="S648:AD648">
    <cfRule type="expression" dxfId="92" priority="93">
      <formula>$R648&gt;$R647</formula>
    </cfRule>
  </conditionalFormatting>
  <conditionalFormatting sqref="S649:AD649">
    <cfRule type="expression" dxfId="91" priority="92">
      <formula>$R649&gt;$R648</formula>
    </cfRule>
  </conditionalFormatting>
  <conditionalFormatting sqref="S650:AD650">
    <cfRule type="expression" dxfId="90" priority="91">
      <formula>$R650&gt;$R649</formula>
    </cfRule>
  </conditionalFormatting>
  <conditionalFormatting sqref="S651:AD651">
    <cfRule type="expression" dxfId="89" priority="90">
      <formula>$R651&gt;$R650</formula>
    </cfRule>
  </conditionalFormatting>
  <conditionalFormatting sqref="S652:AD652">
    <cfRule type="expression" dxfId="88" priority="89">
      <formula>$R652&gt;$R651</formula>
    </cfRule>
  </conditionalFormatting>
  <conditionalFormatting sqref="S653:AD653">
    <cfRule type="expression" dxfId="87" priority="88">
      <formula>$R653&gt;$R652</formula>
    </cfRule>
  </conditionalFormatting>
  <conditionalFormatting sqref="S654:AD654">
    <cfRule type="expression" dxfId="86" priority="87">
      <formula>$R654&gt;$R653</formula>
    </cfRule>
  </conditionalFormatting>
  <conditionalFormatting sqref="S655:AD655">
    <cfRule type="expression" dxfId="85" priority="86">
      <formula>$R655&gt;$R654</formula>
    </cfRule>
  </conditionalFormatting>
  <conditionalFormatting sqref="S656:AD656">
    <cfRule type="expression" dxfId="84" priority="85">
      <formula>$R656&gt;$R655</formula>
    </cfRule>
  </conditionalFormatting>
  <conditionalFormatting sqref="S657:AD657">
    <cfRule type="expression" dxfId="83" priority="84">
      <formula>$R657&gt;$R656</formula>
    </cfRule>
  </conditionalFormatting>
  <conditionalFormatting sqref="S658:AD658">
    <cfRule type="expression" dxfId="82" priority="83">
      <formula>$R658&gt;$R657</formula>
    </cfRule>
  </conditionalFormatting>
  <conditionalFormatting sqref="S659:AD659">
    <cfRule type="expression" dxfId="81" priority="82">
      <formula>$R659&gt;$R658</formula>
    </cfRule>
  </conditionalFormatting>
  <conditionalFormatting sqref="S660:AD660">
    <cfRule type="expression" dxfId="80" priority="81">
      <formula>$R660&gt;$R659</formula>
    </cfRule>
  </conditionalFormatting>
  <conditionalFormatting sqref="S661:AD661">
    <cfRule type="expression" dxfId="79" priority="80">
      <formula>$R661&gt;$R660</formula>
    </cfRule>
  </conditionalFormatting>
  <conditionalFormatting sqref="S662:AD662">
    <cfRule type="expression" dxfId="78" priority="79">
      <formula>$R662&gt;$R661</formula>
    </cfRule>
  </conditionalFormatting>
  <conditionalFormatting sqref="S663:AD663">
    <cfRule type="expression" dxfId="77" priority="78">
      <formula>$R663&gt;$R662</formula>
    </cfRule>
  </conditionalFormatting>
  <conditionalFormatting sqref="S664:AD664">
    <cfRule type="expression" dxfId="76" priority="77">
      <formula>$R664&gt;$R663</formula>
    </cfRule>
  </conditionalFormatting>
  <conditionalFormatting sqref="S665:AD665">
    <cfRule type="expression" dxfId="75" priority="76">
      <formula>$R665&gt;$R664</formula>
    </cfRule>
  </conditionalFormatting>
  <conditionalFormatting sqref="S666:AD666">
    <cfRule type="expression" dxfId="74" priority="75">
      <formula>$R666&gt;$R665</formula>
    </cfRule>
  </conditionalFormatting>
  <conditionalFormatting sqref="S667:AD667">
    <cfRule type="expression" dxfId="73" priority="74">
      <formula>$R667&gt;$R666</formula>
    </cfRule>
  </conditionalFormatting>
  <conditionalFormatting sqref="S668:AD668">
    <cfRule type="expression" dxfId="72" priority="73">
      <formula>$R668&gt;$R667</formula>
    </cfRule>
  </conditionalFormatting>
  <conditionalFormatting sqref="S669:AD669">
    <cfRule type="expression" dxfId="71" priority="72">
      <formula>$R669&gt;$R668</formula>
    </cfRule>
  </conditionalFormatting>
  <conditionalFormatting sqref="S670:AD670">
    <cfRule type="expression" dxfId="70" priority="71">
      <formula>$R670&gt;$R669</formula>
    </cfRule>
  </conditionalFormatting>
  <conditionalFormatting sqref="S671:AD671">
    <cfRule type="expression" dxfId="69" priority="70">
      <formula>$R671&gt;$R670</formula>
    </cfRule>
  </conditionalFormatting>
  <conditionalFormatting sqref="S672:AD672">
    <cfRule type="expression" dxfId="68" priority="69">
      <formula>$R672&gt;$R671</formula>
    </cfRule>
  </conditionalFormatting>
  <conditionalFormatting sqref="S673:AD673">
    <cfRule type="expression" dxfId="67" priority="68">
      <formula>$R673&gt;$R672</formula>
    </cfRule>
  </conditionalFormatting>
  <conditionalFormatting sqref="S674:AD674">
    <cfRule type="expression" dxfId="66" priority="67">
      <formula>$R674&gt;$R673</formula>
    </cfRule>
  </conditionalFormatting>
  <conditionalFormatting sqref="S675:AD675">
    <cfRule type="expression" dxfId="65" priority="66">
      <formula>$R675&gt;$R674</formula>
    </cfRule>
  </conditionalFormatting>
  <conditionalFormatting sqref="S676:AD676">
    <cfRule type="expression" dxfId="64" priority="65">
      <formula>$R676&gt;$R675</formula>
    </cfRule>
  </conditionalFormatting>
  <conditionalFormatting sqref="S677:AD677">
    <cfRule type="expression" dxfId="63" priority="64">
      <formula>$R677&gt;$R676</formula>
    </cfRule>
  </conditionalFormatting>
  <conditionalFormatting sqref="S678:AD678">
    <cfRule type="expression" dxfId="62" priority="63">
      <formula>$R678&gt;$R677</formula>
    </cfRule>
  </conditionalFormatting>
  <conditionalFormatting sqref="S679:AD679">
    <cfRule type="expression" dxfId="61" priority="62">
      <formula>$R679&gt;$R678</formula>
    </cfRule>
  </conditionalFormatting>
  <conditionalFormatting sqref="S680:AD680">
    <cfRule type="expression" dxfId="60" priority="61">
      <formula>$R680&gt;$R679</formula>
    </cfRule>
  </conditionalFormatting>
  <conditionalFormatting sqref="S681:AD681">
    <cfRule type="expression" dxfId="59" priority="60">
      <formula>$R681&gt;$R680</formula>
    </cfRule>
  </conditionalFormatting>
  <conditionalFormatting sqref="S682:AD682">
    <cfRule type="expression" dxfId="58" priority="59">
      <formula>$R682&gt;$R681</formula>
    </cfRule>
  </conditionalFormatting>
  <conditionalFormatting sqref="S683:AD683">
    <cfRule type="expression" dxfId="57" priority="58">
      <formula>$R683&gt;$R682</formula>
    </cfRule>
  </conditionalFormatting>
  <conditionalFormatting sqref="S684:AD684">
    <cfRule type="expression" dxfId="56" priority="57">
      <formula>$R684&gt;$R683</formula>
    </cfRule>
  </conditionalFormatting>
  <conditionalFormatting sqref="S685:AD685">
    <cfRule type="expression" dxfId="55" priority="56">
      <formula>$R685&gt;$R684</formula>
    </cfRule>
  </conditionalFormatting>
  <conditionalFormatting sqref="S686:AD686">
    <cfRule type="expression" dxfId="54" priority="55">
      <formula>$R686&gt;$R685</formula>
    </cfRule>
  </conditionalFormatting>
  <conditionalFormatting sqref="S687:AD687">
    <cfRule type="expression" dxfId="53" priority="54">
      <formula>$R687&gt;$R686</formula>
    </cfRule>
  </conditionalFormatting>
  <conditionalFormatting sqref="S688:AD688">
    <cfRule type="expression" dxfId="52" priority="53">
      <formula>$R688&gt;$R687</formula>
    </cfRule>
  </conditionalFormatting>
  <conditionalFormatting sqref="S689:AD689">
    <cfRule type="expression" dxfId="51" priority="52">
      <formula>$R689&gt;$R688</formula>
    </cfRule>
  </conditionalFormatting>
  <conditionalFormatting sqref="S690:AD690">
    <cfRule type="expression" dxfId="50" priority="51">
      <formula>$R690&gt;$R689</formula>
    </cfRule>
  </conditionalFormatting>
  <conditionalFormatting sqref="S691:AD691">
    <cfRule type="expression" dxfId="49" priority="50">
      <formula>$R691&gt;$R690</formula>
    </cfRule>
  </conditionalFormatting>
  <conditionalFormatting sqref="S692:AD692">
    <cfRule type="expression" dxfId="48" priority="49">
      <formula>$R692&gt;$R691</formula>
    </cfRule>
  </conditionalFormatting>
  <conditionalFormatting sqref="S693:AD693">
    <cfRule type="expression" dxfId="47" priority="48">
      <formula>$R693&gt;$R692</formula>
    </cfRule>
  </conditionalFormatting>
  <conditionalFormatting sqref="S694:AD694">
    <cfRule type="expression" dxfId="46" priority="47">
      <formula>$R694&gt;$R693</formula>
    </cfRule>
  </conditionalFormatting>
  <conditionalFormatting sqref="S695:AD695">
    <cfRule type="expression" dxfId="45" priority="46">
      <formula>$R695&gt;$R694</formula>
    </cfRule>
  </conditionalFormatting>
  <conditionalFormatting sqref="S696:AD696">
    <cfRule type="expression" dxfId="44" priority="45">
      <formula>$R696&gt;$R695</formula>
    </cfRule>
  </conditionalFormatting>
  <conditionalFormatting sqref="S697:AD697">
    <cfRule type="expression" dxfId="43" priority="44">
      <formula>$R697&gt;$R696</formula>
    </cfRule>
  </conditionalFormatting>
  <conditionalFormatting sqref="S698:AD698">
    <cfRule type="expression" dxfId="42" priority="43">
      <formula>$R698&gt;$R697</formula>
    </cfRule>
  </conditionalFormatting>
  <conditionalFormatting sqref="S699:AD699">
    <cfRule type="expression" dxfId="41" priority="42">
      <formula>$R699&gt;$R698</formula>
    </cfRule>
  </conditionalFormatting>
  <conditionalFormatting sqref="S700:AD700">
    <cfRule type="expression" dxfId="40" priority="41">
      <formula>$R700&gt;$R699</formula>
    </cfRule>
  </conditionalFormatting>
  <conditionalFormatting sqref="S701:AD701">
    <cfRule type="expression" dxfId="39" priority="40">
      <formula>$R701&gt;$R700</formula>
    </cfRule>
  </conditionalFormatting>
  <conditionalFormatting sqref="S702:AD702">
    <cfRule type="expression" dxfId="38" priority="39">
      <formula>$R702&gt;$R701</formula>
    </cfRule>
  </conditionalFormatting>
  <conditionalFormatting sqref="S703:AD703">
    <cfRule type="expression" dxfId="37" priority="38">
      <formula>$R703&gt;$R702</formula>
    </cfRule>
  </conditionalFormatting>
  <conditionalFormatting sqref="S704:AD704">
    <cfRule type="expression" dxfId="36" priority="37">
      <formula>$R704&gt;$R703</formula>
    </cfRule>
  </conditionalFormatting>
  <conditionalFormatting sqref="S705:AD705">
    <cfRule type="expression" dxfId="35" priority="36">
      <formula>$R705&gt;$R704</formula>
    </cfRule>
  </conditionalFormatting>
  <conditionalFormatting sqref="S706:AD706">
    <cfRule type="expression" dxfId="34" priority="35">
      <formula>$R706&gt;$R705</formula>
    </cfRule>
  </conditionalFormatting>
  <conditionalFormatting sqref="S707:AD707">
    <cfRule type="expression" dxfId="33" priority="34">
      <formula>$R707&gt;$R706</formula>
    </cfRule>
  </conditionalFormatting>
  <conditionalFormatting sqref="S708:AD708">
    <cfRule type="expression" dxfId="32" priority="33">
      <formula>$R708&gt;$R707</formula>
    </cfRule>
  </conditionalFormatting>
  <conditionalFormatting sqref="S709:AD709">
    <cfRule type="expression" dxfId="31" priority="32">
      <formula>$R709&gt;$R708</formula>
    </cfRule>
  </conditionalFormatting>
  <conditionalFormatting sqref="S710:AD710">
    <cfRule type="expression" dxfId="30" priority="31">
      <formula>$R710&gt;$R709</formula>
    </cfRule>
  </conditionalFormatting>
  <conditionalFormatting sqref="S711:AD711">
    <cfRule type="expression" dxfId="29" priority="30">
      <formula>$R711&gt;$R710</formula>
    </cfRule>
  </conditionalFormatting>
  <conditionalFormatting sqref="S712:AD712">
    <cfRule type="expression" dxfId="28" priority="29">
      <formula>$R712&gt;$R711</formula>
    </cfRule>
  </conditionalFormatting>
  <conditionalFormatting sqref="S713:AD713">
    <cfRule type="expression" dxfId="27" priority="28">
      <formula>$R713&gt;$R712</formula>
    </cfRule>
  </conditionalFormatting>
  <conditionalFormatting sqref="S714:AD714">
    <cfRule type="expression" dxfId="26" priority="27">
      <formula>$R714&gt;$R713</formula>
    </cfRule>
  </conditionalFormatting>
  <conditionalFormatting sqref="S715:AD715">
    <cfRule type="expression" dxfId="25" priority="26">
      <formula>$R715&gt;$R714</formula>
    </cfRule>
  </conditionalFormatting>
  <conditionalFormatting sqref="S716:AD716">
    <cfRule type="expression" dxfId="24" priority="25">
      <formula>$R716&gt;$R715</formula>
    </cfRule>
  </conditionalFormatting>
  <conditionalFormatting sqref="S717:AD717">
    <cfRule type="expression" dxfId="23" priority="24">
      <formula>$R717&gt;$R716</formula>
    </cfRule>
  </conditionalFormatting>
  <conditionalFormatting sqref="S718:AD718">
    <cfRule type="expression" dxfId="22" priority="23">
      <formula>$R718&gt;$R717</formula>
    </cfRule>
  </conditionalFormatting>
  <conditionalFormatting sqref="S719:AD719">
    <cfRule type="expression" dxfId="21" priority="22">
      <formula>$R719&gt;$R718</formula>
    </cfRule>
  </conditionalFormatting>
  <conditionalFormatting sqref="S720:AD720">
    <cfRule type="expression" dxfId="20" priority="21">
      <formula>$R720&gt;$R719</formula>
    </cfRule>
  </conditionalFormatting>
  <conditionalFormatting sqref="S721:AD721">
    <cfRule type="expression" dxfId="19" priority="20">
      <formula>$R721&gt;$R720</formula>
    </cfRule>
  </conditionalFormatting>
  <conditionalFormatting sqref="S722:AD722">
    <cfRule type="expression" dxfId="18" priority="19">
      <formula>$R722&gt;$R721</formula>
    </cfRule>
  </conditionalFormatting>
  <conditionalFormatting sqref="S723:AD723">
    <cfRule type="expression" dxfId="17" priority="18">
      <formula>$R723&gt;$R722</formula>
    </cfRule>
  </conditionalFormatting>
  <conditionalFormatting sqref="S724:AD724">
    <cfRule type="expression" dxfId="16" priority="17">
      <formula>$R724&gt;$R723</formula>
    </cfRule>
  </conditionalFormatting>
  <conditionalFormatting sqref="S725:AD725">
    <cfRule type="expression" dxfId="15" priority="16">
      <formula>$R725&gt;$R724</formula>
    </cfRule>
  </conditionalFormatting>
  <conditionalFormatting sqref="S726:AD726">
    <cfRule type="expression" dxfId="14" priority="15">
      <formula>$R726&gt;$R725</formula>
    </cfRule>
  </conditionalFormatting>
  <conditionalFormatting sqref="S727:AD727">
    <cfRule type="expression" dxfId="13" priority="14">
      <formula>$R727&gt;$R726</formula>
    </cfRule>
  </conditionalFormatting>
  <conditionalFormatting sqref="S728:AD728">
    <cfRule type="expression" dxfId="12" priority="13">
      <formula>$R728&gt;$R727</formula>
    </cfRule>
  </conditionalFormatting>
  <conditionalFormatting sqref="S729:AD729">
    <cfRule type="expression" dxfId="11" priority="12">
      <formula>$R729&gt;$R728</formula>
    </cfRule>
  </conditionalFormatting>
  <conditionalFormatting sqref="S730:AD730">
    <cfRule type="expression" dxfId="10" priority="11">
      <formula>$R730&gt;$R729</formula>
    </cfRule>
  </conditionalFormatting>
  <conditionalFormatting sqref="S731:AD731">
    <cfRule type="expression" dxfId="9" priority="10">
      <formula>$R731&gt;$R730</formula>
    </cfRule>
  </conditionalFormatting>
  <conditionalFormatting sqref="S732:AD732">
    <cfRule type="expression" dxfId="8" priority="9">
      <formula>$R732&gt;$R731</formula>
    </cfRule>
  </conditionalFormatting>
  <conditionalFormatting sqref="S733:AD733">
    <cfRule type="expression" dxfId="7" priority="8">
      <formula>$R733&gt;$R732</formula>
    </cfRule>
  </conditionalFormatting>
  <conditionalFormatting sqref="S734:AD734">
    <cfRule type="expression" dxfId="6" priority="7">
      <formula>$R734&gt;$R733</formula>
    </cfRule>
  </conditionalFormatting>
  <conditionalFormatting sqref="S735:AD735">
    <cfRule type="expression" dxfId="5" priority="6">
      <formula>$R735&gt;$R734</formula>
    </cfRule>
  </conditionalFormatting>
  <conditionalFormatting sqref="S736:AD736">
    <cfRule type="expression" dxfId="4" priority="5">
      <formula>$R736&gt;$R735</formula>
    </cfRule>
  </conditionalFormatting>
  <conditionalFormatting sqref="S737:AD737">
    <cfRule type="expression" dxfId="3" priority="4">
      <formula>$R737&gt;$R736</formula>
    </cfRule>
  </conditionalFormatting>
  <conditionalFormatting sqref="S738:AD738">
    <cfRule type="expression" dxfId="2" priority="3">
      <formula>$R738&gt;$R737</formula>
    </cfRule>
  </conditionalFormatting>
  <conditionalFormatting sqref="E5">
    <cfRule type="expression" dxfId="1" priority="2">
      <formula>$D$5="사용안함"</formula>
    </cfRule>
  </conditionalFormatting>
  <conditionalFormatting sqref="E6">
    <cfRule type="expression" dxfId="0" priority="1">
      <formula>$D$6="사용안함"</formula>
    </cfRule>
  </conditionalFormatting>
  <dataValidations count="3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2024-12-24T09:13:37Z</dcterms:modified>
</cp:coreProperties>
</file>