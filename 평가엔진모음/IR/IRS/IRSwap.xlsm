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\"/>
    </mc:Choice>
  </mc:AlternateContent>
  <bookViews>
    <workbookView xWindow="0" yWindow="0" windowWidth="23040" windowHeight="9108" activeTab="1"/>
  </bookViews>
  <sheets>
    <sheet name="스케줄생성기" sheetId="2" r:id="rId1"/>
    <sheet name="IRSwapInfo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2" l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B1" i="2"/>
  <c r="W11" i="1" l="1"/>
  <c r="AT12" i="1" l="1"/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AL1" i="1" l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  <c r="D11" i="1" l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<sst xmlns="http://schemas.openxmlformats.org/spreadsheetml/2006/main" count="142" uniqueCount="80">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</sst>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14" fontId="7" fillId="9" borderId="2" xfId="0" applyNumberFormat="1" applyFont="1" applyFill="1" applyBorder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 applyAlignment="1">
      <alignment vertical="center"/>
    </xf>
    <xf numFmtId="187" fontId="0" fillId="2" borderId="0" xfId="0" applyNumberFormat="1" applyFill="1">
      <alignment vertical="center"/>
    </xf>
    <xf numFmtId="176" fontId="15" fillId="6" borderId="0" xfId="0" applyNumberFormat="1" applyFont="1" applyFill="1" applyBorder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76" fontId="15" fillId="6" borderId="0" xfId="0" applyNumberFormat="1" applyFont="1" applyFill="1">
      <alignment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8"/>
  <sheetViews>
    <sheetView workbookViewId="0">
      <selection activeCell="F13" sqref="F13"/>
    </sheetView>
  </sheetViews>
  <sheetFormatPr defaultColWidth="14.5" defaultRowHeight="17.399999999999999" x14ac:dyDescent="0.4"/>
  <cols>
    <col min="1" max="16384" width="14.5" style="50"/>
  </cols>
  <sheetData>
    <row r="1" spans="1:14" x14ac:dyDescent="0.4">
      <c r="A1" s="3">
        <v>1</v>
      </c>
      <c r="B1" s="50">
        <f>A1+1</f>
        <v>2</v>
      </c>
      <c r="C1" s="50">
        <f t="shared" ref="C1:N1" si="0">B1+1</f>
        <v>3</v>
      </c>
      <c r="D1" s="50">
        <f t="shared" si="0"/>
        <v>4</v>
      </c>
      <c r="E1" s="50">
        <f t="shared" si="0"/>
        <v>5</v>
      </c>
      <c r="F1" s="50">
        <f t="shared" si="0"/>
        <v>6</v>
      </c>
      <c r="G1" s="50">
        <f t="shared" si="0"/>
        <v>7</v>
      </c>
      <c r="H1" s="50">
        <f t="shared" si="0"/>
        <v>8</v>
      </c>
      <c r="I1" s="50">
        <f t="shared" si="0"/>
        <v>9</v>
      </c>
      <c r="J1" s="50">
        <f t="shared" si="0"/>
        <v>10</v>
      </c>
      <c r="K1" s="50">
        <f t="shared" si="0"/>
        <v>11</v>
      </c>
      <c r="L1" s="50">
        <f t="shared" si="0"/>
        <v>12</v>
      </c>
      <c r="M1" s="50">
        <f t="shared" si="0"/>
        <v>13</v>
      </c>
      <c r="N1" s="50">
        <f t="shared" si="0"/>
        <v>14</v>
      </c>
    </row>
    <row r="4" spans="1:14" x14ac:dyDescent="0.4">
      <c r="B4" s="66" t="s">
        <v>18</v>
      </c>
      <c r="C4" s="66"/>
      <c r="D4" s="66" t="s">
        <v>75</v>
      </c>
      <c r="E4" s="66"/>
    </row>
    <row r="5" spans="1:14" x14ac:dyDescent="0.4">
      <c r="B5" s="66"/>
      <c r="C5" s="66"/>
      <c r="D5" s="66"/>
      <c r="E5" s="66"/>
    </row>
    <row r="6" spans="1:14" x14ac:dyDescent="0.4">
      <c r="B6" s="38" t="s">
        <v>76</v>
      </c>
      <c r="C6" s="51">
        <v>43169</v>
      </c>
      <c r="D6" s="38" t="s">
        <v>77</v>
      </c>
      <c r="E6" s="51">
        <v>43169</v>
      </c>
    </row>
    <row r="7" spans="1:14" x14ac:dyDescent="0.4">
      <c r="B7" s="38" t="s">
        <v>78</v>
      </c>
      <c r="C7" s="51">
        <v>46825</v>
      </c>
      <c r="D7" s="38" t="s">
        <v>78</v>
      </c>
      <c r="E7" s="51">
        <v>46823</v>
      </c>
    </row>
    <row r="8" spans="1:14" x14ac:dyDescent="0.4">
      <c r="B8" s="38" t="s">
        <v>79</v>
      </c>
      <c r="C8" s="52">
        <v>4</v>
      </c>
      <c r="D8" s="38" t="s">
        <v>79</v>
      </c>
      <c r="E8" s="52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zoomScale="85" zoomScaleNormal="85" workbookViewId="0">
      <selection activeCell="AF29" sqref="AF29"/>
    </sheetView>
  </sheetViews>
  <sheetFormatPr defaultColWidth="12.59765625" defaultRowHeight="15.6" x14ac:dyDescent="0.4"/>
  <cols>
    <col min="1" max="1" width="12.59765625" style="3"/>
    <col min="2" max="2" width="12.59765625" style="53"/>
    <col min="3" max="3" width="12.59765625" style="55"/>
    <col min="4" max="4" width="12.59765625" style="53"/>
    <col min="5" max="5" width="12.59765625" style="55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3"/>
    <col min="22" max="22" width="12.59765625" style="6"/>
    <col min="23" max="23" width="12.59765625" style="56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49"/>
    <col min="45" max="45" width="12.59765625" style="15"/>
    <col min="46" max="46" width="16.8984375" style="29" bestFit="1" customWidth="1"/>
    <col min="47" max="47" width="12.59765625" style="30"/>
    <col min="48" max="48" width="12.59765625" style="49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8" t="s">
        <v>12</v>
      </c>
      <c r="C3" s="58"/>
      <c r="D3" s="59">
        <v>44848</v>
      </c>
      <c r="E3" s="60"/>
      <c r="F3" s="58" t="s">
        <v>39</v>
      </c>
      <c r="G3" s="58"/>
      <c r="H3" s="62">
        <v>0</v>
      </c>
      <c r="I3" s="62"/>
      <c r="J3" s="58" t="s">
        <v>44</v>
      </c>
      <c r="K3" s="58"/>
      <c r="L3" s="60">
        <v>0</v>
      </c>
      <c r="M3" s="60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66" t="s">
        <v>18</v>
      </c>
      <c r="C4" s="66"/>
      <c r="D4" s="66"/>
      <c r="E4" s="66"/>
      <c r="F4" s="66"/>
      <c r="G4" s="66"/>
      <c r="H4" s="66"/>
      <c r="I4" s="66"/>
      <c r="J4" s="66"/>
      <c r="K4" s="66"/>
      <c r="L4" s="3"/>
      <c r="M4" s="63" t="s">
        <v>70</v>
      </c>
      <c r="N4" s="63"/>
      <c r="P4" s="57" t="s">
        <v>65</v>
      </c>
      <c r="Q4" s="57"/>
      <c r="R4" s="3"/>
      <c r="S4" s="3"/>
      <c r="U4" s="66" t="s">
        <v>21</v>
      </c>
      <c r="V4" s="66"/>
      <c r="W4" s="66"/>
      <c r="X4" s="66"/>
      <c r="Y4" s="66"/>
      <c r="Z4" s="66"/>
      <c r="AA4" s="66"/>
      <c r="AB4" s="66"/>
      <c r="AC4" s="66"/>
      <c r="AD4" s="66"/>
      <c r="AE4" s="3"/>
      <c r="AF4" s="63" t="s">
        <v>70</v>
      </c>
      <c r="AG4" s="63"/>
      <c r="AI4" s="57" t="s">
        <v>65</v>
      </c>
      <c r="AJ4" s="57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66"/>
      <c r="V5" s="66"/>
      <c r="W5" s="66"/>
      <c r="X5" s="66"/>
      <c r="Y5" s="66"/>
      <c r="Z5" s="66"/>
      <c r="AA5" s="66"/>
      <c r="AB5" s="66"/>
      <c r="AC5" s="66"/>
      <c r="AD5" s="66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4" t="s">
        <v>10</v>
      </c>
      <c r="C6" s="65"/>
      <c r="D6" s="60">
        <v>2</v>
      </c>
      <c r="E6" s="60"/>
      <c r="F6" s="64" t="s">
        <v>17</v>
      </c>
      <c r="G6" s="64"/>
      <c r="H6" s="64" t="s">
        <v>1</v>
      </c>
      <c r="I6" s="65"/>
      <c r="J6" s="60">
        <v>4</v>
      </c>
      <c r="K6" s="60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4" t="s">
        <v>10</v>
      </c>
      <c r="V6" s="65"/>
      <c r="W6" s="60">
        <v>0</v>
      </c>
      <c r="X6" s="60"/>
      <c r="Y6" s="64" t="s">
        <v>17</v>
      </c>
      <c r="Z6" s="64"/>
      <c r="AA6" s="64" t="s">
        <v>1</v>
      </c>
      <c r="AB6" s="65"/>
      <c r="AC6" s="60"/>
      <c r="AD6" s="60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4" t="s">
        <v>11</v>
      </c>
      <c r="C7" s="65"/>
      <c r="D7" s="60">
        <v>1</v>
      </c>
      <c r="E7" s="60"/>
      <c r="F7" s="64"/>
      <c r="G7" s="64"/>
      <c r="H7" s="64" t="s">
        <v>2</v>
      </c>
      <c r="I7" s="65"/>
      <c r="J7" s="60">
        <v>10</v>
      </c>
      <c r="K7" s="60"/>
      <c r="L7" s="3"/>
      <c r="M7" s="1">
        <v>2.7397260273972603E-3</v>
      </c>
      <c r="N7" s="2">
        <v>8.1519999999999995E-3</v>
      </c>
      <c r="P7" s="23" t="s">
        <v>68</v>
      </c>
      <c r="Q7" s="26">
        <v>0</v>
      </c>
      <c r="R7" s="3"/>
      <c r="S7" s="3"/>
      <c r="U7" s="64" t="s">
        <v>11</v>
      </c>
      <c r="V7" s="65"/>
      <c r="W7" s="60">
        <v>1</v>
      </c>
      <c r="X7" s="60"/>
      <c r="Y7" s="64"/>
      <c r="Z7" s="64"/>
      <c r="AA7" s="64" t="s">
        <v>2</v>
      </c>
      <c r="AB7" s="65"/>
      <c r="AC7" s="60"/>
      <c r="AD7" s="60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71" t="s">
        <v>25</v>
      </c>
      <c r="AS7" s="71"/>
      <c r="AT7" s="71"/>
      <c r="AU7" s="71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4" t="s">
        <v>0</v>
      </c>
      <c r="C8" s="65"/>
      <c r="D8" s="60">
        <v>0</v>
      </c>
      <c r="E8" s="60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4" t="s">
        <v>0</v>
      </c>
      <c r="V8" s="65"/>
      <c r="W8" s="60">
        <v>3</v>
      </c>
      <c r="X8" s="60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3" t="s">
        <v>26</v>
      </c>
      <c r="AS8" s="74"/>
      <c r="AT8" s="75">
        <v>1</v>
      </c>
      <c r="AU8" s="75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76" t="s">
        <v>27</v>
      </c>
      <c r="AS9" s="76"/>
      <c r="AT9" s="77">
        <v>0</v>
      </c>
      <c r="AU9" s="77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58" t="s">
        <v>9</v>
      </c>
      <c r="C10" s="58"/>
      <c r="D10" s="60">
        <v>10000000000</v>
      </c>
      <c r="E10" s="60"/>
      <c r="F10" s="38" t="str">
        <f>IF(AP16=1,"x Rcv FX","원")</f>
        <v>원</v>
      </c>
      <c r="G10" s="3"/>
      <c r="H10" s="3"/>
      <c r="I10" s="3"/>
      <c r="J10" s="58" t="s">
        <v>69</v>
      </c>
      <c r="K10" s="58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58" t="s">
        <v>9</v>
      </c>
      <c r="V10" s="58"/>
      <c r="W10" s="60">
        <v>10000000000</v>
      </c>
      <c r="X10" s="60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76" t="s">
        <v>28</v>
      </c>
      <c r="AS10" s="76"/>
      <c r="AT10" s="78">
        <v>2096191815.3276966</v>
      </c>
      <c r="AU10" s="78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58" t="s">
        <v>20</v>
      </c>
      <c r="C11" s="58"/>
      <c r="D11" s="59">
        <f>K59</f>
        <v>46825</v>
      </c>
      <c r="E11" s="60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57" t="s">
        <v>57</v>
      </c>
      <c r="Q11" s="57"/>
      <c r="R11" s="3"/>
      <c r="S11" s="3"/>
      <c r="U11" s="58" t="s">
        <v>20</v>
      </c>
      <c r="V11" s="58"/>
      <c r="W11" s="59">
        <f>AD59</f>
        <v>46822</v>
      </c>
      <c r="X11" s="60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57" t="s">
        <v>58</v>
      </c>
      <c r="AJ11" s="57"/>
      <c r="AK11" s="3"/>
      <c r="AL11" s="3"/>
      <c r="AN11" s="3"/>
      <c r="AO11" s="3"/>
      <c r="AP11" s="3"/>
      <c r="AR11" s="76" t="s">
        <v>29</v>
      </c>
      <c r="AS11" s="76"/>
      <c r="AT11" s="78">
        <v>1939113585.8269353</v>
      </c>
      <c r="AU11" s="78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76" t="s">
        <v>74</v>
      </c>
      <c r="AS12" s="76"/>
      <c r="AT12" s="78">
        <f>AT10-AT11</f>
        <v>157078229.50076127</v>
      </c>
      <c r="AU12" s="78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71" t="s">
        <v>45</v>
      </c>
      <c r="AS14" s="71"/>
      <c r="AT14" s="71"/>
      <c r="AU14" s="71"/>
      <c r="AV14" s="71" t="s">
        <v>46</v>
      </c>
      <c r="AW14" s="71"/>
      <c r="AX14" s="71"/>
      <c r="AY14" s="71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57" t="s">
        <v>51</v>
      </c>
      <c r="AO15" s="57"/>
      <c r="AP15" s="57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80" t="s">
        <v>36</v>
      </c>
      <c r="BB15" s="80"/>
      <c r="BC15" s="80"/>
      <c r="BD15" s="80"/>
      <c r="BE15" s="80"/>
      <c r="BF15" s="80"/>
      <c r="BG15" s="80"/>
      <c r="BH15" s="80"/>
      <c r="BJ15" s="80" t="s">
        <v>37</v>
      </c>
      <c r="BK15" s="80"/>
      <c r="BL15" s="80"/>
      <c r="BM15" s="80"/>
      <c r="BN15" s="80"/>
      <c r="BO15" s="80"/>
      <c r="BP15" s="80"/>
      <c r="BQ15" s="80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63" t="s">
        <v>63</v>
      </c>
      <c r="S16" s="63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63" t="s">
        <v>64</v>
      </c>
      <c r="AL16" s="63"/>
      <c r="AM16" s="22"/>
      <c r="AN16" s="72" t="s">
        <v>52</v>
      </c>
      <c r="AO16" s="72"/>
      <c r="AP16" s="28">
        <v>0</v>
      </c>
      <c r="AR16" s="13">
        <v>43262</v>
      </c>
      <c r="AS16" s="15">
        <v>0</v>
      </c>
      <c r="AT16" s="17">
        <v>0</v>
      </c>
      <c r="AU16" s="16">
        <v>0</v>
      </c>
      <c r="AV16" s="13">
        <v>43262</v>
      </c>
      <c r="AW16" s="15">
        <v>0</v>
      </c>
      <c r="AX16" s="17">
        <v>0</v>
      </c>
      <c r="AY16" s="16">
        <v>0</v>
      </c>
      <c r="BA16" s="80"/>
      <c r="BB16" s="80"/>
      <c r="BC16" s="80"/>
      <c r="BD16" s="80"/>
      <c r="BE16" s="80"/>
      <c r="BF16" s="80"/>
      <c r="BG16" s="80"/>
      <c r="BH16" s="80"/>
      <c r="BJ16" s="80"/>
      <c r="BK16" s="80"/>
      <c r="BL16" s="80"/>
      <c r="BM16" s="80"/>
      <c r="BN16" s="80"/>
      <c r="BO16" s="80"/>
      <c r="BP16" s="80"/>
      <c r="BQ16" s="80"/>
    </row>
    <row r="17" spans="1:69" ht="15.6" customHeight="1" x14ac:dyDescent="0.4">
      <c r="A17" s="3">
        <f t="shared" si="2"/>
        <v>17</v>
      </c>
      <c r="B17" s="57" t="s">
        <v>3</v>
      </c>
      <c r="C17" s="57"/>
      <c r="D17" s="57"/>
      <c r="E17" s="57"/>
      <c r="G17" s="57" t="s">
        <v>19</v>
      </c>
      <c r="H17" s="57"/>
      <c r="I17" s="57"/>
      <c r="J17" s="57"/>
      <c r="K17" s="3"/>
      <c r="L17" s="3"/>
      <c r="M17" s="3"/>
      <c r="N17" s="3"/>
      <c r="P17" s="23" t="s">
        <v>56</v>
      </c>
      <c r="Q17" s="26">
        <v>0</v>
      </c>
      <c r="R17" s="63"/>
      <c r="S17" s="63"/>
      <c r="U17" s="57" t="s">
        <v>24</v>
      </c>
      <c r="V17" s="57"/>
      <c r="W17" s="57"/>
      <c r="X17" s="57"/>
      <c r="Z17" s="57" t="s">
        <v>23</v>
      </c>
      <c r="AA17" s="57"/>
      <c r="AB17" s="57"/>
      <c r="AC17" s="57"/>
      <c r="AD17" s="3"/>
      <c r="AE17" s="3"/>
      <c r="AF17" s="3"/>
      <c r="AG17" s="3"/>
      <c r="AI17" s="23" t="s">
        <v>47</v>
      </c>
      <c r="AJ17" s="26">
        <v>0</v>
      </c>
      <c r="AK17" s="63"/>
      <c r="AL17" s="63"/>
      <c r="AM17" s="22"/>
      <c r="AN17" s="22"/>
      <c r="AO17" s="22"/>
      <c r="AP17" s="22"/>
      <c r="AR17" s="13">
        <v>43354</v>
      </c>
      <c r="AS17" s="15">
        <v>0</v>
      </c>
      <c r="AT17" s="17">
        <v>0</v>
      </c>
      <c r="AU17" s="16">
        <v>0</v>
      </c>
      <c r="AV17" s="13">
        <v>43354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3" t="s">
        <v>4</v>
      </c>
      <c r="C18" s="63"/>
      <c r="D18" s="63" t="s">
        <v>5</v>
      </c>
      <c r="E18" s="63"/>
      <c r="G18" s="61" t="s">
        <v>13</v>
      </c>
      <c r="H18" s="61" t="s">
        <v>14</v>
      </c>
      <c r="I18" s="61" t="s">
        <v>6</v>
      </c>
      <c r="J18" s="61" t="s">
        <v>7</v>
      </c>
      <c r="K18" s="61" t="s">
        <v>8</v>
      </c>
      <c r="L18" s="61" t="s">
        <v>15</v>
      </c>
      <c r="M18" s="61" t="s">
        <v>22</v>
      </c>
      <c r="N18" s="61" t="s">
        <v>16</v>
      </c>
      <c r="P18" s="63" t="s">
        <v>60</v>
      </c>
      <c r="Q18" s="70"/>
      <c r="R18" s="69" t="s">
        <v>61</v>
      </c>
      <c r="S18" s="69" t="s">
        <v>62</v>
      </c>
      <c r="U18" s="63" t="s">
        <v>4</v>
      </c>
      <c r="V18" s="63"/>
      <c r="W18" s="63" t="s">
        <v>5</v>
      </c>
      <c r="X18" s="63"/>
      <c r="Z18" s="61" t="s">
        <v>13</v>
      </c>
      <c r="AA18" s="61" t="s">
        <v>14</v>
      </c>
      <c r="AB18" s="61" t="s">
        <v>6</v>
      </c>
      <c r="AC18" s="61" t="s">
        <v>7</v>
      </c>
      <c r="AD18" s="61" t="s">
        <v>8</v>
      </c>
      <c r="AE18" s="61" t="s">
        <v>15</v>
      </c>
      <c r="AF18" s="61" t="s">
        <v>22</v>
      </c>
      <c r="AG18" s="61" t="s">
        <v>16</v>
      </c>
      <c r="AI18" s="63" t="s">
        <v>60</v>
      </c>
      <c r="AJ18" s="39"/>
      <c r="AK18" s="69" t="s">
        <v>61</v>
      </c>
      <c r="AL18" s="69" t="s">
        <v>62</v>
      </c>
      <c r="AM18" s="22"/>
      <c r="AN18" s="72" t="s">
        <v>53</v>
      </c>
      <c r="AO18" s="72"/>
      <c r="AP18" s="72"/>
      <c r="AR18" s="13">
        <v>43445</v>
      </c>
      <c r="AS18" s="15">
        <v>0</v>
      </c>
      <c r="AT18" s="17">
        <v>0</v>
      </c>
      <c r="AU18" s="16">
        <v>0</v>
      </c>
      <c r="AV18" s="13">
        <v>43445</v>
      </c>
      <c r="AW18" s="15">
        <v>0</v>
      </c>
      <c r="AX18" s="17">
        <v>0</v>
      </c>
      <c r="AY18" s="16">
        <v>0</v>
      </c>
      <c r="BA18" s="67" t="s">
        <v>33</v>
      </c>
      <c r="BB18" s="67"/>
      <c r="BD18" s="67" t="s">
        <v>34</v>
      </c>
      <c r="BE18" s="67"/>
      <c r="BG18" s="67" t="s">
        <v>35</v>
      </c>
      <c r="BH18" s="67"/>
      <c r="BJ18" s="67" t="s">
        <v>33</v>
      </c>
      <c r="BK18" s="67"/>
      <c r="BM18" s="67" t="s">
        <v>34</v>
      </c>
      <c r="BN18" s="67"/>
      <c r="BP18" s="67" t="s">
        <v>35</v>
      </c>
      <c r="BQ18" s="67"/>
    </row>
    <row r="19" spans="1:69" ht="16.2" customHeight="1" thickBot="1" x14ac:dyDescent="0.45">
      <c r="A19" s="3">
        <f t="shared" si="2"/>
        <v>19</v>
      </c>
      <c r="B19" s="63"/>
      <c r="C19" s="63"/>
      <c r="D19" s="63"/>
      <c r="E19" s="63"/>
      <c r="G19" s="61"/>
      <c r="H19" s="61"/>
      <c r="I19" s="61"/>
      <c r="J19" s="61"/>
      <c r="K19" s="61"/>
      <c r="L19" s="61"/>
      <c r="M19" s="61"/>
      <c r="N19" s="61"/>
      <c r="O19" s="27"/>
      <c r="P19" s="63"/>
      <c r="Q19" s="70"/>
      <c r="R19" s="69"/>
      <c r="S19" s="69"/>
      <c r="U19" s="63"/>
      <c r="V19" s="63"/>
      <c r="W19" s="63"/>
      <c r="X19" s="63"/>
      <c r="Z19" s="61"/>
      <c r="AA19" s="61"/>
      <c r="AB19" s="61"/>
      <c r="AC19" s="61"/>
      <c r="AD19" s="61"/>
      <c r="AE19" s="61"/>
      <c r="AF19" s="61"/>
      <c r="AG19" s="61"/>
      <c r="AI19" s="63"/>
      <c r="AJ19" s="39"/>
      <c r="AK19" s="69"/>
      <c r="AL19" s="69"/>
      <c r="AM19" s="22"/>
      <c r="AN19" s="37" t="s">
        <v>48</v>
      </c>
      <c r="AO19" s="37" t="s">
        <v>49</v>
      </c>
      <c r="AP19" s="37" t="s">
        <v>50</v>
      </c>
      <c r="AR19" s="13">
        <v>43535</v>
      </c>
      <c r="AS19" s="15">
        <v>0</v>
      </c>
      <c r="AT19" s="17">
        <v>0</v>
      </c>
      <c r="AU19" s="16">
        <v>0</v>
      </c>
      <c r="AV19" s="13">
        <v>43535</v>
      </c>
      <c r="AW19" s="15">
        <v>0</v>
      </c>
      <c r="AX19" s="17">
        <v>0</v>
      </c>
      <c r="AY19" s="16">
        <v>0</v>
      </c>
      <c r="BA19" s="68"/>
      <c r="BB19" s="68"/>
      <c r="BD19" s="68"/>
      <c r="BE19" s="68"/>
      <c r="BG19" s="68"/>
      <c r="BH19" s="68"/>
      <c r="BJ19" s="68"/>
      <c r="BK19" s="68"/>
      <c r="BM19" s="68"/>
      <c r="BN19" s="68"/>
      <c r="BP19" s="68"/>
      <c r="BQ19" s="68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3.1519999999999992E-2</v>
      </c>
      <c r="D20" s="1">
        <v>2.7397260273972603E-3</v>
      </c>
      <c r="E20" s="2">
        <v>3.1519999999999992E-2</v>
      </c>
      <c r="G20" s="45">
        <v>43169</v>
      </c>
      <c r="H20" s="45">
        <v>43262</v>
      </c>
      <c r="I20" s="45">
        <v>43169</v>
      </c>
      <c r="J20" s="45">
        <v>43262</v>
      </c>
      <c r="K20" s="45">
        <v>43263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44758</v>
      </c>
      <c r="S20" s="42">
        <v>3.09E-2</v>
      </c>
      <c r="U20" s="1">
        <v>0.25</v>
      </c>
      <c r="V20" s="2">
        <v>4.2140000000000004E-2</v>
      </c>
      <c r="W20" s="1">
        <v>0.25</v>
      </c>
      <c r="X20" s="2">
        <v>4.2140000000000004E-2</v>
      </c>
      <c r="Z20" s="45">
        <v>43169</v>
      </c>
      <c r="AA20" s="45">
        <v>43262</v>
      </c>
      <c r="AB20" s="45">
        <v>43169</v>
      </c>
      <c r="AC20" s="45">
        <v>43262</v>
      </c>
      <c r="AD20" s="45">
        <v>43262</v>
      </c>
      <c r="AE20" s="5">
        <v>0</v>
      </c>
      <c r="AF20" s="6">
        <v>0.04</v>
      </c>
      <c r="AG20" s="6">
        <v>0</v>
      </c>
      <c r="AI20" s="24">
        <v>43101</v>
      </c>
      <c r="AJ20" s="39"/>
      <c r="AK20" s="41">
        <f>$D$3-90</f>
        <v>44758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>
        <v>43627</v>
      </c>
      <c r="AS20" s="15">
        <v>0</v>
      </c>
      <c r="AT20" s="17">
        <v>0</v>
      </c>
      <c r="AU20" s="16">
        <v>0</v>
      </c>
      <c r="AV20" s="13">
        <v>43627</v>
      </c>
      <c r="AW20" s="15">
        <v>0</v>
      </c>
      <c r="AX20" s="17">
        <v>0</v>
      </c>
      <c r="AY20" s="16">
        <v>0</v>
      </c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1">
        <v>0.25</v>
      </c>
      <c r="C21" s="2">
        <v>3.261E-2</v>
      </c>
      <c r="D21" s="1">
        <v>0.25</v>
      </c>
      <c r="E21" s="2">
        <v>3.261E-2</v>
      </c>
      <c r="G21" s="45">
        <v>43262</v>
      </c>
      <c r="H21" s="45">
        <v>43353</v>
      </c>
      <c r="I21" s="45">
        <v>43262</v>
      </c>
      <c r="J21" s="45">
        <v>43353</v>
      </c>
      <c r="K21" s="45">
        <v>43354</v>
      </c>
      <c r="L21" s="5">
        <v>1</v>
      </c>
      <c r="M21" s="6">
        <v>0</v>
      </c>
      <c r="N21" s="6"/>
      <c r="P21" s="24">
        <v>43146</v>
      </c>
      <c r="R21" s="41">
        <f>R20+1</f>
        <v>44759</v>
      </c>
      <c r="S21" s="42">
        <v>3.09E-2</v>
      </c>
      <c r="U21" s="1">
        <v>0.5</v>
      </c>
      <c r="V21" s="2">
        <v>4.5100000000000001E-2</v>
      </c>
      <c r="W21" s="1">
        <v>0.5</v>
      </c>
      <c r="X21" s="2">
        <v>4.5100000000000001E-2</v>
      </c>
      <c r="Z21" s="45">
        <v>43262</v>
      </c>
      <c r="AA21" s="45">
        <v>43353</v>
      </c>
      <c r="AB21" s="45">
        <v>43262</v>
      </c>
      <c r="AC21" s="45">
        <v>43353</v>
      </c>
      <c r="AD21" s="45">
        <v>43353</v>
      </c>
      <c r="AE21" s="5">
        <v>0</v>
      </c>
      <c r="AF21" s="6">
        <v>0.04</v>
      </c>
      <c r="AG21" s="6"/>
      <c r="AI21" s="24">
        <v>43115</v>
      </c>
      <c r="AJ21" s="39"/>
      <c r="AK21" s="41">
        <f>AK20+1</f>
        <v>44759</v>
      </c>
      <c r="AL21" s="42">
        <v>3.9140000000000001E-2</v>
      </c>
      <c r="AN21" s="1"/>
      <c r="AR21" s="13">
        <v>43719</v>
      </c>
      <c r="AS21" s="15">
        <v>0</v>
      </c>
      <c r="AT21" s="17">
        <v>0</v>
      </c>
      <c r="AU21" s="16">
        <v>0</v>
      </c>
      <c r="AV21" s="13">
        <v>43719</v>
      </c>
      <c r="AW21" s="15">
        <v>0</v>
      </c>
      <c r="AX21" s="17">
        <v>0</v>
      </c>
      <c r="AY21" s="16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0.5</v>
      </c>
      <c r="C22" s="2">
        <v>3.3500000000000002E-2</v>
      </c>
      <c r="D22" s="1">
        <v>0.5</v>
      </c>
      <c r="E22" s="2">
        <v>3.3500000000000002E-2</v>
      </c>
      <c r="G22" s="45">
        <v>43353</v>
      </c>
      <c r="H22" s="45">
        <v>43444</v>
      </c>
      <c r="I22" s="45">
        <v>43353</v>
      </c>
      <c r="J22" s="45">
        <v>43444</v>
      </c>
      <c r="K22" s="45">
        <v>43445</v>
      </c>
      <c r="L22" s="5">
        <v>1</v>
      </c>
      <c r="M22" s="6">
        <v>0</v>
      </c>
      <c r="N22" s="6"/>
      <c r="P22" s="24">
        <v>43147</v>
      </c>
      <c r="R22" s="41">
        <f t="shared" ref="R22:R85" si="3">R21+1</f>
        <v>44760</v>
      </c>
      <c r="S22" s="42">
        <v>3.09E-2</v>
      </c>
      <c r="U22" s="1">
        <v>1</v>
      </c>
      <c r="V22" s="2">
        <v>4.8210000000000003E-2</v>
      </c>
      <c r="W22" s="1">
        <v>1</v>
      </c>
      <c r="X22" s="2">
        <v>4.8210000000000003E-2</v>
      </c>
      <c r="Z22" s="45">
        <v>43353</v>
      </c>
      <c r="AA22" s="45">
        <v>43444</v>
      </c>
      <c r="AB22" s="45">
        <v>43353</v>
      </c>
      <c r="AC22" s="45">
        <v>43444</v>
      </c>
      <c r="AD22" s="45">
        <v>43444</v>
      </c>
      <c r="AE22" s="5">
        <v>0</v>
      </c>
      <c r="AF22" s="6">
        <v>0.04</v>
      </c>
      <c r="AG22" s="6"/>
      <c r="AI22" s="24">
        <v>43150</v>
      </c>
      <c r="AJ22" s="39"/>
      <c r="AK22" s="41">
        <f t="shared" ref="AK22:AK85" si="4">AK21+1</f>
        <v>44760</v>
      </c>
      <c r="AL22" s="42">
        <v>3.9140000000000001E-2</v>
      </c>
      <c r="AN22" s="1"/>
      <c r="AR22" s="13">
        <v>43810</v>
      </c>
      <c r="AS22" s="15">
        <v>0</v>
      </c>
      <c r="AT22" s="17">
        <v>0</v>
      </c>
      <c r="AU22" s="16">
        <v>0</v>
      </c>
      <c r="AV22" s="13">
        <v>43810</v>
      </c>
      <c r="AW22" s="15">
        <v>0</v>
      </c>
      <c r="AX22" s="17">
        <v>0</v>
      </c>
      <c r="AY22" s="16">
        <v>0</v>
      </c>
      <c r="BA22" s="79" t="s">
        <v>38</v>
      </c>
      <c r="BB22" s="79"/>
      <c r="BD22" s="79" t="s">
        <v>38</v>
      </c>
      <c r="BE22" s="79"/>
      <c r="BG22" s="79" t="s">
        <v>38</v>
      </c>
      <c r="BH22" s="79"/>
      <c r="BJ22" s="79" t="s">
        <v>38</v>
      </c>
      <c r="BK22" s="79"/>
      <c r="BM22" s="79" t="s">
        <v>38</v>
      </c>
      <c r="BN22" s="79"/>
      <c r="BP22" s="79" t="s">
        <v>38</v>
      </c>
      <c r="BQ22" s="79"/>
    </row>
    <row r="23" spans="1:69" x14ac:dyDescent="0.35">
      <c r="A23" s="3">
        <f t="shared" si="2"/>
        <v>23</v>
      </c>
      <c r="B23" s="1">
        <v>1</v>
      </c>
      <c r="C23" s="2">
        <v>3.4509999999999999E-2</v>
      </c>
      <c r="D23" s="1">
        <v>1</v>
      </c>
      <c r="E23" s="2">
        <v>3.4509999999999999E-2</v>
      </c>
      <c r="G23" s="45">
        <v>43444</v>
      </c>
      <c r="H23" s="45">
        <v>43535</v>
      </c>
      <c r="I23" s="45">
        <v>43444</v>
      </c>
      <c r="J23" s="45">
        <v>43535</v>
      </c>
      <c r="K23" s="45">
        <v>43536</v>
      </c>
      <c r="L23" s="5">
        <v>1</v>
      </c>
      <c r="M23" s="6">
        <v>0</v>
      </c>
      <c r="N23" s="6"/>
      <c r="P23" s="24">
        <v>43148</v>
      </c>
      <c r="R23" s="41">
        <f t="shared" si="3"/>
        <v>44761</v>
      </c>
      <c r="S23" s="42">
        <v>3.09E-2</v>
      </c>
      <c r="U23" s="1">
        <v>2</v>
      </c>
      <c r="V23" s="2">
        <v>4.7410000000000001E-2</v>
      </c>
      <c r="W23" s="1">
        <v>2</v>
      </c>
      <c r="X23" s="2">
        <v>4.7410000000000001E-2</v>
      </c>
      <c r="Z23" s="45">
        <v>43444</v>
      </c>
      <c r="AA23" s="45">
        <v>43535</v>
      </c>
      <c r="AB23" s="45">
        <v>43444</v>
      </c>
      <c r="AC23" s="45">
        <v>43535</v>
      </c>
      <c r="AD23" s="45">
        <v>43535</v>
      </c>
      <c r="AE23" s="5">
        <v>0</v>
      </c>
      <c r="AF23" s="6">
        <v>0.04</v>
      </c>
      <c r="AG23" s="6"/>
      <c r="AI23" s="24">
        <v>43248</v>
      </c>
      <c r="AJ23" s="39"/>
      <c r="AK23" s="41">
        <f t="shared" si="4"/>
        <v>44761</v>
      </c>
      <c r="AL23" s="42">
        <v>3.9140000000000001E-2</v>
      </c>
      <c r="AN23" s="1"/>
      <c r="AR23" s="13">
        <v>43901</v>
      </c>
      <c r="AS23" s="15">
        <v>0</v>
      </c>
      <c r="AT23" s="17">
        <v>0</v>
      </c>
      <c r="AU23" s="16">
        <v>0</v>
      </c>
      <c r="AV23" s="13">
        <v>43901</v>
      </c>
      <c r="AW23" s="15">
        <v>0</v>
      </c>
      <c r="AX23" s="17">
        <v>0</v>
      </c>
      <c r="AY23" s="16">
        <v>0</v>
      </c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1">
        <v>1.5</v>
      </c>
      <c r="C24" s="2">
        <v>3.9999999999999994E-2</v>
      </c>
      <c r="D24" s="1">
        <v>1.5</v>
      </c>
      <c r="E24" s="2">
        <v>3.9999999999999994E-2</v>
      </c>
      <c r="G24" s="45">
        <v>43535</v>
      </c>
      <c r="H24" s="45">
        <v>43626</v>
      </c>
      <c r="I24" s="45">
        <v>43535</v>
      </c>
      <c r="J24" s="45">
        <v>43626</v>
      </c>
      <c r="K24" s="45">
        <v>43627</v>
      </c>
      <c r="L24" s="5">
        <v>1</v>
      </c>
      <c r="M24" s="6">
        <v>0</v>
      </c>
      <c r="N24" s="6"/>
      <c r="P24" s="24">
        <v>43160</v>
      </c>
      <c r="R24" s="41">
        <f t="shared" si="3"/>
        <v>44762</v>
      </c>
      <c r="S24" s="42">
        <v>3.09E-2</v>
      </c>
      <c r="U24" s="1">
        <v>3</v>
      </c>
      <c r="V24" s="2">
        <v>4.727E-2</v>
      </c>
      <c r="W24" s="1">
        <v>3</v>
      </c>
      <c r="X24" s="2">
        <v>4.727E-2</v>
      </c>
      <c r="Z24" s="45">
        <v>43535</v>
      </c>
      <c r="AA24" s="45">
        <v>43626</v>
      </c>
      <c r="AB24" s="45">
        <v>43535</v>
      </c>
      <c r="AC24" s="45">
        <v>43626</v>
      </c>
      <c r="AD24" s="45">
        <v>43626</v>
      </c>
      <c r="AE24" s="5">
        <v>0</v>
      </c>
      <c r="AF24" s="6">
        <v>0.04</v>
      </c>
      <c r="AG24" s="6"/>
      <c r="AI24" s="24">
        <v>43270</v>
      </c>
      <c r="AJ24" s="39"/>
      <c r="AK24" s="41">
        <f t="shared" si="4"/>
        <v>44762</v>
      </c>
      <c r="AL24" s="42">
        <v>3.9140000000000001E-2</v>
      </c>
      <c r="AN24" s="1"/>
      <c r="AR24" s="13">
        <v>43993</v>
      </c>
      <c r="AS24" s="15">
        <v>0</v>
      </c>
      <c r="AT24" s="18">
        <v>0</v>
      </c>
      <c r="AU24" s="16">
        <v>0</v>
      </c>
      <c r="AV24" s="13">
        <v>43993</v>
      </c>
      <c r="AW24" s="15">
        <v>0</v>
      </c>
      <c r="AX24" s="18">
        <v>0</v>
      </c>
      <c r="AY24" s="16">
        <v>0</v>
      </c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0.25</v>
      </c>
      <c r="BK24" s="21">
        <v>0</v>
      </c>
      <c r="BM24" s="7">
        <v>0.25</v>
      </c>
      <c r="BN24" s="21">
        <v>0</v>
      </c>
      <c r="BP24" s="7">
        <v>0.25</v>
      </c>
      <c r="BQ24" s="21">
        <v>0</v>
      </c>
    </row>
    <row r="25" spans="1:69" x14ac:dyDescent="0.35">
      <c r="A25" s="3">
        <f t="shared" si="2"/>
        <v>25</v>
      </c>
      <c r="B25" s="1">
        <v>2</v>
      </c>
      <c r="C25" s="2">
        <v>4.222999999999999E-2</v>
      </c>
      <c r="D25" s="1">
        <v>2</v>
      </c>
      <c r="E25" s="2">
        <v>4.222999999999999E-2</v>
      </c>
      <c r="G25" s="45">
        <v>43626</v>
      </c>
      <c r="H25" s="45">
        <v>43718</v>
      </c>
      <c r="I25" s="45">
        <v>43626</v>
      </c>
      <c r="J25" s="45">
        <v>43718</v>
      </c>
      <c r="K25" s="45">
        <v>43719</v>
      </c>
      <c r="L25" s="5">
        <v>1</v>
      </c>
      <c r="M25" s="6">
        <v>0</v>
      </c>
      <c r="N25" s="6"/>
      <c r="P25" s="24">
        <v>43221</v>
      </c>
      <c r="R25" s="41">
        <f t="shared" si="3"/>
        <v>44763</v>
      </c>
      <c r="S25" s="42">
        <v>3.09E-2</v>
      </c>
      <c r="U25" s="1">
        <v>5</v>
      </c>
      <c r="V25" s="2">
        <v>4.5089999999999998E-2</v>
      </c>
      <c r="W25" s="1">
        <v>5</v>
      </c>
      <c r="X25" s="2">
        <v>4.5089999999999998E-2</v>
      </c>
      <c r="Z25" s="45">
        <v>43626</v>
      </c>
      <c r="AA25" s="45">
        <v>43718</v>
      </c>
      <c r="AB25" s="45">
        <v>43626</v>
      </c>
      <c r="AC25" s="45">
        <v>43718</v>
      </c>
      <c r="AD25" s="45">
        <v>43718</v>
      </c>
      <c r="AE25" s="5">
        <v>0</v>
      </c>
      <c r="AF25" s="6">
        <v>0.04</v>
      </c>
      <c r="AG25" s="6"/>
      <c r="AI25" s="24">
        <v>43285</v>
      </c>
      <c r="AJ25" s="39"/>
      <c r="AK25" s="41">
        <f t="shared" si="4"/>
        <v>44763</v>
      </c>
      <c r="AL25" s="42">
        <v>3.9140000000000001E-2</v>
      </c>
      <c r="AN25" s="1"/>
      <c r="AR25" s="13">
        <v>44085</v>
      </c>
      <c r="AS25" s="15">
        <v>0</v>
      </c>
      <c r="AT25" s="18">
        <v>0</v>
      </c>
      <c r="AU25" s="16">
        <v>0</v>
      </c>
      <c r="AV25" s="13">
        <v>44085</v>
      </c>
      <c r="AW25" s="15">
        <v>0</v>
      </c>
      <c r="AX25" s="18">
        <v>0</v>
      </c>
      <c r="AY25" s="16">
        <v>0</v>
      </c>
      <c r="BA25" s="7">
        <v>0.25</v>
      </c>
      <c r="BB25" s="20">
        <v>0</v>
      </c>
      <c r="BD25" s="7">
        <v>0.25</v>
      </c>
      <c r="BE25" s="21">
        <v>0</v>
      </c>
      <c r="BG25" s="7">
        <v>0.25</v>
      </c>
      <c r="BH25" s="19">
        <v>0</v>
      </c>
      <c r="BJ25" s="7">
        <v>0.5</v>
      </c>
      <c r="BK25" s="21">
        <v>0</v>
      </c>
      <c r="BM25" s="7">
        <v>0.5</v>
      </c>
      <c r="BN25" s="21">
        <v>0</v>
      </c>
      <c r="BP25" s="7">
        <v>0.5</v>
      </c>
      <c r="BQ25" s="21">
        <v>0</v>
      </c>
    </row>
    <row r="26" spans="1:69" x14ac:dyDescent="0.35">
      <c r="A26" s="3">
        <f t="shared" si="2"/>
        <v>26</v>
      </c>
      <c r="B26" s="1">
        <v>3</v>
      </c>
      <c r="C26" s="2">
        <v>4.2499999999999996E-2</v>
      </c>
      <c r="D26" s="1">
        <v>3</v>
      </c>
      <c r="E26" s="2">
        <v>4.2499999999999996E-2</v>
      </c>
      <c r="G26" s="45">
        <v>43718</v>
      </c>
      <c r="H26" s="45">
        <v>43809</v>
      </c>
      <c r="I26" s="45">
        <v>43718</v>
      </c>
      <c r="J26" s="45">
        <v>43809</v>
      </c>
      <c r="K26" s="45">
        <v>43810</v>
      </c>
      <c r="L26" s="5">
        <v>1</v>
      </c>
      <c r="M26" s="6">
        <v>0</v>
      </c>
      <c r="N26" s="6"/>
      <c r="P26" s="24">
        <v>43227</v>
      </c>
      <c r="R26" s="41">
        <f t="shared" si="3"/>
        <v>44764</v>
      </c>
      <c r="S26" s="42">
        <v>3.09E-2</v>
      </c>
      <c r="U26" s="1">
        <v>7</v>
      </c>
      <c r="V26" s="2">
        <v>4.4120000000000006E-2</v>
      </c>
      <c r="W26" s="1">
        <v>7</v>
      </c>
      <c r="X26" s="2">
        <v>4.4120000000000006E-2</v>
      </c>
      <c r="Z26" s="45">
        <v>43718</v>
      </c>
      <c r="AA26" s="45">
        <v>43809</v>
      </c>
      <c r="AB26" s="45">
        <v>43718</v>
      </c>
      <c r="AC26" s="45">
        <v>43809</v>
      </c>
      <c r="AD26" s="45">
        <v>43809</v>
      </c>
      <c r="AE26" s="5">
        <v>0</v>
      </c>
      <c r="AF26" s="6">
        <v>0.04</v>
      </c>
      <c r="AG26" s="6"/>
      <c r="AI26" s="24">
        <v>43346</v>
      </c>
      <c r="AJ26" s="39"/>
      <c r="AK26" s="41">
        <f t="shared" si="4"/>
        <v>44764</v>
      </c>
      <c r="AL26" s="42">
        <v>3.9140000000000001E-2</v>
      </c>
      <c r="AN26" s="1"/>
      <c r="AR26" s="13">
        <v>44176</v>
      </c>
      <c r="AS26" s="15">
        <v>0</v>
      </c>
      <c r="AT26" s="18">
        <v>0</v>
      </c>
      <c r="AU26" s="16">
        <v>0</v>
      </c>
      <c r="AV26" s="13">
        <v>44176</v>
      </c>
      <c r="AW26" s="15">
        <v>0</v>
      </c>
      <c r="AX26" s="18">
        <v>0</v>
      </c>
      <c r="AY26" s="16">
        <v>0</v>
      </c>
      <c r="BA26" s="7">
        <v>0.5</v>
      </c>
      <c r="BB26" s="20">
        <v>0</v>
      </c>
      <c r="BD26" s="7">
        <v>0.5</v>
      </c>
      <c r="BE26" s="21">
        <v>0</v>
      </c>
      <c r="BG26" s="7">
        <v>0.5</v>
      </c>
      <c r="BH26" s="19">
        <v>0</v>
      </c>
      <c r="BJ26" s="7">
        <v>1</v>
      </c>
      <c r="BK26" s="21">
        <v>0</v>
      </c>
      <c r="BM26" s="7">
        <v>1</v>
      </c>
      <c r="BN26" s="21">
        <v>0</v>
      </c>
      <c r="BP26" s="7">
        <v>1</v>
      </c>
      <c r="BQ26" s="21">
        <v>0</v>
      </c>
    </row>
    <row r="27" spans="1:69" x14ac:dyDescent="0.35">
      <c r="A27" s="3">
        <f t="shared" si="2"/>
        <v>27</v>
      </c>
      <c r="B27" s="1">
        <v>4</v>
      </c>
      <c r="C27" s="2">
        <v>4.3450000000000003E-2</v>
      </c>
      <c r="D27" s="1">
        <v>4</v>
      </c>
      <c r="E27" s="2">
        <v>4.3450000000000003E-2</v>
      </c>
      <c r="G27" s="45">
        <v>43809</v>
      </c>
      <c r="H27" s="45">
        <v>43900</v>
      </c>
      <c r="I27" s="45">
        <v>43809</v>
      </c>
      <c r="J27" s="45">
        <v>43900</v>
      </c>
      <c r="K27" s="45">
        <v>43901</v>
      </c>
      <c r="L27" s="5">
        <v>1</v>
      </c>
      <c r="M27" s="6">
        <v>0</v>
      </c>
      <c r="N27" s="6"/>
      <c r="P27" s="24">
        <v>43242</v>
      </c>
      <c r="R27" s="41">
        <f t="shared" si="3"/>
        <v>44765</v>
      </c>
      <c r="S27" s="42">
        <v>3.09E-2</v>
      </c>
      <c r="U27" s="1">
        <v>10</v>
      </c>
      <c r="V27" s="2">
        <v>4.2840000000000003E-2</v>
      </c>
      <c r="W27" s="1">
        <v>10</v>
      </c>
      <c r="X27" s="2">
        <v>4.2840000000000003E-2</v>
      </c>
      <c r="Z27" s="45">
        <v>43809</v>
      </c>
      <c r="AA27" s="45">
        <v>43900</v>
      </c>
      <c r="AB27" s="45">
        <v>43809</v>
      </c>
      <c r="AC27" s="45">
        <v>43900</v>
      </c>
      <c r="AD27" s="45">
        <v>43900</v>
      </c>
      <c r="AE27" s="5">
        <v>0</v>
      </c>
      <c r="AF27" s="6">
        <v>0.04</v>
      </c>
      <c r="AG27" s="6"/>
      <c r="AI27" s="24">
        <v>43381</v>
      </c>
      <c r="AJ27" s="39"/>
      <c r="AK27" s="41">
        <f t="shared" si="4"/>
        <v>44765</v>
      </c>
      <c r="AL27" s="42">
        <v>3.9140000000000001E-2</v>
      </c>
      <c r="AN27" s="1"/>
      <c r="AR27" s="13">
        <v>44266</v>
      </c>
      <c r="AS27" s="15">
        <v>0</v>
      </c>
      <c r="AT27" s="18">
        <v>0</v>
      </c>
      <c r="AU27" s="16">
        <v>0</v>
      </c>
      <c r="AV27" s="13">
        <v>44266</v>
      </c>
      <c r="AW27" s="15">
        <v>0</v>
      </c>
      <c r="AX27" s="18">
        <v>0</v>
      </c>
      <c r="AY27" s="16">
        <v>0</v>
      </c>
      <c r="BA27" s="7">
        <v>1</v>
      </c>
      <c r="BB27" s="20">
        <v>0</v>
      </c>
      <c r="BD27" s="7">
        <v>1</v>
      </c>
      <c r="BE27" s="21">
        <v>0</v>
      </c>
      <c r="BG27" s="7">
        <v>1</v>
      </c>
      <c r="BH27" s="19">
        <v>0</v>
      </c>
      <c r="BJ27" s="7">
        <v>2</v>
      </c>
      <c r="BK27" s="21">
        <v>0</v>
      </c>
      <c r="BM27" s="7">
        <v>2</v>
      </c>
      <c r="BN27" s="21">
        <v>0</v>
      </c>
      <c r="BP27" s="7">
        <v>2</v>
      </c>
      <c r="BQ27" s="21">
        <v>0</v>
      </c>
    </row>
    <row r="28" spans="1:69" x14ac:dyDescent="0.35">
      <c r="A28" s="3">
        <f t="shared" si="2"/>
        <v>28</v>
      </c>
      <c r="B28" s="1">
        <v>5</v>
      </c>
      <c r="C28" s="2">
        <v>4.2889999999999998E-2</v>
      </c>
      <c r="D28" s="1">
        <v>5</v>
      </c>
      <c r="E28" s="2">
        <v>4.2889999999999998E-2</v>
      </c>
      <c r="G28" s="45">
        <v>43900</v>
      </c>
      <c r="H28" s="45">
        <v>43992</v>
      </c>
      <c r="I28" s="45">
        <v>43900</v>
      </c>
      <c r="J28" s="45">
        <v>43992</v>
      </c>
      <c r="K28" s="45">
        <v>43993</v>
      </c>
      <c r="L28" s="5">
        <v>1</v>
      </c>
      <c r="M28" s="6">
        <v>0</v>
      </c>
      <c r="N28" s="6"/>
      <c r="P28" s="24">
        <v>43257</v>
      </c>
      <c r="R28" s="41">
        <f t="shared" si="3"/>
        <v>44766</v>
      </c>
      <c r="S28" s="42">
        <v>3.09E-2</v>
      </c>
      <c r="U28" s="1">
        <v>20</v>
      </c>
      <c r="V28" s="54">
        <v>4.5839999999999999E-2</v>
      </c>
      <c r="W28" s="1">
        <v>20</v>
      </c>
      <c r="X28" s="2">
        <v>4.5839999999999999E-2</v>
      </c>
      <c r="Z28" s="45">
        <v>43900</v>
      </c>
      <c r="AA28" s="45">
        <v>43992</v>
      </c>
      <c r="AB28" s="45">
        <v>43900</v>
      </c>
      <c r="AC28" s="45">
        <v>43992</v>
      </c>
      <c r="AD28" s="45">
        <v>43992</v>
      </c>
      <c r="AE28" s="5">
        <v>0</v>
      </c>
      <c r="AF28" s="6">
        <v>0.04</v>
      </c>
      <c r="AG28" s="6"/>
      <c r="AI28" s="24">
        <v>43416</v>
      </c>
      <c r="AJ28" s="39"/>
      <c r="AK28" s="41">
        <f t="shared" si="4"/>
        <v>44766</v>
      </c>
      <c r="AL28" s="42">
        <v>3.9140000000000001E-2</v>
      </c>
      <c r="AN28" s="1"/>
      <c r="AR28" s="13">
        <v>44358</v>
      </c>
      <c r="AS28" s="15">
        <v>0</v>
      </c>
      <c r="AT28" s="18">
        <v>0</v>
      </c>
      <c r="AU28" s="16">
        <v>0</v>
      </c>
      <c r="AV28" s="13">
        <v>44358</v>
      </c>
      <c r="AW28" s="15">
        <v>0</v>
      </c>
      <c r="AX28" s="18">
        <v>0</v>
      </c>
      <c r="AY28" s="16">
        <v>0</v>
      </c>
      <c r="BA28" s="7">
        <v>1.5</v>
      </c>
      <c r="BB28" s="20">
        <v>0</v>
      </c>
      <c r="BD28" s="7">
        <v>1.5</v>
      </c>
      <c r="BE28" s="21">
        <v>0</v>
      </c>
      <c r="BG28" s="7">
        <v>1.5</v>
      </c>
      <c r="BH28" s="19">
        <v>0</v>
      </c>
      <c r="BJ28" s="7">
        <v>3</v>
      </c>
      <c r="BK28" s="21">
        <v>0</v>
      </c>
      <c r="BM28" s="7">
        <v>3</v>
      </c>
      <c r="BN28" s="21">
        <v>0</v>
      </c>
      <c r="BP28" s="7">
        <v>3</v>
      </c>
      <c r="BQ28" s="21">
        <v>0</v>
      </c>
    </row>
    <row r="29" spans="1:69" x14ac:dyDescent="0.35">
      <c r="A29" s="3">
        <f t="shared" si="2"/>
        <v>29</v>
      </c>
      <c r="B29" s="1">
        <v>10</v>
      </c>
      <c r="C29" s="2">
        <v>4.274E-2</v>
      </c>
      <c r="D29" s="1">
        <v>10</v>
      </c>
      <c r="E29" s="2">
        <v>4.274E-2</v>
      </c>
      <c r="G29" s="45">
        <v>43992</v>
      </c>
      <c r="H29" s="45">
        <v>44084</v>
      </c>
      <c r="I29" s="45">
        <v>43992</v>
      </c>
      <c r="J29" s="45">
        <v>44084</v>
      </c>
      <c r="K29" s="45">
        <v>44085</v>
      </c>
      <c r="L29" s="5">
        <v>1</v>
      </c>
      <c r="M29" s="6">
        <v>0</v>
      </c>
      <c r="N29" s="6"/>
      <c r="P29" s="24">
        <v>43327</v>
      </c>
      <c r="R29" s="41">
        <f t="shared" si="3"/>
        <v>44767</v>
      </c>
      <c r="S29" s="42">
        <v>3.09E-2</v>
      </c>
      <c r="U29" s="1">
        <v>30</v>
      </c>
      <c r="V29" s="54">
        <v>4.684E-2</v>
      </c>
      <c r="W29" s="1">
        <v>30</v>
      </c>
      <c r="X29" s="54">
        <v>4.684E-2</v>
      </c>
      <c r="Z29" s="45">
        <v>43992</v>
      </c>
      <c r="AA29" s="45">
        <v>44084</v>
      </c>
      <c r="AB29" s="45">
        <v>43992</v>
      </c>
      <c r="AC29" s="45">
        <v>44084</v>
      </c>
      <c r="AD29" s="45">
        <v>44084</v>
      </c>
      <c r="AE29" s="5">
        <v>0</v>
      </c>
      <c r="AF29" s="6">
        <v>0.04</v>
      </c>
      <c r="AG29" s="6"/>
      <c r="AI29" s="24">
        <v>43426</v>
      </c>
      <c r="AJ29" s="39"/>
      <c r="AK29" s="41">
        <f t="shared" si="4"/>
        <v>44767</v>
      </c>
      <c r="AL29" s="42">
        <v>3.9140000000000001E-2</v>
      </c>
      <c r="AN29" s="1"/>
      <c r="AR29" s="13">
        <v>44450</v>
      </c>
      <c r="AS29" s="15">
        <v>0</v>
      </c>
      <c r="AT29" s="18">
        <v>0</v>
      </c>
      <c r="AU29" s="16">
        <v>0</v>
      </c>
      <c r="AV29" s="13">
        <v>44450</v>
      </c>
      <c r="AW29" s="15">
        <v>0</v>
      </c>
      <c r="AX29" s="18">
        <v>0</v>
      </c>
      <c r="AY29" s="16">
        <v>0</v>
      </c>
      <c r="BA29" s="7">
        <v>2</v>
      </c>
      <c r="BB29" s="20">
        <v>0</v>
      </c>
      <c r="BD29" s="7">
        <v>2</v>
      </c>
      <c r="BE29" s="21">
        <v>0</v>
      </c>
      <c r="BG29" s="7">
        <v>2</v>
      </c>
      <c r="BH29" s="19">
        <v>0</v>
      </c>
      <c r="BJ29" s="7">
        <v>5</v>
      </c>
      <c r="BK29" s="21">
        <v>0</v>
      </c>
      <c r="BM29" s="7">
        <v>5</v>
      </c>
      <c r="BN29" s="21">
        <v>0</v>
      </c>
      <c r="BP29" s="7">
        <v>5</v>
      </c>
      <c r="BQ29" s="21">
        <v>0</v>
      </c>
    </row>
    <row r="30" spans="1:69" x14ac:dyDescent="0.35">
      <c r="A30" s="3">
        <f t="shared" si="2"/>
        <v>30</v>
      </c>
      <c r="B30" s="1">
        <v>20</v>
      </c>
      <c r="C30" s="2">
        <v>4.1399999999999992E-2</v>
      </c>
      <c r="D30" s="1">
        <v>20</v>
      </c>
      <c r="E30" s="2">
        <v>4.1399999999999992E-2</v>
      </c>
      <c r="G30" s="45">
        <v>44084</v>
      </c>
      <c r="H30" s="45">
        <v>44175</v>
      </c>
      <c r="I30" s="45">
        <v>44084</v>
      </c>
      <c r="J30" s="45">
        <v>44175</v>
      </c>
      <c r="K30" s="45">
        <v>44176</v>
      </c>
      <c r="L30" s="5">
        <v>1</v>
      </c>
      <c r="M30" s="6">
        <v>0</v>
      </c>
      <c r="N30" s="6"/>
      <c r="P30" s="24">
        <v>43367</v>
      </c>
      <c r="R30" s="41">
        <f t="shared" si="3"/>
        <v>44768</v>
      </c>
      <c r="S30" s="42">
        <v>3.09E-2</v>
      </c>
      <c r="U30" s="1"/>
      <c r="V30" s="54"/>
      <c r="W30" s="1"/>
      <c r="X30" s="54"/>
      <c r="Z30" s="45">
        <v>44084</v>
      </c>
      <c r="AA30" s="45">
        <v>44175</v>
      </c>
      <c r="AB30" s="45">
        <v>44084</v>
      </c>
      <c r="AC30" s="45">
        <v>44175</v>
      </c>
      <c r="AD30" s="45">
        <v>44175</v>
      </c>
      <c r="AE30" s="5">
        <v>0</v>
      </c>
      <c r="AF30" s="6">
        <v>0.04</v>
      </c>
      <c r="AG30" s="6"/>
      <c r="AI30" s="24">
        <v>43459</v>
      </c>
      <c r="AJ30" s="39"/>
      <c r="AK30" s="41">
        <f t="shared" si="4"/>
        <v>44768</v>
      </c>
      <c r="AL30" s="42">
        <v>3.9140000000000001E-2</v>
      </c>
      <c r="AN30" s="1"/>
      <c r="AR30" s="13">
        <v>44541</v>
      </c>
      <c r="AS30" s="15">
        <v>0</v>
      </c>
      <c r="AT30" s="18">
        <v>0</v>
      </c>
      <c r="AU30" s="16">
        <v>0</v>
      </c>
      <c r="AV30" s="13">
        <v>44541</v>
      </c>
      <c r="AW30" s="15">
        <v>0</v>
      </c>
      <c r="AX30" s="18">
        <v>0</v>
      </c>
      <c r="AY30" s="16">
        <v>0</v>
      </c>
      <c r="BA30" s="7">
        <v>3</v>
      </c>
      <c r="BB30" s="20">
        <v>0</v>
      </c>
      <c r="BD30" s="7">
        <v>3</v>
      </c>
      <c r="BE30" s="21">
        <v>0</v>
      </c>
      <c r="BG30" s="7">
        <v>3</v>
      </c>
      <c r="BH30" s="19">
        <v>0</v>
      </c>
      <c r="BJ30" s="7">
        <v>7</v>
      </c>
      <c r="BK30" s="21">
        <v>0</v>
      </c>
      <c r="BM30" s="7">
        <v>7</v>
      </c>
      <c r="BN30" s="21">
        <v>0</v>
      </c>
      <c r="BP30" s="7">
        <v>7</v>
      </c>
      <c r="BQ30" s="21">
        <v>0</v>
      </c>
    </row>
    <row r="31" spans="1:69" x14ac:dyDescent="0.35">
      <c r="A31" s="3">
        <f t="shared" si="2"/>
        <v>31</v>
      </c>
      <c r="B31" s="1">
        <v>30</v>
      </c>
      <c r="C31" s="54">
        <v>4.0489999999999998E-2</v>
      </c>
      <c r="D31" s="1">
        <v>30</v>
      </c>
      <c r="E31" s="54">
        <v>4.0489999999999998E-2</v>
      </c>
      <c r="G31" s="45">
        <v>44175</v>
      </c>
      <c r="H31" s="45">
        <v>44265</v>
      </c>
      <c r="I31" s="45">
        <v>44175</v>
      </c>
      <c r="J31" s="45">
        <v>44265</v>
      </c>
      <c r="K31" s="45">
        <v>44266</v>
      </c>
      <c r="L31" s="5">
        <v>1</v>
      </c>
      <c r="M31" s="6">
        <v>0</v>
      </c>
      <c r="N31" s="6"/>
      <c r="P31" s="24">
        <v>43368</v>
      </c>
      <c r="R31" s="41">
        <f t="shared" si="3"/>
        <v>44769</v>
      </c>
      <c r="S31" s="42">
        <v>3.09E-2</v>
      </c>
      <c r="U31" s="1"/>
      <c r="V31" s="54"/>
      <c r="W31" s="1"/>
      <c r="X31" s="54"/>
      <c r="Z31" s="45">
        <v>44175</v>
      </c>
      <c r="AA31" s="45">
        <v>44265</v>
      </c>
      <c r="AB31" s="45">
        <v>44175</v>
      </c>
      <c r="AC31" s="45">
        <v>44265</v>
      </c>
      <c r="AD31" s="45">
        <v>44265</v>
      </c>
      <c r="AE31" s="5">
        <v>0</v>
      </c>
      <c r="AF31" s="6">
        <v>0.04</v>
      </c>
      <c r="AG31" s="6"/>
      <c r="AI31" s="24">
        <v>43466</v>
      </c>
      <c r="AJ31" s="39"/>
      <c r="AK31" s="41">
        <f t="shared" si="4"/>
        <v>44769</v>
      </c>
      <c r="AL31" s="42">
        <v>3.9140000000000001E-2</v>
      </c>
      <c r="AR31" s="13">
        <v>44631</v>
      </c>
      <c r="AS31" s="15">
        <v>0</v>
      </c>
      <c r="AT31" s="18">
        <v>0</v>
      </c>
      <c r="AU31" s="16">
        <v>0</v>
      </c>
      <c r="AV31" s="13">
        <v>44631</v>
      </c>
      <c r="AW31" s="15">
        <v>0</v>
      </c>
      <c r="AX31" s="18">
        <v>0</v>
      </c>
      <c r="AY31" s="16">
        <v>0</v>
      </c>
      <c r="BA31" s="7">
        <v>4</v>
      </c>
      <c r="BB31" s="20">
        <v>0</v>
      </c>
      <c r="BD31" s="7">
        <v>4</v>
      </c>
      <c r="BE31" s="21">
        <v>0</v>
      </c>
      <c r="BG31" s="7">
        <v>4</v>
      </c>
      <c r="BH31" s="19">
        <v>0</v>
      </c>
      <c r="BJ31" s="7">
        <v>10</v>
      </c>
      <c r="BK31" s="21">
        <v>0</v>
      </c>
      <c r="BM31" s="7">
        <v>10</v>
      </c>
      <c r="BN31" s="21">
        <v>0</v>
      </c>
      <c r="BP31" s="7">
        <v>10</v>
      </c>
      <c r="BQ31" s="21">
        <v>0</v>
      </c>
    </row>
    <row r="32" spans="1:69" x14ac:dyDescent="0.35">
      <c r="A32" s="3">
        <f t="shared" si="2"/>
        <v>32</v>
      </c>
      <c r="B32" s="1"/>
      <c r="C32" s="54"/>
      <c r="D32" s="1"/>
      <c r="E32" s="54"/>
      <c r="G32" s="45">
        <v>44265</v>
      </c>
      <c r="H32" s="45">
        <v>44357</v>
      </c>
      <c r="I32" s="45">
        <v>44265</v>
      </c>
      <c r="J32" s="45">
        <v>44357</v>
      </c>
      <c r="K32" s="45">
        <v>44358</v>
      </c>
      <c r="L32" s="5">
        <v>1</v>
      </c>
      <c r="M32" s="6">
        <v>0</v>
      </c>
      <c r="N32" s="6"/>
      <c r="P32" s="24">
        <v>43369</v>
      </c>
      <c r="R32" s="41">
        <f t="shared" si="3"/>
        <v>44770</v>
      </c>
      <c r="S32" s="42">
        <v>3.09E-2</v>
      </c>
      <c r="U32" s="1"/>
      <c r="V32" s="54"/>
      <c r="W32" s="1"/>
      <c r="X32" s="54"/>
      <c r="Z32" s="45">
        <v>44265</v>
      </c>
      <c r="AA32" s="45">
        <v>44357</v>
      </c>
      <c r="AB32" s="45">
        <v>44265</v>
      </c>
      <c r="AC32" s="45">
        <v>44357</v>
      </c>
      <c r="AD32" s="45">
        <v>44357</v>
      </c>
      <c r="AE32" s="5">
        <v>0</v>
      </c>
      <c r="AF32" s="6">
        <v>0.04</v>
      </c>
      <c r="AG32" s="6"/>
      <c r="AI32" s="24">
        <v>43486</v>
      </c>
      <c r="AJ32" s="39"/>
      <c r="AK32" s="41">
        <f t="shared" si="4"/>
        <v>44770</v>
      </c>
      <c r="AL32" s="42">
        <v>3.9140000000000001E-2</v>
      </c>
      <c r="AR32" s="13">
        <v>44723</v>
      </c>
      <c r="AS32" s="15">
        <v>0</v>
      </c>
      <c r="AT32" s="18">
        <v>0</v>
      </c>
      <c r="AU32" s="16">
        <v>0</v>
      </c>
      <c r="AV32" s="13">
        <v>44723</v>
      </c>
      <c r="AW32" s="15">
        <v>0</v>
      </c>
      <c r="AX32" s="18">
        <v>0</v>
      </c>
      <c r="AY32" s="16">
        <v>0</v>
      </c>
      <c r="BA32" s="7">
        <v>5</v>
      </c>
      <c r="BB32" s="20">
        <v>0</v>
      </c>
      <c r="BD32" s="7">
        <v>5</v>
      </c>
      <c r="BE32" s="21">
        <v>0</v>
      </c>
      <c r="BG32" s="7">
        <v>5</v>
      </c>
      <c r="BH32" s="19">
        <v>0</v>
      </c>
      <c r="BJ32" s="7">
        <v>20</v>
      </c>
      <c r="BK32" s="21">
        <v>0</v>
      </c>
      <c r="BM32" s="7">
        <v>20</v>
      </c>
      <c r="BN32" s="21">
        <v>0</v>
      </c>
      <c r="BP32" s="7">
        <v>20</v>
      </c>
      <c r="BQ32" s="21">
        <v>0</v>
      </c>
    </row>
    <row r="33" spans="1:69" x14ac:dyDescent="0.35">
      <c r="A33" s="3">
        <f t="shared" si="2"/>
        <v>33</v>
      </c>
      <c r="B33" s="1"/>
      <c r="C33" s="54"/>
      <c r="D33" s="1"/>
      <c r="E33" s="54"/>
      <c r="G33" s="45">
        <v>44357</v>
      </c>
      <c r="H33" s="45">
        <v>44449</v>
      </c>
      <c r="I33" s="45">
        <v>44357</v>
      </c>
      <c r="J33" s="45">
        <v>44449</v>
      </c>
      <c r="K33" s="45">
        <v>44452</v>
      </c>
      <c r="L33" s="5">
        <v>1</v>
      </c>
      <c r="M33" s="6">
        <v>0</v>
      </c>
      <c r="N33" s="6"/>
      <c r="P33" s="24">
        <v>43376</v>
      </c>
      <c r="R33" s="41">
        <f t="shared" si="3"/>
        <v>44771</v>
      </c>
      <c r="S33" s="42">
        <v>3.09E-2</v>
      </c>
      <c r="U33" s="1"/>
      <c r="V33" s="54"/>
      <c r="W33" s="1"/>
      <c r="X33" s="54"/>
      <c r="Z33" s="45">
        <v>44357</v>
      </c>
      <c r="AA33" s="45">
        <v>44449</v>
      </c>
      <c r="AB33" s="45">
        <v>44357</v>
      </c>
      <c r="AC33" s="45">
        <v>44449</v>
      </c>
      <c r="AD33" s="45">
        <v>44449</v>
      </c>
      <c r="AE33" s="5">
        <v>0</v>
      </c>
      <c r="AF33" s="6">
        <v>0.04</v>
      </c>
      <c r="AG33" s="6"/>
      <c r="AI33" s="24">
        <v>43514</v>
      </c>
      <c r="AJ33" s="39"/>
      <c r="AK33" s="41">
        <f t="shared" si="4"/>
        <v>44771</v>
      </c>
      <c r="AL33" s="42">
        <v>3.9140000000000001E-2</v>
      </c>
      <c r="AR33" s="13">
        <v>44815</v>
      </c>
      <c r="AS33" s="15">
        <v>0</v>
      </c>
      <c r="AT33" s="18">
        <v>0</v>
      </c>
      <c r="AU33" s="16">
        <v>0</v>
      </c>
      <c r="AV33" s="13">
        <v>44815</v>
      </c>
      <c r="AW33" s="15">
        <v>0</v>
      </c>
      <c r="AX33" s="18">
        <v>0</v>
      </c>
      <c r="AY33" s="16">
        <v>0</v>
      </c>
      <c r="BA33" s="7">
        <v>10</v>
      </c>
      <c r="BB33" s="20">
        <v>0</v>
      </c>
      <c r="BD33" s="7">
        <v>10</v>
      </c>
      <c r="BE33" s="21">
        <v>0</v>
      </c>
      <c r="BG33" s="7">
        <v>10</v>
      </c>
      <c r="BH33" s="19">
        <v>0</v>
      </c>
      <c r="BJ33" s="7">
        <v>30</v>
      </c>
      <c r="BK33" s="21">
        <v>0</v>
      </c>
      <c r="BM33" s="7">
        <v>30</v>
      </c>
      <c r="BN33" s="21">
        <v>0</v>
      </c>
      <c r="BP33" s="7">
        <v>30</v>
      </c>
      <c r="BQ33" s="21">
        <v>0</v>
      </c>
    </row>
    <row r="34" spans="1:69" x14ac:dyDescent="0.35">
      <c r="A34" s="3">
        <f t="shared" si="2"/>
        <v>34</v>
      </c>
      <c r="G34" s="45">
        <v>44449</v>
      </c>
      <c r="H34" s="45">
        <v>44540</v>
      </c>
      <c r="I34" s="45">
        <v>44449</v>
      </c>
      <c r="J34" s="45">
        <v>44540</v>
      </c>
      <c r="K34" s="45">
        <v>44543</v>
      </c>
      <c r="L34" s="5">
        <v>1</v>
      </c>
      <c r="M34" s="6">
        <v>0</v>
      </c>
      <c r="N34" s="6"/>
      <c r="P34" s="24">
        <v>43382</v>
      </c>
      <c r="R34" s="41">
        <f t="shared" si="3"/>
        <v>44772</v>
      </c>
      <c r="S34" s="42">
        <v>3.09E-2</v>
      </c>
      <c r="Z34" s="45">
        <v>44449</v>
      </c>
      <c r="AA34" s="45">
        <v>44540</v>
      </c>
      <c r="AB34" s="45">
        <v>44449</v>
      </c>
      <c r="AC34" s="45">
        <v>44540</v>
      </c>
      <c r="AD34" s="45">
        <v>44540</v>
      </c>
      <c r="AE34" s="5">
        <v>0</v>
      </c>
      <c r="AF34" s="6">
        <v>0.04</v>
      </c>
      <c r="AG34" s="6"/>
      <c r="AI34" s="24">
        <v>43612</v>
      </c>
      <c r="AJ34" s="39"/>
      <c r="AK34" s="41">
        <f t="shared" si="4"/>
        <v>44772</v>
      </c>
      <c r="AL34" s="42">
        <v>3.9140000000000001E-2</v>
      </c>
      <c r="AR34" s="13">
        <v>44906</v>
      </c>
      <c r="AS34" s="15">
        <v>3.2056379210333261E-2</v>
      </c>
      <c r="AT34" s="18">
        <v>79043126.819999814</v>
      </c>
      <c r="AU34" s="16">
        <v>0.99489502443614453</v>
      </c>
      <c r="AV34" s="13">
        <v>44906</v>
      </c>
      <c r="AW34" s="15">
        <v>4.2362141574658618E-2</v>
      </c>
      <c r="AX34" s="18">
        <v>100000000</v>
      </c>
      <c r="AY34" s="16">
        <v>0.99332615053886586</v>
      </c>
      <c r="BA34" s="7">
        <v>20</v>
      </c>
      <c r="BB34" s="20">
        <v>0</v>
      </c>
      <c r="BD34" s="7">
        <v>20</v>
      </c>
      <c r="BE34" s="21">
        <v>0</v>
      </c>
      <c r="BG34" s="7">
        <v>20</v>
      </c>
      <c r="BH34" s="19">
        <v>0</v>
      </c>
      <c r="BJ34" s="7"/>
      <c r="BK34" s="21"/>
      <c r="BM34" s="7"/>
      <c r="BN34" s="21"/>
      <c r="BP34" s="7"/>
      <c r="BQ34" s="21"/>
    </row>
    <row r="35" spans="1:69" x14ac:dyDescent="0.35">
      <c r="A35" s="3">
        <f t="shared" si="2"/>
        <v>35</v>
      </c>
      <c r="G35" s="45">
        <v>44540</v>
      </c>
      <c r="H35" s="45">
        <v>44630</v>
      </c>
      <c r="I35" s="45">
        <v>44540</v>
      </c>
      <c r="J35" s="45">
        <v>44630</v>
      </c>
      <c r="K35" s="45">
        <v>44631</v>
      </c>
      <c r="L35" s="5">
        <v>1</v>
      </c>
      <c r="M35" s="6">
        <v>0</v>
      </c>
      <c r="N35" s="6"/>
      <c r="P35" s="24">
        <v>43459</v>
      </c>
      <c r="R35" s="41">
        <f t="shared" si="3"/>
        <v>44773</v>
      </c>
      <c r="S35" s="42">
        <v>3.09E-2</v>
      </c>
      <c r="Z35" s="45">
        <v>44540</v>
      </c>
      <c r="AA35" s="45">
        <v>44630</v>
      </c>
      <c r="AB35" s="45">
        <v>44540</v>
      </c>
      <c r="AC35" s="45">
        <v>44630</v>
      </c>
      <c r="AD35" s="45">
        <v>44630</v>
      </c>
      <c r="AE35" s="5">
        <v>0</v>
      </c>
      <c r="AF35" s="6">
        <v>0.04</v>
      </c>
      <c r="AG35" s="6"/>
      <c r="AI35" s="24">
        <v>43635</v>
      </c>
      <c r="AJ35" s="39"/>
      <c r="AK35" s="41">
        <f t="shared" si="4"/>
        <v>44773</v>
      </c>
      <c r="AL35" s="42">
        <v>3.9140000000000001E-2</v>
      </c>
      <c r="AR35" s="13">
        <v>44996</v>
      </c>
      <c r="AS35" s="15">
        <v>3.3917383976471524E-2</v>
      </c>
      <c r="AT35" s="18">
        <v>81773418.90217793</v>
      </c>
      <c r="AU35" s="16">
        <v>0.9866428880365794</v>
      </c>
      <c r="AV35" s="13">
        <v>44996</v>
      </c>
      <c r="AW35" s="15">
        <v>4.5345413633733268E-2</v>
      </c>
      <c r="AX35" s="18">
        <v>100000000</v>
      </c>
      <c r="AY35" s="16">
        <v>0.98232473119818331</v>
      </c>
      <c r="BA35" s="7">
        <v>30</v>
      </c>
      <c r="BB35" s="20">
        <v>0</v>
      </c>
      <c r="BD35" s="7">
        <v>30</v>
      </c>
      <c r="BE35" s="21">
        <v>0</v>
      </c>
      <c r="BG35" s="7">
        <v>30</v>
      </c>
      <c r="BH35" s="19">
        <v>0</v>
      </c>
      <c r="BJ35" s="7"/>
      <c r="BK35" s="21"/>
      <c r="BM35" s="7"/>
      <c r="BN35" s="21"/>
      <c r="BP35" s="7"/>
      <c r="BQ35" s="21"/>
    </row>
    <row r="36" spans="1:69" x14ac:dyDescent="0.35">
      <c r="A36" s="3">
        <f t="shared" si="2"/>
        <v>36</v>
      </c>
      <c r="G36" s="45">
        <v>44630</v>
      </c>
      <c r="H36" s="45">
        <v>44722</v>
      </c>
      <c r="I36" s="45">
        <v>44630</v>
      </c>
      <c r="J36" s="45">
        <v>44722</v>
      </c>
      <c r="K36" s="45">
        <v>44725</v>
      </c>
      <c r="L36" s="5">
        <v>1</v>
      </c>
      <c r="M36" s="6">
        <v>0</v>
      </c>
      <c r="N36" s="6"/>
      <c r="P36" s="24">
        <v>43466</v>
      </c>
      <c r="R36" s="41">
        <f t="shared" si="3"/>
        <v>44774</v>
      </c>
      <c r="S36" s="42">
        <v>3.09E-2</v>
      </c>
      <c r="Z36" s="45">
        <v>44630</v>
      </c>
      <c r="AA36" s="45">
        <v>44722</v>
      </c>
      <c r="AB36" s="45">
        <v>44630</v>
      </c>
      <c r="AC36" s="45">
        <v>44722</v>
      </c>
      <c r="AD36" s="45">
        <v>44722</v>
      </c>
      <c r="AE36" s="5">
        <v>0</v>
      </c>
      <c r="AF36" s="6">
        <v>0.04</v>
      </c>
      <c r="AG36" s="6"/>
      <c r="AI36" s="24">
        <v>43650</v>
      </c>
      <c r="AJ36" s="39"/>
      <c r="AK36" s="41">
        <f t="shared" si="4"/>
        <v>44774</v>
      </c>
      <c r="AL36" s="42">
        <v>3.9140000000000001E-2</v>
      </c>
      <c r="AR36" s="13">
        <v>45088</v>
      </c>
      <c r="AS36" s="15">
        <v>3.5028572941710599E-2</v>
      </c>
      <c r="AT36" s="18">
        <v>90210571.411528662</v>
      </c>
      <c r="AU36" s="16">
        <v>0.97800877434194999</v>
      </c>
      <c r="AV36" s="13">
        <v>45088</v>
      </c>
      <c r="AW36" s="15">
        <v>4.975058874579133E-2</v>
      </c>
      <c r="AX36" s="18">
        <v>100000000</v>
      </c>
      <c r="AY36" s="16">
        <v>0.97015532832664342</v>
      </c>
      <c r="BA36" s="7"/>
      <c r="BB36" s="20"/>
      <c r="BD36" s="7"/>
      <c r="BE36" s="21"/>
      <c r="BG36" s="7"/>
      <c r="BH36" s="19"/>
      <c r="BJ36" s="7"/>
      <c r="BK36" s="21"/>
      <c r="BM36" s="7"/>
      <c r="BN36" s="21"/>
      <c r="BP36" s="7"/>
      <c r="BQ36" s="21"/>
    </row>
    <row r="37" spans="1:69" x14ac:dyDescent="0.35">
      <c r="A37" s="3">
        <f t="shared" si="2"/>
        <v>37</v>
      </c>
      <c r="G37" s="45">
        <v>44722</v>
      </c>
      <c r="H37" s="45">
        <v>44817</v>
      </c>
      <c r="I37" s="45">
        <v>44722</v>
      </c>
      <c r="J37" s="45">
        <v>44817</v>
      </c>
      <c r="K37" s="45">
        <v>44818</v>
      </c>
      <c r="L37" s="5">
        <v>1</v>
      </c>
      <c r="M37" s="6">
        <v>0</v>
      </c>
      <c r="N37" s="6"/>
      <c r="P37" s="24">
        <v>43500</v>
      </c>
      <c r="R37" s="41">
        <f t="shared" si="3"/>
        <v>44775</v>
      </c>
      <c r="S37" s="42">
        <v>3.09E-2</v>
      </c>
      <c r="Z37" s="45">
        <v>44722</v>
      </c>
      <c r="AA37" s="45">
        <v>44816</v>
      </c>
      <c r="AB37" s="45">
        <v>44722</v>
      </c>
      <c r="AC37" s="45">
        <v>44816</v>
      </c>
      <c r="AD37" s="45">
        <v>44816</v>
      </c>
      <c r="AE37" s="5">
        <v>0</v>
      </c>
      <c r="AF37" s="6">
        <v>0.04</v>
      </c>
      <c r="AG37" s="6"/>
      <c r="AI37" s="24">
        <v>43710</v>
      </c>
      <c r="AJ37" s="39"/>
      <c r="AK37" s="41">
        <f t="shared" si="4"/>
        <v>44775</v>
      </c>
      <c r="AL37" s="42">
        <v>3.9140000000000001E-2</v>
      </c>
      <c r="AR37" s="13">
        <v>45180</v>
      </c>
      <c r="AS37" s="15">
        <v>3.5820123098302049E-2</v>
      </c>
      <c r="AT37" s="18">
        <v>89304964.436862648</v>
      </c>
      <c r="AU37" s="16">
        <v>0.96925862926540185</v>
      </c>
      <c r="AV37" s="13">
        <v>45180</v>
      </c>
      <c r="AW37" s="15">
        <v>5.2041794950073612E-2</v>
      </c>
      <c r="AX37" s="18">
        <v>100000000</v>
      </c>
      <c r="AY37" s="16">
        <v>0.95758597133118672</v>
      </c>
      <c r="BA37" s="7"/>
      <c r="BB37" s="20"/>
      <c r="BD37" s="7"/>
      <c r="BE37" s="21"/>
      <c r="BG37" s="7"/>
      <c r="BH37" s="19"/>
      <c r="BJ37" s="7"/>
      <c r="BK37" s="21"/>
      <c r="BM37" s="7"/>
      <c r="BN37" s="21"/>
      <c r="BP37" s="7"/>
      <c r="BQ37" s="21"/>
    </row>
    <row r="38" spans="1:69" x14ac:dyDescent="0.35">
      <c r="A38" s="3">
        <f t="shared" si="2"/>
        <v>38</v>
      </c>
      <c r="G38" s="45">
        <v>44817</v>
      </c>
      <c r="H38" s="45">
        <v>44907</v>
      </c>
      <c r="I38" s="45">
        <v>44817</v>
      </c>
      <c r="J38" s="45">
        <v>44907</v>
      </c>
      <c r="K38" s="45">
        <v>44908</v>
      </c>
      <c r="L38" s="5">
        <v>1</v>
      </c>
      <c r="M38" s="6">
        <v>0</v>
      </c>
      <c r="N38" s="6"/>
      <c r="P38" s="24">
        <v>43501</v>
      </c>
      <c r="R38" s="41">
        <f t="shared" si="3"/>
        <v>44776</v>
      </c>
      <c r="S38" s="42">
        <v>3.09E-2</v>
      </c>
      <c r="Z38" s="45">
        <v>44816</v>
      </c>
      <c r="AA38" s="45">
        <v>44907</v>
      </c>
      <c r="AB38" s="45">
        <v>44816</v>
      </c>
      <c r="AC38" s="45">
        <v>44907</v>
      </c>
      <c r="AD38" s="45">
        <v>44907</v>
      </c>
      <c r="AE38" s="5">
        <v>0</v>
      </c>
      <c r="AF38" s="6">
        <v>0.04</v>
      </c>
      <c r="AG38" s="6"/>
      <c r="AI38" s="24">
        <v>43752</v>
      </c>
      <c r="AJ38" s="39"/>
      <c r="AK38" s="41">
        <f t="shared" si="4"/>
        <v>44776</v>
      </c>
      <c r="AL38" s="42">
        <v>3.9140000000000001E-2</v>
      </c>
      <c r="AR38" s="13">
        <v>45271</v>
      </c>
      <c r="AS38" s="15">
        <v>4.3521007033992844E-2</v>
      </c>
      <c r="AT38" s="18">
        <v>108504428.49570818</v>
      </c>
      <c r="AU38" s="16">
        <v>0.95885463188112963</v>
      </c>
      <c r="AV38" s="13">
        <v>45271</v>
      </c>
      <c r="AW38" s="15">
        <v>5.0047791842283668E-2</v>
      </c>
      <c r="AX38" s="18">
        <v>100000000</v>
      </c>
      <c r="AY38" s="16">
        <v>0.94580066711986865</v>
      </c>
      <c r="BA38" s="7"/>
      <c r="BB38" s="20"/>
      <c r="BD38" s="7"/>
      <c r="BE38" s="21"/>
      <c r="BG38" s="7"/>
      <c r="BH38" s="19"/>
      <c r="BJ38" s="7"/>
      <c r="BK38" s="21"/>
      <c r="BM38" s="7"/>
      <c r="BN38" s="21"/>
      <c r="BP38" s="7"/>
      <c r="BQ38" s="21"/>
    </row>
    <row r="39" spans="1:69" x14ac:dyDescent="0.35">
      <c r="A39" s="3">
        <f t="shared" si="2"/>
        <v>39</v>
      </c>
      <c r="G39" s="45">
        <v>44907</v>
      </c>
      <c r="H39" s="45">
        <v>44995</v>
      </c>
      <c r="I39" s="45">
        <v>44907</v>
      </c>
      <c r="J39" s="45">
        <v>44995</v>
      </c>
      <c r="K39" s="45">
        <v>44998</v>
      </c>
      <c r="L39" s="5">
        <v>1</v>
      </c>
      <c r="M39" s="6">
        <v>0</v>
      </c>
      <c r="N39" s="6"/>
      <c r="P39" s="24">
        <v>43502</v>
      </c>
      <c r="R39" s="41">
        <f t="shared" si="3"/>
        <v>44777</v>
      </c>
      <c r="S39" s="42">
        <v>3.09E-2</v>
      </c>
      <c r="Z39" s="45">
        <v>44907</v>
      </c>
      <c r="AA39" s="45">
        <v>44995</v>
      </c>
      <c r="AB39" s="45">
        <v>44907</v>
      </c>
      <c r="AC39" s="45">
        <v>44995</v>
      </c>
      <c r="AD39" s="45">
        <v>44995</v>
      </c>
      <c r="AE39" s="5">
        <v>0</v>
      </c>
      <c r="AF39" s="6">
        <v>0.04</v>
      </c>
      <c r="AG39" s="6"/>
      <c r="AI39" s="24">
        <v>43780</v>
      </c>
      <c r="AJ39" s="39"/>
      <c r="AK39" s="41">
        <f t="shared" si="4"/>
        <v>44777</v>
      </c>
      <c r="AL39" s="42">
        <v>3.9140000000000001E-2</v>
      </c>
      <c r="AR39" s="13">
        <v>45362</v>
      </c>
      <c r="AS39" s="15">
        <v>5.2051866541942916E-2</v>
      </c>
      <c r="AT39" s="18">
        <v>129773146.72100838</v>
      </c>
      <c r="AU39" s="16">
        <v>0.94657068622658125</v>
      </c>
      <c r="AV39" s="13">
        <v>45362</v>
      </c>
      <c r="AW39" s="15">
        <v>4.7236668953448871E-2</v>
      </c>
      <c r="AX39" s="18">
        <v>100000000</v>
      </c>
      <c r="AY39" s="16">
        <v>0.93479282020497423</v>
      </c>
      <c r="BA39" s="7"/>
      <c r="BB39" s="20"/>
      <c r="BD39" s="7"/>
      <c r="BE39" s="21"/>
      <c r="BG39" s="7"/>
      <c r="BH39" s="19"/>
      <c r="BJ39" s="7"/>
      <c r="BK39" s="21"/>
      <c r="BM39" s="7"/>
      <c r="BN39" s="21"/>
      <c r="BP39" s="7"/>
      <c r="BQ39" s="21"/>
    </row>
    <row r="40" spans="1:69" x14ac:dyDescent="0.35">
      <c r="A40" s="3">
        <f t="shared" si="2"/>
        <v>40</v>
      </c>
      <c r="G40" s="45">
        <v>44995</v>
      </c>
      <c r="H40" s="45">
        <v>45089</v>
      </c>
      <c r="I40" s="45">
        <v>44995</v>
      </c>
      <c r="J40" s="45">
        <v>45089</v>
      </c>
      <c r="K40" s="45">
        <v>45090</v>
      </c>
      <c r="L40" s="5">
        <v>1</v>
      </c>
      <c r="M40" s="6">
        <v>0</v>
      </c>
      <c r="N40" s="6"/>
      <c r="P40" s="24">
        <v>43525</v>
      </c>
      <c r="R40" s="41">
        <f t="shared" si="3"/>
        <v>44778</v>
      </c>
      <c r="S40" s="42">
        <v>3.09E-2</v>
      </c>
      <c r="Z40" s="45">
        <v>44995</v>
      </c>
      <c r="AA40" s="45">
        <v>45089</v>
      </c>
      <c r="AB40" s="45">
        <v>44995</v>
      </c>
      <c r="AC40" s="45">
        <v>45089</v>
      </c>
      <c r="AD40" s="45">
        <v>45089</v>
      </c>
      <c r="AE40" s="5">
        <v>0</v>
      </c>
      <c r="AF40" s="6">
        <v>0.04</v>
      </c>
      <c r="AG40" s="6"/>
      <c r="AI40" s="24">
        <v>43797</v>
      </c>
      <c r="AJ40" s="39"/>
      <c r="AK40" s="41">
        <f t="shared" si="4"/>
        <v>44778</v>
      </c>
      <c r="AL40" s="42">
        <v>3.9140000000000001E-2</v>
      </c>
      <c r="AR40" s="13">
        <v>45454</v>
      </c>
      <c r="AS40" s="15">
        <v>5.0680812400216282E-2</v>
      </c>
      <c r="AT40" s="18">
        <v>126354902.14848444</v>
      </c>
      <c r="AU40" s="16">
        <v>0.93463634691431408</v>
      </c>
      <c r="AV40" s="13">
        <v>45454</v>
      </c>
      <c r="AW40" s="15">
        <v>4.6833862512738245E-2</v>
      </c>
      <c r="AX40" s="18">
        <v>100000000</v>
      </c>
      <c r="AY40" s="16">
        <v>0.92388763704371291</v>
      </c>
      <c r="BA40" s="7"/>
      <c r="BB40" s="20"/>
      <c r="BD40" s="7"/>
      <c r="BE40" s="21"/>
      <c r="BG40" s="7"/>
      <c r="BH40" s="19"/>
      <c r="BJ40" s="7"/>
      <c r="BK40" s="21"/>
      <c r="BM40" s="7"/>
      <c r="BN40" s="21"/>
      <c r="BP40" s="7"/>
      <c r="BQ40" s="21"/>
    </row>
    <row r="41" spans="1:69" x14ac:dyDescent="0.35">
      <c r="A41" s="3">
        <f t="shared" si="2"/>
        <v>41</v>
      </c>
      <c r="G41" s="45">
        <v>45089</v>
      </c>
      <c r="H41" s="45">
        <v>45180</v>
      </c>
      <c r="I41" s="45">
        <v>45089</v>
      </c>
      <c r="J41" s="45">
        <v>45180</v>
      </c>
      <c r="K41" s="45">
        <v>45181</v>
      </c>
      <c r="L41" s="5">
        <v>1</v>
      </c>
      <c r="M41" s="6">
        <v>0</v>
      </c>
      <c r="N41" s="6"/>
      <c r="P41" s="24">
        <v>43586</v>
      </c>
      <c r="R41" s="41">
        <f t="shared" si="3"/>
        <v>44779</v>
      </c>
      <c r="S41" s="42">
        <v>3.09E-2</v>
      </c>
      <c r="Z41" s="45">
        <v>45089</v>
      </c>
      <c r="AA41" s="45">
        <v>45180</v>
      </c>
      <c r="AB41" s="45">
        <v>45089</v>
      </c>
      <c r="AC41" s="45">
        <v>45180</v>
      </c>
      <c r="AD41" s="45">
        <v>45180</v>
      </c>
      <c r="AE41" s="5">
        <v>0</v>
      </c>
      <c r="AF41" s="6">
        <v>0.04</v>
      </c>
      <c r="AG41" s="6"/>
      <c r="AI41" s="24">
        <v>43824</v>
      </c>
      <c r="AJ41" s="39"/>
      <c r="AK41" s="41">
        <f t="shared" si="4"/>
        <v>44779</v>
      </c>
      <c r="AL41" s="42">
        <v>3.9140000000000001E-2</v>
      </c>
      <c r="AR41" s="13">
        <v>45546</v>
      </c>
      <c r="AS41" s="15">
        <v>4.9525943547117826E-2</v>
      </c>
      <c r="AT41" s="18">
        <v>124832515.24205041</v>
      </c>
      <c r="AU41" s="16">
        <v>0.92310721026500564</v>
      </c>
      <c r="AV41" s="13">
        <v>45546</v>
      </c>
      <c r="AW41" s="15">
        <v>4.6425834890173344E-2</v>
      </c>
      <c r="AX41" s="18">
        <v>100000000</v>
      </c>
      <c r="AY41" s="16">
        <v>0.91320249532299191</v>
      </c>
      <c r="BA41" s="7"/>
      <c r="BB41" s="20"/>
      <c r="BD41" s="7"/>
      <c r="BE41" s="21"/>
      <c r="BG41" s="7"/>
      <c r="BH41" s="19"/>
      <c r="BJ41" s="7"/>
      <c r="BK41" s="21"/>
      <c r="BM41" s="7"/>
      <c r="BN41" s="21"/>
      <c r="BP41" s="7"/>
      <c r="BQ41" s="21"/>
    </row>
    <row r="42" spans="1:69" x14ac:dyDescent="0.35">
      <c r="A42" s="3">
        <f t="shared" si="2"/>
        <v>42</v>
      </c>
      <c r="G42" s="45">
        <v>45180</v>
      </c>
      <c r="H42" s="45">
        <v>45271</v>
      </c>
      <c r="I42" s="45">
        <v>45180</v>
      </c>
      <c r="J42" s="45">
        <v>45271</v>
      </c>
      <c r="K42" s="45">
        <v>45272</v>
      </c>
      <c r="L42" s="5">
        <v>1</v>
      </c>
      <c r="M42" s="6">
        <v>0</v>
      </c>
      <c r="N42" s="6"/>
      <c r="P42" s="24">
        <v>43591</v>
      </c>
      <c r="R42" s="41">
        <f t="shared" si="3"/>
        <v>44780</v>
      </c>
      <c r="S42" s="42">
        <v>3.09E-2</v>
      </c>
      <c r="Z42" s="45">
        <v>45180</v>
      </c>
      <c r="AA42" s="45">
        <v>45271</v>
      </c>
      <c r="AB42" s="45">
        <v>45180</v>
      </c>
      <c r="AC42" s="45">
        <v>45271</v>
      </c>
      <c r="AD42" s="45">
        <v>45271</v>
      </c>
      <c r="AE42" s="5">
        <v>0</v>
      </c>
      <c r="AF42" s="6">
        <v>0.04</v>
      </c>
      <c r="AG42" s="6"/>
      <c r="AI42" s="24">
        <v>43831</v>
      </c>
      <c r="AJ42" s="39"/>
      <c r="AK42" s="41">
        <f t="shared" si="4"/>
        <v>44780</v>
      </c>
      <c r="AL42" s="42">
        <v>3.9140000000000001E-2</v>
      </c>
      <c r="AR42" s="13">
        <v>45637</v>
      </c>
      <c r="AS42" s="15">
        <v>4.5951242517787302E-2</v>
      </c>
      <c r="AT42" s="18">
        <v>114563371.7566752</v>
      </c>
      <c r="AU42" s="16">
        <v>0.91267031751910499</v>
      </c>
      <c r="AV42" s="13">
        <v>45637</v>
      </c>
      <c r="AW42" s="15">
        <v>4.6935862391273779E-2</v>
      </c>
      <c r="AX42" s="18">
        <v>100000000</v>
      </c>
      <c r="AY42" s="16">
        <v>0.90263716589671916</v>
      </c>
      <c r="BA42" s="7"/>
      <c r="BB42" s="20"/>
      <c r="BD42" s="7"/>
      <c r="BE42" s="21"/>
      <c r="BG42" s="7"/>
      <c r="BH42" s="19"/>
      <c r="BJ42" s="7"/>
      <c r="BK42" s="21"/>
      <c r="BM42" s="7"/>
      <c r="BN42" s="21"/>
      <c r="BP42" s="7"/>
      <c r="BQ42" s="21"/>
    </row>
    <row r="43" spans="1:69" x14ac:dyDescent="0.35">
      <c r="A43" s="3">
        <f t="shared" si="2"/>
        <v>43</v>
      </c>
      <c r="G43" s="45">
        <v>45271</v>
      </c>
      <c r="H43" s="45">
        <v>45362</v>
      </c>
      <c r="I43" s="45">
        <v>45271</v>
      </c>
      <c r="J43" s="45">
        <v>45362</v>
      </c>
      <c r="K43" s="45">
        <v>45363</v>
      </c>
      <c r="L43" s="5">
        <v>1</v>
      </c>
      <c r="M43" s="6">
        <v>0</v>
      </c>
      <c r="N43" s="6"/>
      <c r="P43" s="24">
        <v>43598</v>
      </c>
      <c r="R43" s="41">
        <f t="shared" si="3"/>
        <v>44781</v>
      </c>
      <c r="S43" s="42">
        <v>3.09E-2</v>
      </c>
      <c r="Z43" s="45">
        <v>45271</v>
      </c>
      <c r="AA43" s="45">
        <v>45362</v>
      </c>
      <c r="AB43" s="45">
        <v>45271</v>
      </c>
      <c r="AC43" s="45">
        <v>45362</v>
      </c>
      <c r="AD43" s="45">
        <v>45362</v>
      </c>
      <c r="AE43" s="5">
        <v>0</v>
      </c>
      <c r="AF43" s="6">
        <v>0.04</v>
      </c>
      <c r="AG43" s="6"/>
      <c r="AI43" s="24">
        <v>43850</v>
      </c>
      <c r="AJ43" s="39"/>
      <c r="AK43" s="41">
        <f t="shared" si="4"/>
        <v>44781</v>
      </c>
      <c r="AL43" s="42">
        <v>3.9140000000000001E-2</v>
      </c>
      <c r="AR43" s="13">
        <v>45727</v>
      </c>
      <c r="AS43" s="15">
        <v>4.3150323694358721E-2</v>
      </c>
      <c r="AT43" s="18">
        <v>106398058.42444617</v>
      </c>
      <c r="AU43" s="16">
        <v>0.90306158465581365</v>
      </c>
      <c r="AV43" s="13">
        <v>45727</v>
      </c>
      <c r="AW43" s="15">
        <v>4.7324978528699817E-2</v>
      </c>
      <c r="AX43" s="18">
        <v>100000000</v>
      </c>
      <c r="AY43" s="16">
        <v>0.89222579961238568</v>
      </c>
      <c r="BA43" s="7"/>
      <c r="BB43" s="20"/>
      <c r="BD43" s="7"/>
      <c r="BE43" s="21"/>
      <c r="BG43" s="7"/>
      <c r="BH43" s="19"/>
      <c r="BJ43" s="7"/>
      <c r="BK43" s="21"/>
      <c r="BM43" s="7"/>
      <c r="BN43" s="21"/>
      <c r="BP43" s="7"/>
      <c r="BQ43" s="21"/>
    </row>
    <row r="44" spans="1:69" x14ac:dyDescent="0.35">
      <c r="A44" s="3">
        <f t="shared" si="2"/>
        <v>44</v>
      </c>
      <c r="G44" s="45">
        <v>45362</v>
      </c>
      <c r="H44" s="45">
        <v>45453</v>
      </c>
      <c r="I44" s="45">
        <v>45362</v>
      </c>
      <c r="J44" s="45">
        <v>45453</v>
      </c>
      <c r="K44" s="45">
        <v>45454</v>
      </c>
      <c r="L44" s="5">
        <v>1</v>
      </c>
      <c r="M44" s="6">
        <v>0</v>
      </c>
      <c r="N44" s="6"/>
      <c r="P44" s="24">
        <v>43622</v>
      </c>
      <c r="R44" s="41">
        <f t="shared" si="3"/>
        <v>44782</v>
      </c>
      <c r="S44" s="42">
        <v>3.09E-2</v>
      </c>
      <c r="Z44" s="45">
        <v>45362</v>
      </c>
      <c r="AA44" s="45">
        <v>45453</v>
      </c>
      <c r="AB44" s="45">
        <v>45362</v>
      </c>
      <c r="AC44" s="45">
        <v>45453</v>
      </c>
      <c r="AD44" s="45">
        <v>45453</v>
      </c>
      <c r="AE44" s="5">
        <v>0</v>
      </c>
      <c r="AF44" s="6">
        <v>0.04</v>
      </c>
      <c r="AG44" s="6"/>
      <c r="AI44" s="24">
        <v>43878</v>
      </c>
      <c r="AJ44" s="39"/>
      <c r="AK44" s="41">
        <f t="shared" si="4"/>
        <v>44782</v>
      </c>
      <c r="AL44" s="42">
        <v>3.9140000000000001E-2</v>
      </c>
      <c r="AR44" s="13">
        <v>45819</v>
      </c>
      <c r="AS44" s="15">
        <v>4.3291504220036976E-2</v>
      </c>
      <c r="AT44" s="18">
        <v>109118312.00666855</v>
      </c>
      <c r="AU44" s="16">
        <v>0.89331356111338067</v>
      </c>
      <c r="AV44" s="13">
        <v>45819</v>
      </c>
      <c r="AW44" s="15">
        <v>4.7260450950812591E-2</v>
      </c>
      <c r="AX44" s="18">
        <v>100000000</v>
      </c>
      <c r="AY44" s="16">
        <v>0.88172269454562024</v>
      </c>
      <c r="BA44" s="7"/>
      <c r="BB44" s="20"/>
      <c r="BD44" s="7"/>
      <c r="BE44" s="21"/>
      <c r="BG44" s="7"/>
      <c r="BH44" s="19"/>
      <c r="BJ44" s="7"/>
      <c r="BK44" s="21"/>
      <c r="BM44" s="7"/>
      <c r="BN44" s="21"/>
      <c r="BP44" s="7"/>
      <c r="BQ44" s="21"/>
    </row>
    <row r="45" spans="1:69" x14ac:dyDescent="0.35">
      <c r="A45" s="3">
        <f t="shared" si="2"/>
        <v>45</v>
      </c>
      <c r="G45" s="45">
        <v>45453</v>
      </c>
      <c r="H45" s="45">
        <v>45545</v>
      </c>
      <c r="I45" s="45">
        <v>45453</v>
      </c>
      <c r="J45" s="45">
        <v>45545</v>
      </c>
      <c r="K45" s="45">
        <v>45546</v>
      </c>
      <c r="L45" s="5">
        <v>1</v>
      </c>
      <c r="M45" s="6">
        <v>0</v>
      </c>
      <c r="N45" s="6"/>
      <c r="P45" s="24">
        <v>43692</v>
      </c>
      <c r="R45" s="41">
        <f t="shared" si="3"/>
        <v>44783</v>
      </c>
      <c r="S45" s="42">
        <v>3.09E-2</v>
      </c>
      <c r="Z45" s="45">
        <v>45453</v>
      </c>
      <c r="AA45" s="45">
        <v>45545</v>
      </c>
      <c r="AB45" s="45">
        <v>45453</v>
      </c>
      <c r="AC45" s="45">
        <v>45545</v>
      </c>
      <c r="AD45" s="45">
        <v>45545</v>
      </c>
      <c r="AE45" s="5">
        <v>0</v>
      </c>
      <c r="AF45" s="6">
        <v>0.04</v>
      </c>
      <c r="AG45" s="6"/>
      <c r="AI45" s="24">
        <v>43976</v>
      </c>
      <c r="AJ45" s="39"/>
      <c r="AK45" s="41">
        <f t="shared" si="4"/>
        <v>44783</v>
      </c>
      <c r="AL45" s="42">
        <v>3.9140000000000001E-2</v>
      </c>
      <c r="AR45" s="13">
        <v>45911</v>
      </c>
      <c r="AS45" s="15">
        <v>4.3429101374207538E-2</v>
      </c>
      <c r="AT45" s="18">
        <v>109465132.23087928</v>
      </c>
      <c r="AU45" s="16">
        <v>0.88364044616574222</v>
      </c>
      <c r="AV45" s="13">
        <v>45911</v>
      </c>
      <c r="AW45" s="15">
        <v>4.7189035534312147E-2</v>
      </c>
      <c r="AX45" s="18">
        <v>100000000</v>
      </c>
      <c r="AY45" s="16">
        <v>0.87135873028242983</v>
      </c>
      <c r="BA45" s="7"/>
      <c r="BB45" s="20"/>
      <c r="BD45" s="7"/>
      <c r="BE45" s="21"/>
      <c r="BG45" s="7"/>
      <c r="BH45" s="19"/>
      <c r="BJ45" s="7"/>
      <c r="BK45" s="21"/>
      <c r="BM45" s="7"/>
      <c r="BN45" s="21"/>
      <c r="BP45" s="7"/>
      <c r="BQ45" s="21"/>
    </row>
    <row r="46" spans="1:69" x14ac:dyDescent="0.35">
      <c r="A46" s="3">
        <f t="shared" si="2"/>
        <v>46</v>
      </c>
      <c r="G46" s="45">
        <v>45545</v>
      </c>
      <c r="H46" s="45">
        <v>45636</v>
      </c>
      <c r="I46" s="45">
        <v>45545</v>
      </c>
      <c r="J46" s="45">
        <v>45636</v>
      </c>
      <c r="K46" s="45">
        <v>45637</v>
      </c>
      <c r="L46" s="5">
        <v>1</v>
      </c>
      <c r="M46" s="6">
        <v>0</v>
      </c>
      <c r="N46" s="6"/>
      <c r="P46" s="24">
        <v>43720</v>
      </c>
      <c r="R46" s="41">
        <f t="shared" si="3"/>
        <v>44784</v>
      </c>
      <c r="S46" s="42">
        <v>3.09E-2</v>
      </c>
      <c r="Z46" s="45">
        <v>45545</v>
      </c>
      <c r="AA46" s="45">
        <v>45636</v>
      </c>
      <c r="AB46" s="45">
        <v>45545</v>
      </c>
      <c r="AC46" s="45">
        <v>45636</v>
      </c>
      <c r="AD46" s="45">
        <v>45636</v>
      </c>
      <c r="AE46" s="5">
        <v>0</v>
      </c>
      <c r="AF46" s="6">
        <v>0.04</v>
      </c>
      <c r="AG46" s="6"/>
      <c r="AI46" s="24">
        <v>44001</v>
      </c>
      <c r="AJ46" s="39"/>
      <c r="AK46" s="41">
        <f t="shared" si="4"/>
        <v>44784</v>
      </c>
      <c r="AL46" s="42">
        <v>3.9140000000000001E-2</v>
      </c>
      <c r="AR46" s="13">
        <v>46002</v>
      </c>
      <c r="AS46" s="15">
        <v>4.4947560760073377E-2</v>
      </c>
      <c r="AT46" s="18">
        <v>112061041.89497745</v>
      </c>
      <c r="AU46" s="16">
        <v>0.87384228615065296</v>
      </c>
      <c r="AV46" s="13">
        <v>46002</v>
      </c>
      <c r="AW46" s="15">
        <v>4.5180275141353428E-2</v>
      </c>
      <c r="AX46" s="18">
        <v>100000000</v>
      </c>
      <c r="AY46" s="16">
        <v>0.86166057664864548</v>
      </c>
      <c r="BA46" s="7"/>
      <c r="BB46" s="20"/>
      <c r="BD46" s="7"/>
      <c r="BE46" s="21"/>
      <c r="BG46" s="7"/>
      <c r="BH46" s="19"/>
      <c r="BJ46" s="7"/>
      <c r="BK46" s="21"/>
      <c r="BM46" s="7"/>
      <c r="BN46" s="21"/>
      <c r="BP46" s="7"/>
      <c r="BQ46" s="21"/>
    </row>
    <row r="47" spans="1:69" x14ac:dyDescent="0.35">
      <c r="A47" s="3">
        <f t="shared" si="2"/>
        <v>47</v>
      </c>
      <c r="G47" s="45">
        <v>45636</v>
      </c>
      <c r="H47" s="45">
        <v>45726</v>
      </c>
      <c r="I47" s="45">
        <v>45636</v>
      </c>
      <c r="J47" s="45">
        <v>45726</v>
      </c>
      <c r="K47" s="45">
        <v>45727</v>
      </c>
      <c r="L47" s="5">
        <v>1</v>
      </c>
      <c r="M47" s="6">
        <v>0</v>
      </c>
      <c r="N47" s="6"/>
      <c r="P47" s="24">
        <v>43721</v>
      </c>
      <c r="R47" s="41">
        <f t="shared" si="3"/>
        <v>44785</v>
      </c>
      <c r="S47" s="42">
        <v>3.09E-2</v>
      </c>
      <c r="Z47" s="45">
        <v>45636</v>
      </c>
      <c r="AA47" s="45">
        <v>45726</v>
      </c>
      <c r="AB47" s="45">
        <v>45636</v>
      </c>
      <c r="AC47" s="45">
        <v>45726</v>
      </c>
      <c r="AD47" s="45">
        <v>45726</v>
      </c>
      <c r="AE47" s="5">
        <v>0</v>
      </c>
      <c r="AF47" s="6">
        <v>0.04</v>
      </c>
      <c r="AG47" s="6"/>
      <c r="AI47" s="24">
        <v>44015</v>
      </c>
      <c r="AJ47" s="39"/>
      <c r="AK47" s="41">
        <f t="shared" si="4"/>
        <v>44785</v>
      </c>
      <c r="AL47" s="42">
        <v>3.9140000000000001E-2</v>
      </c>
      <c r="AR47" s="13">
        <v>46092</v>
      </c>
      <c r="AS47" s="15">
        <v>4.6146733316418165E-2</v>
      </c>
      <c r="AT47" s="18">
        <v>113786465.71171603</v>
      </c>
      <c r="AU47" s="16">
        <v>0.86400990123715893</v>
      </c>
      <c r="AV47" s="13">
        <v>46092</v>
      </c>
      <c r="AW47" s="15">
        <v>4.3617708951352994E-2</v>
      </c>
      <c r="AX47" s="18">
        <v>100000000</v>
      </c>
      <c r="AY47" s="16">
        <v>0.85249323692861401</v>
      </c>
      <c r="BA47" s="7"/>
      <c r="BB47" s="20"/>
      <c r="BD47" s="7"/>
      <c r="BE47" s="21"/>
      <c r="BG47" s="7"/>
      <c r="BH47" s="19"/>
      <c r="BJ47" s="7"/>
      <c r="BK47" s="21"/>
      <c r="BM47" s="7"/>
      <c r="BN47" s="21"/>
      <c r="BP47" s="7"/>
      <c r="BQ47" s="21"/>
    </row>
    <row r="48" spans="1:69" x14ac:dyDescent="0.35">
      <c r="A48" s="3">
        <f t="shared" si="2"/>
        <v>48</v>
      </c>
      <c r="G48" s="45">
        <v>45726</v>
      </c>
      <c r="H48" s="45">
        <v>45818</v>
      </c>
      <c r="I48" s="45">
        <v>45726</v>
      </c>
      <c r="J48" s="45">
        <v>45818</v>
      </c>
      <c r="K48" s="45">
        <v>45819</v>
      </c>
      <c r="L48" s="5">
        <v>1</v>
      </c>
      <c r="M48" s="6">
        <v>0</v>
      </c>
      <c r="N48" s="6"/>
      <c r="P48" s="24">
        <v>43722</v>
      </c>
      <c r="R48" s="41">
        <f t="shared" si="3"/>
        <v>44786</v>
      </c>
      <c r="S48" s="42">
        <v>3.09E-2</v>
      </c>
      <c r="Z48" s="45">
        <v>45726</v>
      </c>
      <c r="AA48" s="45">
        <v>45818</v>
      </c>
      <c r="AB48" s="45">
        <v>45726</v>
      </c>
      <c r="AC48" s="45">
        <v>45818</v>
      </c>
      <c r="AD48" s="45">
        <v>45818</v>
      </c>
      <c r="AE48" s="5">
        <v>0</v>
      </c>
      <c r="AF48" s="6">
        <v>0.04</v>
      </c>
      <c r="AG48" s="6"/>
      <c r="AI48" s="24">
        <v>44081</v>
      </c>
      <c r="AJ48" s="39"/>
      <c r="AK48" s="41">
        <f t="shared" si="4"/>
        <v>44786</v>
      </c>
      <c r="AL48" s="42">
        <v>3.9140000000000001E-2</v>
      </c>
      <c r="AR48" s="13">
        <v>46184</v>
      </c>
      <c r="AS48" s="15">
        <v>4.6631783866137658E-2</v>
      </c>
      <c r="AT48" s="18">
        <v>117537647.0050593</v>
      </c>
      <c r="AU48" s="16">
        <v>0.85397138883451529</v>
      </c>
      <c r="AV48" s="13">
        <v>46184</v>
      </c>
      <c r="AW48" s="15">
        <v>4.3073457850272646E-2</v>
      </c>
      <c r="AX48" s="18">
        <v>100000000</v>
      </c>
      <c r="AY48" s="16">
        <v>0.84333850248305076</v>
      </c>
      <c r="BA48" s="7"/>
      <c r="BB48" s="20"/>
      <c r="BD48" s="7"/>
      <c r="BE48" s="21"/>
      <c r="BG48" s="7"/>
      <c r="BH48" s="19"/>
      <c r="BJ48" s="7"/>
      <c r="BK48" s="21"/>
      <c r="BM48" s="7"/>
      <c r="BN48" s="21"/>
      <c r="BP48" s="7"/>
      <c r="BQ48" s="21"/>
    </row>
    <row r="49" spans="1:69" x14ac:dyDescent="0.35">
      <c r="A49" s="3">
        <f t="shared" si="2"/>
        <v>49</v>
      </c>
      <c r="G49" s="45">
        <v>45818</v>
      </c>
      <c r="H49" s="45">
        <v>45910</v>
      </c>
      <c r="I49" s="45">
        <v>45818</v>
      </c>
      <c r="J49" s="45">
        <v>45910</v>
      </c>
      <c r="K49" s="45">
        <v>45911</v>
      </c>
      <c r="L49" s="5">
        <v>1</v>
      </c>
      <c r="M49" s="6">
        <v>0</v>
      </c>
      <c r="N49" s="6"/>
      <c r="P49" s="24">
        <v>43741</v>
      </c>
      <c r="R49" s="41">
        <f t="shared" si="3"/>
        <v>44787</v>
      </c>
      <c r="S49" s="42">
        <v>3.09E-2</v>
      </c>
      <c r="Z49" s="45">
        <v>45818</v>
      </c>
      <c r="AA49" s="45">
        <v>45910</v>
      </c>
      <c r="AB49" s="45">
        <v>45818</v>
      </c>
      <c r="AC49" s="45">
        <v>45910</v>
      </c>
      <c r="AD49" s="45">
        <v>45910</v>
      </c>
      <c r="AE49" s="5">
        <v>0</v>
      </c>
      <c r="AF49" s="6">
        <v>0.04</v>
      </c>
      <c r="AG49" s="6"/>
      <c r="AI49" s="24">
        <v>44116</v>
      </c>
      <c r="AJ49" s="39"/>
      <c r="AK49" s="41">
        <f t="shared" si="4"/>
        <v>44787</v>
      </c>
      <c r="AL49" s="42">
        <v>3.9140000000000001E-2</v>
      </c>
      <c r="AR49" s="13">
        <v>46276</v>
      </c>
      <c r="AS49" s="15">
        <v>4.7116346147133233E-2</v>
      </c>
      <c r="AT49" s="18">
        <v>118759009.46674678</v>
      </c>
      <c r="AU49" s="16">
        <v>0.84394762991137162</v>
      </c>
      <c r="AV49" s="13">
        <v>46276</v>
      </c>
      <c r="AW49" s="15">
        <v>4.2518051232877031E-2</v>
      </c>
      <c r="AX49" s="18">
        <v>100000000</v>
      </c>
      <c r="AY49" s="16">
        <v>0.83439763386324162</v>
      </c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>
        <v>45910</v>
      </c>
      <c r="H50" s="45">
        <v>46001</v>
      </c>
      <c r="I50" s="45">
        <v>45910</v>
      </c>
      <c r="J50" s="45">
        <v>46001</v>
      </c>
      <c r="K50" s="45">
        <v>46002</v>
      </c>
      <c r="L50" s="5">
        <v>1</v>
      </c>
      <c r="M50" s="6">
        <v>0</v>
      </c>
      <c r="N50" s="6"/>
      <c r="P50" s="24">
        <v>43747</v>
      </c>
      <c r="R50" s="41">
        <f t="shared" si="3"/>
        <v>44788</v>
      </c>
      <c r="S50" s="42">
        <v>3.09E-2</v>
      </c>
      <c r="Z50" s="45">
        <v>45910</v>
      </c>
      <c r="AA50" s="45">
        <v>46001</v>
      </c>
      <c r="AB50" s="45">
        <v>45910</v>
      </c>
      <c r="AC50" s="45">
        <v>46001</v>
      </c>
      <c r="AD50" s="45">
        <v>46001</v>
      </c>
      <c r="AE50" s="5">
        <v>0</v>
      </c>
      <c r="AF50" s="6">
        <v>0.04</v>
      </c>
      <c r="AG50" s="6"/>
      <c r="AI50" s="24">
        <v>44146</v>
      </c>
      <c r="AJ50" s="39"/>
      <c r="AK50" s="41">
        <f t="shared" si="4"/>
        <v>44788</v>
      </c>
      <c r="AL50" s="42">
        <v>3.9140000000000001E-2</v>
      </c>
      <c r="AR50" s="13">
        <v>46367</v>
      </c>
      <c r="AS50" s="15">
        <v>4.3547163843643773E-2</v>
      </c>
      <c r="AT50" s="18">
        <v>108569641.36360502</v>
      </c>
      <c r="AU50" s="16">
        <v>0.83489717086682858</v>
      </c>
      <c r="AV50" s="13">
        <v>46367</v>
      </c>
      <c r="AW50" s="15">
        <v>4.1963335477280587E-2</v>
      </c>
      <c r="AX50" s="18">
        <v>100000000</v>
      </c>
      <c r="AY50" s="16">
        <v>0.82575970247170394</v>
      </c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>
        <v>46001</v>
      </c>
      <c r="H51" s="45">
        <v>46091</v>
      </c>
      <c r="I51" s="45">
        <v>46001</v>
      </c>
      <c r="J51" s="45">
        <v>46091</v>
      </c>
      <c r="K51" s="45">
        <v>46092</v>
      </c>
      <c r="L51" s="5">
        <v>1</v>
      </c>
      <c r="M51" s="6">
        <v>0</v>
      </c>
      <c r="N51" s="6"/>
      <c r="P51" s="24">
        <v>43824</v>
      </c>
      <c r="R51" s="41">
        <f t="shared" si="3"/>
        <v>44789</v>
      </c>
      <c r="S51" s="42">
        <v>3.09E-2</v>
      </c>
      <c r="Z51" s="45">
        <v>46001</v>
      </c>
      <c r="AA51" s="45">
        <v>46091</v>
      </c>
      <c r="AB51" s="45">
        <v>46001</v>
      </c>
      <c r="AC51" s="45">
        <v>46091</v>
      </c>
      <c r="AD51" s="45">
        <v>46091</v>
      </c>
      <c r="AE51" s="5">
        <v>0</v>
      </c>
      <c r="AF51" s="6">
        <v>0.04</v>
      </c>
      <c r="AG51" s="6"/>
      <c r="AI51" s="24">
        <v>44161</v>
      </c>
      <c r="AJ51" s="39"/>
      <c r="AK51" s="41">
        <f t="shared" si="4"/>
        <v>44789</v>
      </c>
      <c r="AL51" s="42">
        <v>3.9140000000000001E-2</v>
      </c>
      <c r="AR51" s="49">
        <v>46457</v>
      </c>
      <c r="AS51" s="15">
        <v>4.1100815734556921E-2</v>
      </c>
      <c r="AT51" s="29">
        <v>101344477.15370199</v>
      </c>
      <c r="AU51" s="30">
        <v>0.82652146400004256</v>
      </c>
      <c r="AV51" s="49">
        <v>46457</v>
      </c>
      <c r="AW51" s="15">
        <v>4.1414855046783459E-2</v>
      </c>
      <c r="AX51" s="29">
        <v>100000000</v>
      </c>
      <c r="AY51" s="30">
        <v>0.81741358741201031</v>
      </c>
    </row>
    <row r="52" spans="1:69" x14ac:dyDescent="0.35">
      <c r="A52" s="3">
        <f t="shared" si="2"/>
        <v>52</v>
      </c>
      <c r="G52" s="45">
        <v>46091</v>
      </c>
      <c r="H52" s="45">
        <v>46183</v>
      </c>
      <c r="I52" s="45">
        <v>46091</v>
      </c>
      <c r="J52" s="45">
        <v>46183</v>
      </c>
      <c r="K52" s="45">
        <v>46184</v>
      </c>
      <c r="L52" s="5">
        <v>1</v>
      </c>
      <c r="M52" s="6">
        <v>0</v>
      </c>
      <c r="N52" s="6"/>
      <c r="P52" s="24">
        <v>43831</v>
      </c>
      <c r="R52" s="41">
        <f t="shared" si="3"/>
        <v>44790</v>
      </c>
      <c r="S52" s="42">
        <v>3.09E-2</v>
      </c>
      <c r="Z52" s="45">
        <v>46091</v>
      </c>
      <c r="AA52" s="45">
        <v>46183</v>
      </c>
      <c r="AB52" s="45">
        <v>46091</v>
      </c>
      <c r="AC52" s="45">
        <v>46183</v>
      </c>
      <c r="AD52" s="45">
        <v>46183</v>
      </c>
      <c r="AE52" s="5">
        <v>0</v>
      </c>
      <c r="AF52" s="6">
        <v>0.04</v>
      </c>
      <c r="AG52" s="6"/>
      <c r="AI52" s="24">
        <v>44190</v>
      </c>
      <c r="AJ52" s="39"/>
      <c r="AK52" s="41">
        <f t="shared" si="4"/>
        <v>44790</v>
      </c>
      <c r="AL52" s="42">
        <v>3.9140000000000001E-2</v>
      </c>
      <c r="AR52" s="49">
        <v>46549</v>
      </c>
      <c r="AS52" s="15">
        <v>4.0823312649507539E-2</v>
      </c>
      <c r="AT52" s="29">
        <v>102897116.81519708</v>
      </c>
      <c r="AU52" s="30">
        <v>0.81810404847121865</v>
      </c>
      <c r="AV52" s="49">
        <v>46549</v>
      </c>
      <c r="AW52" s="15">
        <v>4.0870395194516469E-2</v>
      </c>
      <c r="AX52" s="29">
        <v>100000000</v>
      </c>
      <c r="AY52" s="30">
        <v>0.80908001621120684</v>
      </c>
    </row>
    <row r="53" spans="1:69" x14ac:dyDescent="0.35">
      <c r="A53" s="3">
        <f t="shared" si="2"/>
        <v>53</v>
      </c>
      <c r="G53" s="45">
        <v>46183</v>
      </c>
      <c r="H53" s="45">
        <v>46275</v>
      </c>
      <c r="I53" s="45">
        <v>46183</v>
      </c>
      <c r="J53" s="45">
        <v>46275</v>
      </c>
      <c r="K53" s="45">
        <v>46276</v>
      </c>
      <c r="L53" s="5">
        <v>1</v>
      </c>
      <c r="M53" s="6">
        <v>0</v>
      </c>
      <c r="N53" s="6"/>
      <c r="P53" s="24">
        <v>43854</v>
      </c>
      <c r="R53" s="41">
        <f t="shared" si="3"/>
        <v>44791</v>
      </c>
      <c r="S53" s="42">
        <v>3.09E-2</v>
      </c>
      <c r="Z53" s="45">
        <v>46183</v>
      </c>
      <c r="AA53" s="45">
        <v>46275</v>
      </c>
      <c r="AB53" s="45">
        <v>46183</v>
      </c>
      <c r="AC53" s="45">
        <v>46275</v>
      </c>
      <c r="AD53" s="45">
        <v>46275</v>
      </c>
      <c r="AE53" s="5">
        <v>0</v>
      </c>
      <c r="AF53" s="6">
        <v>0.04</v>
      </c>
      <c r="AG53" s="6"/>
      <c r="AI53" s="24">
        <v>44197</v>
      </c>
      <c r="AJ53" s="39"/>
      <c r="AK53" s="41">
        <f t="shared" si="4"/>
        <v>44791</v>
      </c>
      <c r="AL53" s="42">
        <v>3.9140000000000001E-2</v>
      </c>
      <c r="AR53" s="49">
        <v>46641</v>
      </c>
      <c r="AS53" s="15">
        <v>4.0538116626681497E-2</v>
      </c>
      <c r="AT53" s="29">
        <v>102178266.56588213</v>
      </c>
      <c r="AU53" s="30">
        <v>0.80982997887096475</v>
      </c>
      <c r="AV53" s="49">
        <v>46641</v>
      </c>
      <c r="AW53" s="15">
        <v>4.0315293677813807E-2</v>
      </c>
      <c r="AX53" s="29">
        <v>100000000</v>
      </c>
      <c r="AY53" s="30">
        <v>0.80094232814758637</v>
      </c>
    </row>
    <row r="54" spans="1:69" x14ac:dyDescent="0.35">
      <c r="A54" s="3">
        <f t="shared" si="2"/>
        <v>54</v>
      </c>
      <c r="G54" s="45">
        <v>46275</v>
      </c>
      <c r="H54" s="45">
        <v>46366</v>
      </c>
      <c r="I54" s="45">
        <v>46275</v>
      </c>
      <c r="J54" s="45">
        <v>46366</v>
      </c>
      <c r="K54" s="45">
        <v>46367</v>
      </c>
      <c r="L54" s="5">
        <v>1</v>
      </c>
      <c r="M54" s="6">
        <v>0</v>
      </c>
      <c r="N54" s="6"/>
      <c r="P54" s="24">
        <v>43855</v>
      </c>
      <c r="R54" s="41">
        <f t="shared" si="3"/>
        <v>44792</v>
      </c>
      <c r="S54" s="42">
        <v>3.09E-2</v>
      </c>
      <c r="Z54" s="45">
        <v>46275</v>
      </c>
      <c r="AA54" s="45">
        <v>46366</v>
      </c>
      <c r="AB54" s="45">
        <v>46275</v>
      </c>
      <c r="AC54" s="45">
        <v>46366</v>
      </c>
      <c r="AD54" s="45">
        <v>46366</v>
      </c>
      <c r="AE54" s="5">
        <v>0</v>
      </c>
      <c r="AF54" s="6">
        <v>0.04</v>
      </c>
      <c r="AG54" s="6"/>
      <c r="AI54" s="24">
        <v>44214</v>
      </c>
      <c r="AJ54" s="39"/>
      <c r="AK54" s="41">
        <f t="shared" si="4"/>
        <v>44792</v>
      </c>
      <c r="AL54" s="42">
        <v>3.9140000000000001E-2</v>
      </c>
      <c r="AR54" s="49">
        <v>46732</v>
      </c>
      <c r="AS54" s="15">
        <v>4.2012838839216221E-2</v>
      </c>
      <c r="AT54" s="29">
        <v>104744337.92790894</v>
      </c>
      <c r="AU54" s="30">
        <v>0.80142981833086158</v>
      </c>
      <c r="AV54" s="49">
        <v>46732</v>
      </c>
      <c r="AW54" s="15">
        <v>4.1770640997631246E-2</v>
      </c>
      <c r="AX54" s="29">
        <v>100000000</v>
      </c>
      <c r="AY54" s="30">
        <v>0.79268143306400574</v>
      </c>
    </row>
    <row r="55" spans="1:69" x14ac:dyDescent="0.35">
      <c r="A55" s="3">
        <f t="shared" si="2"/>
        <v>55</v>
      </c>
      <c r="G55" s="45">
        <v>46366</v>
      </c>
      <c r="H55" s="45">
        <v>46456</v>
      </c>
      <c r="I55" s="45">
        <v>46366</v>
      </c>
      <c r="J55" s="45">
        <v>46456</v>
      </c>
      <c r="K55" s="45">
        <v>46457</v>
      </c>
      <c r="L55" s="5">
        <v>1</v>
      </c>
      <c r="M55" s="6">
        <v>0</v>
      </c>
      <c r="N55" s="6"/>
      <c r="P55" s="24">
        <v>43857</v>
      </c>
      <c r="R55" s="41">
        <f t="shared" si="3"/>
        <v>44793</v>
      </c>
      <c r="S55" s="42">
        <v>3.09E-2</v>
      </c>
      <c r="Z55" s="45">
        <v>46366</v>
      </c>
      <c r="AA55" s="45">
        <v>46456</v>
      </c>
      <c r="AB55" s="45">
        <v>46366</v>
      </c>
      <c r="AC55" s="45">
        <v>46456</v>
      </c>
      <c r="AD55" s="45">
        <v>46456</v>
      </c>
      <c r="AE55" s="5">
        <v>0</v>
      </c>
      <c r="AF55" s="6">
        <v>0.04</v>
      </c>
      <c r="AG55" s="6"/>
      <c r="AI55" s="24">
        <v>44216</v>
      </c>
      <c r="AJ55" s="39"/>
      <c r="AK55" s="41">
        <f t="shared" si="4"/>
        <v>44793</v>
      </c>
      <c r="AL55" s="42">
        <v>3.9140000000000001E-2</v>
      </c>
      <c r="AR55" s="49">
        <v>46823</v>
      </c>
      <c r="AS55" s="15">
        <v>4.2951327914917278E-2</v>
      </c>
      <c r="AT55" s="29">
        <v>107084132.60979377</v>
      </c>
      <c r="AU55" s="30">
        <v>0.79293873550566663</v>
      </c>
      <c r="AV55" s="49">
        <v>46823</v>
      </c>
      <c r="AW55" s="15">
        <v>4.2614734451576014E-2</v>
      </c>
      <c r="AX55" s="29">
        <v>100000000</v>
      </c>
      <c r="AY55" s="30">
        <v>0.78434864961570816</v>
      </c>
    </row>
    <row r="56" spans="1:69" x14ac:dyDescent="0.35">
      <c r="A56" s="3">
        <f t="shared" si="2"/>
        <v>56</v>
      </c>
      <c r="G56" s="45">
        <v>46456</v>
      </c>
      <c r="H56" s="45">
        <v>46548</v>
      </c>
      <c r="I56" s="45">
        <v>46456</v>
      </c>
      <c r="J56" s="45">
        <v>46548</v>
      </c>
      <c r="K56" s="45">
        <v>46549</v>
      </c>
      <c r="L56" s="5">
        <v>1</v>
      </c>
      <c r="M56" s="6">
        <v>0</v>
      </c>
      <c r="N56" s="6"/>
      <c r="P56" s="24">
        <v>43892</v>
      </c>
      <c r="R56" s="41">
        <f t="shared" si="3"/>
        <v>44794</v>
      </c>
      <c r="S56" s="42">
        <v>3.09E-2</v>
      </c>
      <c r="Z56" s="45">
        <v>46456</v>
      </c>
      <c r="AA56" s="45">
        <v>46548</v>
      </c>
      <c r="AB56" s="45">
        <v>46456</v>
      </c>
      <c r="AC56" s="45">
        <v>46548</v>
      </c>
      <c r="AD56" s="45">
        <v>46548</v>
      </c>
      <c r="AE56" s="5">
        <v>0</v>
      </c>
      <c r="AF56" s="6">
        <v>0.04</v>
      </c>
      <c r="AG56" s="6"/>
      <c r="AI56" s="24">
        <v>44242</v>
      </c>
      <c r="AJ56" s="39"/>
      <c r="AK56" s="41">
        <f t="shared" si="4"/>
        <v>44794</v>
      </c>
      <c r="AL56" s="42">
        <v>3.9140000000000001E-2</v>
      </c>
      <c r="AS56" s="15">
        <v>0</v>
      </c>
      <c r="AT56" s="29">
        <v>0</v>
      </c>
      <c r="AU56" s="30">
        <v>0</v>
      </c>
      <c r="AW56" s="15">
        <v>0</v>
      </c>
      <c r="AX56" s="29">
        <v>0</v>
      </c>
      <c r="AY56" s="30">
        <v>0</v>
      </c>
    </row>
    <row r="57" spans="1:69" x14ac:dyDescent="0.35">
      <c r="G57" s="45">
        <v>46548</v>
      </c>
      <c r="H57" s="45">
        <v>46640</v>
      </c>
      <c r="I57" s="45">
        <v>46548</v>
      </c>
      <c r="J57" s="45">
        <v>46640</v>
      </c>
      <c r="K57" s="45">
        <v>46643</v>
      </c>
      <c r="L57" s="5">
        <v>1</v>
      </c>
      <c r="M57" s="6">
        <v>0</v>
      </c>
      <c r="N57" s="6"/>
      <c r="P57" s="24">
        <v>43951</v>
      </c>
      <c r="R57" s="41">
        <f t="shared" si="3"/>
        <v>44795</v>
      </c>
      <c r="S57" s="42">
        <v>3.09E-2</v>
      </c>
      <c r="Z57" s="45">
        <v>46548</v>
      </c>
      <c r="AA57" s="45">
        <v>46640</v>
      </c>
      <c r="AB57" s="45">
        <v>46548</v>
      </c>
      <c r="AC57" s="45">
        <v>46640</v>
      </c>
      <c r="AD57" s="45">
        <v>46640</v>
      </c>
      <c r="AE57" s="5">
        <v>0</v>
      </c>
      <c r="AF57" s="6">
        <v>0.04</v>
      </c>
      <c r="AG57" s="6"/>
      <c r="AI57" s="24">
        <v>44347</v>
      </c>
      <c r="AJ57" s="39"/>
      <c r="AK57" s="41">
        <f t="shared" si="4"/>
        <v>44795</v>
      </c>
      <c r="AL57" s="42">
        <v>3.9140000000000001E-2</v>
      </c>
    </row>
    <row r="58" spans="1:69" x14ac:dyDescent="0.35">
      <c r="G58" s="45">
        <v>46640</v>
      </c>
      <c r="H58" s="45">
        <v>46731</v>
      </c>
      <c r="I58" s="45">
        <v>46640</v>
      </c>
      <c r="J58" s="45">
        <v>46731</v>
      </c>
      <c r="K58" s="45">
        <v>46734</v>
      </c>
      <c r="L58" s="5">
        <v>1</v>
      </c>
      <c r="M58" s="6">
        <v>0</v>
      </c>
      <c r="N58" s="6"/>
      <c r="P58" s="24">
        <v>43952</v>
      </c>
      <c r="R58" s="41">
        <f t="shared" si="3"/>
        <v>44796</v>
      </c>
      <c r="S58" s="42">
        <v>3.09E-2</v>
      </c>
      <c r="Z58" s="45">
        <v>46640</v>
      </c>
      <c r="AA58" s="45">
        <v>46731</v>
      </c>
      <c r="AB58" s="45">
        <v>46640</v>
      </c>
      <c r="AC58" s="45">
        <v>46731</v>
      </c>
      <c r="AD58" s="45">
        <v>46731</v>
      </c>
      <c r="AE58" s="5">
        <v>0</v>
      </c>
      <c r="AF58" s="6">
        <v>0.04</v>
      </c>
      <c r="AG58" s="6"/>
      <c r="AI58" s="24">
        <v>44365</v>
      </c>
      <c r="AJ58" s="39"/>
      <c r="AK58" s="41">
        <f t="shared" si="4"/>
        <v>44796</v>
      </c>
      <c r="AL58" s="42">
        <v>3.9140000000000001E-2</v>
      </c>
    </row>
    <row r="59" spans="1:69" x14ac:dyDescent="0.35">
      <c r="G59" s="45">
        <v>46731</v>
      </c>
      <c r="H59" s="45">
        <v>46822</v>
      </c>
      <c r="I59" s="45">
        <v>46731</v>
      </c>
      <c r="J59" s="45">
        <v>46822</v>
      </c>
      <c r="K59" s="45">
        <v>46825</v>
      </c>
      <c r="L59" s="5">
        <v>1</v>
      </c>
      <c r="M59" s="6">
        <v>0</v>
      </c>
      <c r="N59" s="6"/>
      <c r="P59" s="24">
        <v>43956</v>
      </c>
      <c r="R59" s="41">
        <f t="shared" si="3"/>
        <v>44797</v>
      </c>
      <c r="S59" s="42">
        <v>3.09E-2</v>
      </c>
      <c r="Z59" s="45">
        <v>46731</v>
      </c>
      <c r="AA59" s="45">
        <v>46822</v>
      </c>
      <c r="AB59" s="45">
        <v>46731</v>
      </c>
      <c r="AC59" s="45">
        <v>46822</v>
      </c>
      <c r="AD59" s="45">
        <v>46822</v>
      </c>
      <c r="AE59" s="5">
        <v>0</v>
      </c>
      <c r="AF59" s="6">
        <v>0.04</v>
      </c>
      <c r="AG59" s="6"/>
      <c r="AI59" s="24">
        <v>44382</v>
      </c>
      <c r="AJ59" s="39"/>
      <c r="AK59" s="41">
        <f t="shared" si="4"/>
        <v>44797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43988</v>
      </c>
      <c r="R60" s="41">
        <f t="shared" si="3"/>
        <v>44798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44798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44060</v>
      </c>
      <c r="R61" s="41">
        <f t="shared" si="3"/>
        <v>44799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44799</v>
      </c>
      <c r="AL61" s="42">
        <v>3.9140000000000001E-2</v>
      </c>
    </row>
    <row r="62" spans="1:69" x14ac:dyDescent="0.35">
      <c r="P62" s="24">
        <v>44060</v>
      </c>
      <c r="R62" s="41">
        <f t="shared" si="3"/>
        <v>44800</v>
      </c>
      <c r="S62" s="42">
        <v>3.09E-2</v>
      </c>
      <c r="AI62" s="24">
        <v>44511</v>
      </c>
      <c r="AJ62" s="39"/>
      <c r="AK62" s="41">
        <f t="shared" si="4"/>
        <v>44800</v>
      </c>
      <c r="AL62" s="42">
        <v>3.9140000000000001E-2</v>
      </c>
    </row>
    <row r="63" spans="1:69" x14ac:dyDescent="0.35">
      <c r="P63" s="24">
        <v>44104</v>
      </c>
      <c r="R63" s="41">
        <f t="shared" si="3"/>
        <v>44801</v>
      </c>
      <c r="S63" s="42">
        <v>3.09E-2</v>
      </c>
      <c r="AI63" s="24">
        <v>44525</v>
      </c>
      <c r="AJ63" s="39"/>
      <c r="AK63" s="41">
        <f t="shared" si="4"/>
        <v>44801</v>
      </c>
      <c r="AL63" s="42">
        <v>3.9140000000000001E-2</v>
      </c>
    </row>
    <row r="64" spans="1:69" x14ac:dyDescent="0.35">
      <c r="P64" s="24">
        <v>44105</v>
      </c>
      <c r="R64" s="41">
        <f t="shared" si="3"/>
        <v>44802</v>
      </c>
      <c r="S64" s="42">
        <v>3.09E-2</v>
      </c>
      <c r="AI64" s="24">
        <v>44554</v>
      </c>
      <c r="AJ64" s="39"/>
      <c r="AK64" s="41">
        <f t="shared" si="4"/>
        <v>44802</v>
      </c>
      <c r="AL64" s="42">
        <v>3.9140000000000001E-2</v>
      </c>
    </row>
    <row r="65" spans="16:38" x14ac:dyDescent="0.35">
      <c r="P65" s="24">
        <v>44106</v>
      </c>
      <c r="R65" s="41">
        <f t="shared" si="3"/>
        <v>44803</v>
      </c>
      <c r="S65" s="42">
        <v>3.09E-2</v>
      </c>
      <c r="AI65" s="24">
        <v>44561</v>
      </c>
      <c r="AJ65" s="39"/>
      <c r="AK65" s="41">
        <f t="shared" si="4"/>
        <v>44803</v>
      </c>
      <c r="AL65" s="42">
        <v>3.9140000000000001E-2</v>
      </c>
    </row>
    <row r="66" spans="16:38" x14ac:dyDescent="0.35">
      <c r="P66" s="24">
        <v>44109</v>
      </c>
      <c r="R66" s="41">
        <f t="shared" si="3"/>
        <v>44804</v>
      </c>
      <c r="S66" s="42">
        <v>3.09E-2</v>
      </c>
      <c r="AI66" s="24">
        <v>44578</v>
      </c>
      <c r="AJ66" s="39"/>
      <c r="AK66" s="41">
        <f t="shared" si="4"/>
        <v>44804</v>
      </c>
      <c r="AL66" s="42">
        <v>3.9140000000000001E-2</v>
      </c>
    </row>
    <row r="67" spans="16:38" x14ac:dyDescent="0.35">
      <c r="P67" s="24">
        <v>44113</v>
      </c>
      <c r="R67" s="41">
        <f t="shared" si="3"/>
        <v>44805</v>
      </c>
      <c r="S67" s="42">
        <v>3.09E-2</v>
      </c>
      <c r="AI67" s="24">
        <v>44613</v>
      </c>
      <c r="AJ67" s="39"/>
      <c r="AK67" s="41">
        <f t="shared" si="4"/>
        <v>44805</v>
      </c>
      <c r="AL67" s="42">
        <v>3.9140000000000001E-2</v>
      </c>
    </row>
    <row r="68" spans="16:38" x14ac:dyDescent="0.35">
      <c r="P68" s="24">
        <v>44190</v>
      </c>
      <c r="R68" s="41">
        <f t="shared" si="3"/>
        <v>44806</v>
      </c>
      <c r="S68" s="42">
        <v>3.09E-2</v>
      </c>
      <c r="AI68" s="24">
        <v>44711</v>
      </c>
      <c r="AJ68" s="39"/>
      <c r="AK68" s="41">
        <f t="shared" si="4"/>
        <v>44806</v>
      </c>
      <c r="AL68" s="42">
        <v>3.9140000000000001E-2</v>
      </c>
    </row>
    <row r="69" spans="16:38" x14ac:dyDescent="0.35">
      <c r="P69" s="24">
        <v>44197</v>
      </c>
      <c r="R69" s="41">
        <f t="shared" si="3"/>
        <v>44807</v>
      </c>
      <c r="S69" s="42">
        <v>3.09E-2</v>
      </c>
      <c r="AI69" s="24">
        <v>44732</v>
      </c>
      <c r="AJ69" s="39"/>
      <c r="AK69" s="41">
        <f t="shared" si="4"/>
        <v>44807</v>
      </c>
      <c r="AL69" s="42">
        <v>3.9140000000000001E-2</v>
      </c>
    </row>
    <row r="70" spans="16:38" x14ac:dyDescent="0.35">
      <c r="P70" s="24">
        <v>44238</v>
      </c>
      <c r="R70" s="41">
        <f t="shared" si="3"/>
        <v>44808</v>
      </c>
      <c r="S70" s="42">
        <v>3.09E-2</v>
      </c>
      <c r="AI70" s="24">
        <v>44746</v>
      </c>
      <c r="AJ70" s="39"/>
      <c r="AK70" s="41">
        <f t="shared" si="4"/>
        <v>44808</v>
      </c>
      <c r="AL70" s="42">
        <v>3.9140000000000001E-2</v>
      </c>
    </row>
    <row r="71" spans="16:38" x14ac:dyDescent="0.35">
      <c r="P71" s="24">
        <v>44239</v>
      </c>
      <c r="R71" s="41">
        <f t="shared" si="3"/>
        <v>44809</v>
      </c>
      <c r="S71" s="42">
        <v>3.09E-2</v>
      </c>
      <c r="AI71" s="24">
        <v>44809</v>
      </c>
      <c r="AJ71" s="39"/>
      <c r="AK71" s="41">
        <f t="shared" si="4"/>
        <v>44809</v>
      </c>
      <c r="AL71" s="42">
        <v>3.9140000000000001E-2</v>
      </c>
    </row>
    <row r="72" spans="16:38" x14ac:dyDescent="0.35">
      <c r="P72" s="24">
        <v>44240</v>
      </c>
      <c r="R72" s="41">
        <f t="shared" si="3"/>
        <v>44810</v>
      </c>
      <c r="S72" s="42">
        <v>3.09E-2</v>
      </c>
      <c r="AI72" s="24">
        <v>44844</v>
      </c>
      <c r="AJ72" s="39"/>
      <c r="AK72" s="41">
        <f t="shared" si="4"/>
        <v>44810</v>
      </c>
      <c r="AL72" s="42">
        <v>3.9140000000000001E-2</v>
      </c>
    </row>
    <row r="73" spans="16:38" x14ac:dyDescent="0.35">
      <c r="P73" s="24">
        <v>44256</v>
      </c>
      <c r="R73" s="41">
        <f t="shared" si="3"/>
        <v>44811</v>
      </c>
      <c r="S73" s="42">
        <v>3.09E-2</v>
      </c>
      <c r="AI73" s="24">
        <v>44876</v>
      </c>
      <c r="AJ73" s="39"/>
      <c r="AK73" s="41">
        <f t="shared" si="4"/>
        <v>44811</v>
      </c>
      <c r="AL73" s="42">
        <v>3.9140000000000001E-2</v>
      </c>
    </row>
    <row r="74" spans="16:38" x14ac:dyDescent="0.35">
      <c r="P74" s="24">
        <v>44317</v>
      </c>
      <c r="R74" s="41">
        <f t="shared" si="3"/>
        <v>44812</v>
      </c>
      <c r="S74" s="42">
        <v>3.09E-2</v>
      </c>
      <c r="AI74" s="24">
        <v>44889</v>
      </c>
      <c r="AJ74" s="39"/>
      <c r="AK74" s="41">
        <f t="shared" si="4"/>
        <v>44812</v>
      </c>
      <c r="AL74" s="42">
        <v>3.9140000000000001E-2</v>
      </c>
    </row>
    <row r="75" spans="16:38" x14ac:dyDescent="0.35">
      <c r="P75" s="24">
        <v>44321</v>
      </c>
      <c r="R75" s="41">
        <f t="shared" si="3"/>
        <v>44813</v>
      </c>
      <c r="S75" s="42">
        <v>3.09E-2</v>
      </c>
      <c r="AI75" s="24">
        <v>44921</v>
      </c>
      <c r="AJ75" s="39"/>
      <c r="AK75" s="41">
        <f t="shared" si="4"/>
        <v>44813</v>
      </c>
      <c r="AL75" s="42">
        <v>3.9140000000000001E-2</v>
      </c>
    </row>
    <row r="76" spans="16:38" x14ac:dyDescent="0.35">
      <c r="P76" s="24">
        <v>44335</v>
      </c>
      <c r="R76" s="41">
        <f t="shared" si="3"/>
        <v>44814</v>
      </c>
      <c r="S76" s="42">
        <v>3.09E-2</v>
      </c>
      <c r="AI76" s="24">
        <v>44928</v>
      </c>
      <c r="AJ76" s="39"/>
      <c r="AK76" s="41">
        <f t="shared" si="4"/>
        <v>44814</v>
      </c>
      <c r="AL76" s="42">
        <v>3.9140000000000001E-2</v>
      </c>
    </row>
    <row r="77" spans="16:38" x14ac:dyDescent="0.35">
      <c r="P77" s="24">
        <v>44353</v>
      </c>
      <c r="R77" s="41">
        <f t="shared" si="3"/>
        <v>44815</v>
      </c>
      <c r="S77" s="42">
        <v>3.09E-2</v>
      </c>
      <c r="AI77" s="24">
        <v>44942</v>
      </c>
      <c r="AJ77" s="39"/>
      <c r="AK77" s="41">
        <f t="shared" si="4"/>
        <v>44815</v>
      </c>
      <c r="AL77" s="42">
        <v>3.9140000000000001E-2</v>
      </c>
    </row>
    <row r="78" spans="16:38" x14ac:dyDescent="0.35">
      <c r="P78" s="24">
        <v>44424</v>
      </c>
      <c r="R78" s="41">
        <f t="shared" si="3"/>
        <v>44816</v>
      </c>
      <c r="S78" s="42">
        <v>3.09E-2</v>
      </c>
      <c r="AI78" s="24">
        <v>44977</v>
      </c>
      <c r="AJ78" s="39"/>
      <c r="AK78" s="41">
        <f t="shared" si="4"/>
        <v>44816</v>
      </c>
      <c r="AL78" s="42">
        <v>3.9140000000000001E-2</v>
      </c>
    </row>
    <row r="79" spans="16:38" x14ac:dyDescent="0.35">
      <c r="P79" s="24">
        <v>44459</v>
      </c>
      <c r="R79" s="41">
        <f t="shared" si="3"/>
        <v>44817</v>
      </c>
      <c r="S79" s="42">
        <v>3.09E-2</v>
      </c>
      <c r="AI79" s="24">
        <v>45075</v>
      </c>
      <c r="AJ79" s="39"/>
      <c r="AK79" s="41">
        <f t="shared" si="4"/>
        <v>44817</v>
      </c>
      <c r="AL79" s="42">
        <v>3.9140000000000001E-2</v>
      </c>
    </row>
    <row r="80" spans="16:38" x14ac:dyDescent="0.35">
      <c r="P80" s="24">
        <v>44460</v>
      </c>
      <c r="R80" s="41">
        <f t="shared" si="3"/>
        <v>44818</v>
      </c>
      <c r="S80" s="42">
        <v>3.09E-2</v>
      </c>
      <c r="AI80" s="24">
        <v>45096</v>
      </c>
      <c r="AJ80" s="39"/>
      <c r="AK80" s="41">
        <f t="shared" si="4"/>
        <v>44818</v>
      </c>
      <c r="AL80" s="42">
        <v>3.9140000000000001E-2</v>
      </c>
    </row>
    <row r="81" spans="16:38" x14ac:dyDescent="0.35">
      <c r="P81" s="24">
        <v>44461</v>
      </c>
      <c r="R81" s="41">
        <f t="shared" si="3"/>
        <v>44819</v>
      </c>
      <c r="S81" s="42">
        <v>3.09E-2</v>
      </c>
      <c r="AI81" s="24">
        <v>45111</v>
      </c>
      <c r="AJ81" s="39"/>
      <c r="AK81" s="41">
        <f t="shared" si="4"/>
        <v>44819</v>
      </c>
      <c r="AL81" s="42">
        <v>3.9140000000000001E-2</v>
      </c>
    </row>
    <row r="82" spans="16:38" x14ac:dyDescent="0.35">
      <c r="P82" s="24">
        <v>44473</v>
      </c>
      <c r="R82" s="41">
        <f t="shared" si="3"/>
        <v>44820</v>
      </c>
      <c r="S82" s="42">
        <v>3.09E-2</v>
      </c>
      <c r="AI82" s="24">
        <v>45173</v>
      </c>
      <c r="AJ82" s="39"/>
      <c r="AK82" s="41">
        <f t="shared" si="4"/>
        <v>44820</v>
      </c>
      <c r="AL82" s="42">
        <v>3.9140000000000001E-2</v>
      </c>
    </row>
    <row r="83" spans="16:38" x14ac:dyDescent="0.35">
      <c r="P83" s="24">
        <v>44480</v>
      </c>
      <c r="R83" s="41">
        <f t="shared" si="3"/>
        <v>44821</v>
      </c>
      <c r="S83" s="42">
        <v>3.09E-2</v>
      </c>
      <c r="AI83" s="24">
        <v>45208</v>
      </c>
      <c r="AJ83" s="39"/>
      <c r="AK83" s="41">
        <f t="shared" si="4"/>
        <v>44821</v>
      </c>
      <c r="AL83" s="42">
        <v>3.9140000000000001E-2</v>
      </c>
    </row>
    <row r="84" spans="16:38" x14ac:dyDescent="0.35">
      <c r="P84" s="24">
        <v>44557</v>
      </c>
      <c r="R84" s="41">
        <f t="shared" si="3"/>
        <v>44822</v>
      </c>
      <c r="S84" s="42">
        <v>3.09E-2</v>
      </c>
      <c r="AI84" s="24">
        <v>45240</v>
      </c>
      <c r="AJ84" s="39"/>
      <c r="AK84" s="41">
        <f t="shared" si="4"/>
        <v>44822</v>
      </c>
      <c r="AL84" s="42">
        <v>3.9140000000000001E-2</v>
      </c>
    </row>
    <row r="85" spans="16:38" x14ac:dyDescent="0.35">
      <c r="P85" s="24">
        <v>44562</v>
      </c>
      <c r="R85" s="41">
        <f t="shared" si="3"/>
        <v>44823</v>
      </c>
      <c r="S85" s="42">
        <v>3.09E-2</v>
      </c>
      <c r="AI85" s="24">
        <v>45253</v>
      </c>
      <c r="AJ85" s="39"/>
      <c r="AK85" s="41">
        <f t="shared" si="4"/>
        <v>44823</v>
      </c>
      <c r="AL85" s="42">
        <v>3.9140000000000001E-2</v>
      </c>
    </row>
    <row r="86" spans="16:38" x14ac:dyDescent="0.4">
      <c r="P86" s="24">
        <v>44592</v>
      </c>
      <c r="AI86" s="24">
        <v>45285</v>
      </c>
      <c r="AJ86" s="39"/>
    </row>
    <row r="87" spans="16:38" x14ac:dyDescent="0.4">
      <c r="P87" s="24">
        <v>44593</v>
      </c>
      <c r="AI87" s="24">
        <v>45292</v>
      </c>
      <c r="AJ87" s="39"/>
    </row>
    <row r="88" spans="16:38" x14ac:dyDescent="0.4">
      <c r="P88" s="24">
        <v>44594</v>
      </c>
      <c r="AI88" s="24">
        <v>45306</v>
      </c>
      <c r="AJ88" s="39"/>
    </row>
    <row r="89" spans="16:38" x14ac:dyDescent="0.4">
      <c r="P89" s="24">
        <v>44621</v>
      </c>
      <c r="AI89" s="24">
        <v>45341</v>
      </c>
      <c r="AJ89" s="39"/>
    </row>
    <row r="90" spans="16:38" x14ac:dyDescent="0.4">
      <c r="P90" s="24">
        <v>44629</v>
      </c>
      <c r="AI90" s="24">
        <v>45439</v>
      </c>
      <c r="AJ90" s="39"/>
    </row>
    <row r="91" spans="16:38" x14ac:dyDescent="0.4">
      <c r="P91" s="24">
        <v>44682</v>
      </c>
      <c r="AI91" s="24">
        <v>45462</v>
      </c>
      <c r="AJ91" s="39"/>
    </row>
    <row r="92" spans="16:38" x14ac:dyDescent="0.4">
      <c r="P92" s="24">
        <v>44686</v>
      </c>
      <c r="AI92" s="24">
        <v>45477</v>
      </c>
      <c r="AJ92" s="39"/>
    </row>
    <row r="93" spans="16:38" x14ac:dyDescent="0.4">
      <c r="P93" s="24">
        <v>44690</v>
      </c>
      <c r="AI93" s="24">
        <v>45537</v>
      </c>
      <c r="AJ93" s="39"/>
    </row>
    <row r="94" spans="16:38" x14ac:dyDescent="0.4">
      <c r="P94" s="24">
        <v>44713</v>
      </c>
      <c r="AI94" s="24">
        <v>45579</v>
      </c>
      <c r="AJ94" s="39"/>
    </row>
    <row r="95" spans="16:38" x14ac:dyDescent="0.4">
      <c r="P95" s="24">
        <v>44718</v>
      </c>
      <c r="AI95" s="24">
        <v>45607</v>
      </c>
      <c r="AJ95" s="39"/>
    </row>
    <row r="96" spans="16:38" x14ac:dyDescent="0.4">
      <c r="P96" s="24">
        <v>44788</v>
      </c>
      <c r="AI96" s="24">
        <v>45624</v>
      </c>
      <c r="AJ96" s="39"/>
    </row>
    <row r="97" spans="16:36" x14ac:dyDescent="0.4">
      <c r="P97" s="24">
        <v>44813</v>
      </c>
      <c r="AI97" s="24">
        <v>45651</v>
      </c>
      <c r="AJ97" s="39"/>
    </row>
    <row r="98" spans="16:36" x14ac:dyDescent="0.4">
      <c r="P98" s="24">
        <v>44814</v>
      </c>
      <c r="AI98" s="24">
        <v>45658</v>
      </c>
      <c r="AJ98" s="39"/>
    </row>
    <row r="99" spans="16:36" x14ac:dyDescent="0.4">
      <c r="P99" s="24">
        <v>44816</v>
      </c>
      <c r="AI99" s="24">
        <v>45677</v>
      </c>
      <c r="AJ99" s="39"/>
    </row>
    <row r="100" spans="16:36" x14ac:dyDescent="0.4">
      <c r="P100" s="24">
        <v>44837</v>
      </c>
      <c r="AI100" s="24">
        <v>45677</v>
      </c>
      <c r="AJ100" s="39"/>
    </row>
    <row r="101" spans="16:36" x14ac:dyDescent="0.4">
      <c r="P101" s="24">
        <v>44844</v>
      </c>
      <c r="AI101" s="24">
        <v>45705</v>
      </c>
      <c r="AJ101" s="39"/>
    </row>
    <row r="102" spans="16:36" x14ac:dyDescent="0.4">
      <c r="P102" s="24">
        <v>44921</v>
      </c>
      <c r="AI102" s="24">
        <v>45803</v>
      </c>
      <c r="AJ102" s="39"/>
    </row>
    <row r="103" spans="16:36" x14ac:dyDescent="0.4">
      <c r="P103" s="24">
        <v>44927</v>
      </c>
      <c r="AI103" s="24">
        <v>45827</v>
      </c>
      <c r="AJ103" s="39"/>
    </row>
    <row r="104" spans="16:36" x14ac:dyDescent="0.4">
      <c r="P104" s="24">
        <v>44947</v>
      </c>
      <c r="AI104" s="24">
        <v>45842</v>
      </c>
      <c r="AJ104" s="39"/>
    </row>
    <row r="105" spans="16:36" x14ac:dyDescent="0.4">
      <c r="P105" s="24">
        <v>44949</v>
      </c>
      <c r="AI105" s="24">
        <v>45901</v>
      </c>
      <c r="AJ105" s="39"/>
    </row>
    <row r="106" spans="16:36" x14ac:dyDescent="0.4">
      <c r="P106" s="24">
        <v>44950</v>
      </c>
      <c r="AI106" s="24">
        <v>45943</v>
      </c>
      <c r="AJ106" s="39"/>
    </row>
    <row r="107" spans="16:36" x14ac:dyDescent="0.4">
      <c r="P107" s="24">
        <v>44986</v>
      </c>
      <c r="AI107" s="24">
        <v>45972</v>
      </c>
      <c r="AJ107" s="39"/>
    </row>
    <row r="108" spans="16:36" x14ac:dyDescent="0.4">
      <c r="P108" s="24">
        <v>45047</v>
      </c>
      <c r="AI108" s="24">
        <v>45988</v>
      </c>
      <c r="AJ108" s="39"/>
    </row>
    <row r="109" spans="16:36" x14ac:dyDescent="0.4">
      <c r="P109" s="24">
        <v>45051</v>
      </c>
      <c r="AI109" s="24">
        <v>46016</v>
      </c>
      <c r="AJ109" s="39"/>
    </row>
    <row r="110" spans="16:36" x14ac:dyDescent="0.4">
      <c r="P110" s="24">
        <v>45075</v>
      </c>
      <c r="AI110" s="24">
        <v>46023</v>
      </c>
      <c r="AJ110" s="39"/>
    </row>
    <row r="111" spans="16:36" x14ac:dyDescent="0.4">
      <c r="P111" s="24">
        <v>45083</v>
      </c>
      <c r="AI111" s="24">
        <v>46041</v>
      </c>
      <c r="AJ111" s="39"/>
    </row>
    <row r="112" spans="16:36" x14ac:dyDescent="0.4">
      <c r="P112" s="24">
        <v>45153</v>
      </c>
      <c r="AI112" s="24">
        <v>46069</v>
      </c>
      <c r="AJ112" s="39"/>
    </row>
    <row r="113" spans="16:36" x14ac:dyDescent="0.4">
      <c r="P113" s="24">
        <v>45197</v>
      </c>
      <c r="AI113" s="24">
        <v>46167</v>
      </c>
      <c r="AJ113" s="39"/>
    </row>
    <row r="114" spans="16:36" x14ac:dyDescent="0.4">
      <c r="P114" s="24">
        <v>45198</v>
      </c>
      <c r="AI114" s="24">
        <v>46192</v>
      </c>
      <c r="AJ114" s="39"/>
    </row>
    <row r="115" spans="16:36" x14ac:dyDescent="0.4">
      <c r="P115" s="24">
        <v>45199</v>
      </c>
      <c r="AI115" s="24">
        <v>46206</v>
      </c>
      <c r="AJ115" s="39"/>
    </row>
    <row r="116" spans="16:36" x14ac:dyDescent="0.4">
      <c r="P116" s="24">
        <v>45201</v>
      </c>
      <c r="AI116" s="24">
        <v>46272</v>
      </c>
      <c r="AJ116" s="39"/>
    </row>
    <row r="117" spans="16:36" x14ac:dyDescent="0.4">
      <c r="P117" s="24">
        <v>45202</v>
      </c>
      <c r="AI117" s="24">
        <v>46307</v>
      </c>
      <c r="AJ117" s="39"/>
    </row>
    <row r="118" spans="16:36" x14ac:dyDescent="0.4">
      <c r="P118" s="24">
        <v>45208</v>
      </c>
      <c r="AI118" s="24">
        <v>46337</v>
      </c>
      <c r="AJ118" s="39"/>
    </row>
    <row r="119" spans="16:36" x14ac:dyDescent="0.4">
      <c r="P119" s="24">
        <v>45285</v>
      </c>
      <c r="AI119" s="24">
        <v>46352</v>
      </c>
      <c r="AJ119" s="39"/>
    </row>
    <row r="120" spans="16:36" x14ac:dyDescent="0.4">
      <c r="P120" s="24">
        <v>45292</v>
      </c>
      <c r="AI120" s="24">
        <v>46381</v>
      </c>
      <c r="AJ120" s="39"/>
    </row>
    <row r="121" spans="16:36" x14ac:dyDescent="0.4">
      <c r="P121" s="24">
        <v>45331</v>
      </c>
      <c r="AI121" s="24">
        <v>46388</v>
      </c>
      <c r="AJ121" s="39"/>
    </row>
    <row r="122" spans="16:36" x14ac:dyDescent="0.4">
      <c r="P122" s="24">
        <v>45332</v>
      </c>
      <c r="AI122" s="24">
        <v>46405</v>
      </c>
      <c r="AJ122" s="39"/>
    </row>
    <row r="123" spans="16:36" x14ac:dyDescent="0.4">
      <c r="P123" s="24">
        <v>45334</v>
      </c>
      <c r="AI123" s="24">
        <v>46433</v>
      </c>
      <c r="AJ123" s="39"/>
    </row>
    <row r="124" spans="16:36" x14ac:dyDescent="0.4">
      <c r="P124" s="24">
        <v>45352</v>
      </c>
      <c r="AI124" s="24">
        <v>46538</v>
      </c>
      <c r="AJ124" s="39"/>
    </row>
    <row r="125" spans="16:36" x14ac:dyDescent="0.4">
      <c r="P125" s="24">
        <v>45392</v>
      </c>
      <c r="AI125" s="24">
        <v>46556</v>
      </c>
      <c r="AJ125" s="39"/>
    </row>
    <row r="126" spans="16:36" x14ac:dyDescent="0.4">
      <c r="P126" s="24">
        <v>45413</v>
      </c>
      <c r="AI126" s="24">
        <v>46573</v>
      </c>
      <c r="AJ126" s="39"/>
    </row>
    <row r="127" spans="16:36" x14ac:dyDescent="0.4">
      <c r="P127" s="24">
        <v>45418</v>
      </c>
      <c r="AI127" s="24">
        <v>46636</v>
      </c>
      <c r="AJ127" s="39"/>
    </row>
    <row r="128" spans="16:36" x14ac:dyDescent="0.4">
      <c r="P128" s="24">
        <v>45427</v>
      </c>
      <c r="AI128" s="24">
        <v>46671</v>
      </c>
      <c r="AJ128" s="39"/>
    </row>
    <row r="129" spans="16:36" x14ac:dyDescent="0.4">
      <c r="P129" s="24">
        <v>45449</v>
      </c>
      <c r="AI129" s="24">
        <v>46702</v>
      </c>
      <c r="AJ129" s="39"/>
    </row>
    <row r="130" spans="16:36" x14ac:dyDescent="0.4">
      <c r="P130" s="24">
        <v>45519</v>
      </c>
      <c r="AI130" s="24">
        <v>46716</v>
      </c>
      <c r="AJ130" s="39"/>
    </row>
    <row r="131" spans="16:36" x14ac:dyDescent="0.4">
      <c r="P131" s="24">
        <v>45551</v>
      </c>
      <c r="AI131" s="24">
        <v>46745</v>
      </c>
      <c r="AJ131" s="39"/>
    </row>
    <row r="132" spans="16:36" x14ac:dyDescent="0.4">
      <c r="P132" s="24">
        <v>45552</v>
      </c>
      <c r="AI132" s="24">
        <v>46752</v>
      </c>
      <c r="AJ132" s="39"/>
    </row>
    <row r="133" spans="16:36" x14ac:dyDescent="0.4">
      <c r="P133" s="24">
        <v>45553</v>
      </c>
      <c r="AI133" s="24">
        <v>46769</v>
      </c>
      <c r="AJ133" s="39"/>
    </row>
    <row r="134" spans="16:36" x14ac:dyDescent="0.4">
      <c r="P134" s="24">
        <v>45568</v>
      </c>
      <c r="AI134" s="24">
        <v>46804</v>
      </c>
      <c r="AJ134" s="39"/>
    </row>
    <row r="135" spans="16:36" x14ac:dyDescent="0.4">
      <c r="P135" s="24">
        <v>45574</v>
      </c>
      <c r="AI135" s="24">
        <v>46902</v>
      </c>
      <c r="AJ135" s="39"/>
    </row>
    <row r="136" spans="16:36" x14ac:dyDescent="0.4">
      <c r="P136" s="24">
        <v>45651</v>
      </c>
      <c r="AI136" s="24">
        <v>46923</v>
      </c>
      <c r="AJ136" s="39"/>
    </row>
    <row r="137" spans="16:36" x14ac:dyDescent="0.4">
      <c r="P137" s="24">
        <v>45658</v>
      </c>
      <c r="AI137" s="24">
        <v>46938</v>
      </c>
      <c r="AJ137" s="39"/>
    </row>
    <row r="138" spans="16:36" x14ac:dyDescent="0.4">
      <c r="P138" s="24">
        <v>45685</v>
      </c>
      <c r="AI138" s="24">
        <v>47000</v>
      </c>
      <c r="AJ138" s="39"/>
    </row>
    <row r="139" spans="16:36" x14ac:dyDescent="0.4">
      <c r="P139" s="24">
        <v>45686</v>
      </c>
      <c r="AI139" s="24">
        <v>47035</v>
      </c>
      <c r="AJ139" s="39"/>
    </row>
    <row r="140" spans="16:36" x14ac:dyDescent="0.4">
      <c r="P140" s="24">
        <v>45687</v>
      </c>
      <c r="AI140" s="24">
        <v>47067</v>
      </c>
      <c r="AJ140" s="39"/>
    </row>
    <row r="141" spans="16:36" x14ac:dyDescent="0.4">
      <c r="P141" s="24">
        <v>45719</v>
      </c>
      <c r="AI141" s="24">
        <v>47080</v>
      </c>
      <c r="AJ141" s="39"/>
    </row>
    <row r="142" spans="16:36" x14ac:dyDescent="0.4">
      <c r="P142" s="24">
        <v>45778</v>
      </c>
      <c r="AI142" s="24">
        <v>47112</v>
      </c>
      <c r="AJ142" s="39"/>
    </row>
    <row r="143" spans="16:36" x14ac:dyDescent="0.4">
      <c r="P143" s="24">
        <v>45782</v>
      </c>
      <c r="AI143" s="24">
        <v>47119</v>
      </c>
      <c r="AJ143" s="39"/>
    </row>
    <row r="144" spans="16:36" x14ac:dyDescent="0.4">
      <c r="P144" s="24">
        <v>45782</v>
      </c>
      <c r="AI144" s="24">
        <v>47133</v>
      </c>
      <c r="AJ144" s="39"/>
    </row>
    <row r="145" spans="16:36" x14ac:dyDescent="0.4">
      <c r="P145" s="24">
        <v>45814</v>
      </c>
      <c r="AI145" s="24">
        <v>47137</v>
      </c>
      <c r="AJ145" s="39"/>
    </row>
    <row r="146" spans="16:36" x14ac:dyDescent="0.4">
      <c r="P146" s="24">
        <v>45884</v>
      </c>
      <c r="AI146" s="24">
        <v>47168</v>
      </c>
      <c r="AJ146" s="39"/>
    </row>
    <row r="147" spans="16:36" x14ac:dyDescent="0.4">
      <c r="P147" s="24">
        <v>45933</v>
      </c>
      <c r="AI147" s="24">
        <v>47266</v>
      </c>
      <c r="AJ147" s="39"/>
    </row>
    <row r="148" spans="16:36" x14ac:dyDescent="0.4">
      <c r="P148" s="24">
        <v>45936</v>
      </c>
      <c r="AI148" s="24">
        <v>47288</v>
      </c>
      <c r="AJ148" s="39"/>
    </row>
    <row r="149" spans="16:36" x14ac:dyDescent="0.4">
      <c r="P149" s="24">
        <v>45937</v>
      </c>
      <c r="AI149" s="24">
        <v>47303</v>
      </c>
      <c r="AJ149" s="39"/>
    </row>
    <row r="150" spans="16:36" x14ac:dyDescent="0.4">
      <c r="P150" s="24">
        <v>45938</v>
      </c>
      <c r="AI150" s="24">
        <v>47364</v>
      </c>
      <c r="AJ150" s="39"/>
    </row>
    <row r="151" spans="16:36" x14ac:dyDescent="0.4">
      <c r="P151" s="24">
        <v>45939</v>
      </c>
      <c r="AI151" s="24">
        <v>47399</v>
      </c>
      <c r="AJ151" s="39"/>
    </row>
    <row r="152" spans="16:36" x14ac:dyDescent="0.4">
      <c r="P152" s="24">
        <v>46016</v>
      </c>
      <c r="AI152" s="24">
        <v>47434</v>
      </c>
      <c r="AJ152" s="39"/>
    </row>
    <row r="153" spans="16:36" x14ac:dyDescent="0.4">
      <c r="P153" s="24">
        <v>46023</v>
      </c>
      <c r="AI153" s="24">
        <v>47444</v>
      </c>
      <c r="AJ153" s="39"/>
    </row>
    <row r="154" spans="16:36" x14ac:dyDescent="0.4">
      <c r="P154" s="24">
        <v>46069</v>
      </c>
      <c r="AI154" s="24">
        <v>47477</v>
      </c>
      <c r="AJ154" s="39"/>
    </row>
    <row r="155" spans="16:36" x14ac:dyDescent="0.4">
      <c r="P155" s="24">
        <v>46070</v>
      </c>
      <c r="AI155" s="24">
        <v>47484</v>
      </c>
      <c r="AJ155" s="39"/>
    </row>
    <row r="156" spans="16:36" x14ac:dyDescent="0.4">
      <c r="P156" s="24">
        <v>46071</v>
      </c>
      <c r="AI156" s="24">
        <v>47504</v>
      </c>
      <c r="AJ156" s="39"/>
    </row>
    <row r="157" spans="16:36" x14ac:dyDescent="0.4">
      <c r="P157" s="24">
        <v>46083</v>
      </c>
      <c r="AI157" s="24">
        <v>47532</v>
      </c>
      <c r="AJ157" s="39"/>
    </row>
    <row r="158" spans="16:36" x14ac:dyDescent="0.4">
      <c r="P158" s="24">
        <v>46143</v>
      </c>
      <c r="AI158" s="24">
        <v>47630</v>
      </c>
      <c r="AJ158" s="39"/>
    </row>
    <row r="159" spans="16:36" x14ac:dyDescent="0.4">
      <c r="P159" s="24">
        <v>46147</v>
      </c>
      <c r="AI159" s="24">
        <v>47653</v>
      </c>
      <c r="AJ159" s="39"/>
    </row>
    <row r="160" spans="16:36" x14ac:dyDescent="0.4">
      <c r="P160" s="24">
        <v>46167</v>
      </c>
      <c r="AI160" s="24">
        <v>47668</v>
      </c>
      <c r="AJ160" s="39"/>
    </row>
    <row r="161" spans="16:36" x14ac:dyDescent="0.4">
      <c r="P161" s="24">
        <v>46179</v>
      </c>
      <c r="AI161" s="24">
        <v>47728</v>
      </c>
      <c r="AJ161" s="39"/>
    </row>
    <row r="162" spans="16:36" x14ac:dyDescent="0.4">
      <c r="P162" s="24">
        <v>46251</v>
      </c>
      <c r="AI162" s="24">
        <v>47770</v>
      </c>
      <c r="AJ162" s="39"/>
    </row>
    <row r="163" spans="16:36" x14ac:dyDescent="0.4">
      <c r="P163" s="24">
        <v>46289</v>
      </c>
      <c r="AI163" s="24">
        <v>47798</v>
      </c>
      <c r="AJ163" s="39"/>
    </row>
    <row r="164" spans="16:36" x14ac:dyDescent="0.4">
      <c r="P164" s="24">
        <v>46290</v>
      </c>
      <c r="AI164" s="24">
        <v>47815</v>
      </c>
      <c r="AJ164" s="39"/>
    </row>
    <row r="165" spans="16:36" x14ac:dyDescent="0.4">
      <c r="P165" s="24">
        <v>46291</v>
      </c>
      <c r="AI165" s="24">
        <v>47842</v>
      </c>
      <c r="AJ165" s="39"/>
    </row>
    <row r="166" spans="16:36" x14ac:dyDescent="0.4">
      <c r="P166" s="24">
        <v>46300</v>
      </c>
      <c r="AI166" s="24">
        <v>47849</v>
      </c>
      <c r="AJ166" s="39"/>
    </row>
    <row r="167" spans="16:36" x14ac:dyDescent="0.4">
      <c r="P167" s="24">
        <v>46304</v>
      </c>
      <c r="AI167" s="24">
        <v>47868</v>
      </c>
      <c r="AJ167" s="39"/>
    </row>
    <row r="168" spans="16:36" x14ac:dyDescent="0.4">
      <c r="P168" s="24">
        <v>46381</v>
      </c>
      <c r="AI168" s="24">
        <v>47896</v>
      </c>
      <c r="AJ168" s="39"/>
    </row>
    <row r="169" spans="16:36" x14ac:dyDescent="0.4">
      <c r="P169" s="24">
        <v>46388</v>
      </c>
      <c r="AI169" s="24">
        <v>47994</v>
      </c>
      <c r="AJ169" s="39"/>
    </row>
    <row r="170" spans="16:36" x14ac:dyDescent="0.4">
      <c r="P170" s="24">
        <v>46424</v>
      </c>
      <c r="AI170" s="24">
        <v>48018</v>
      </c>
      <c r="AJ170" s="39"/>
    </row>
    <row r="171" spans="16:36" x14ac:dyDescent="0.4">
      <c r="P171" s="24">
        <v>46426</v>
      </c>
      <c r="AI171" s="24">
        <v>48033</v>
      </c>
      <c r="AJ171" s="39"/>
    </row>
    <row r="172" spans="16:36" x14ac:dyDescent="0.4">
      <c r="P172" s="24">
        <v>46427</v>
      </c>
      <c r="AI172" s="24">
        <v>48092</v>
      </c>
      <c r="AJ172" s="39"/>
    </row>
    <row r="173" spans="16:36" x14ac:dyDescent="0.4">
      <c r="P173" s="24">
        <v>46447</v>
      </c>
      <c r="AI173" s="24">
        <v>48134</v>
      </c>
      <c r="AJ173" s="39"/>
    </row>
    <row r="174" spans="16:36" x14ac:dyDescent="0.4">
      <c r="P174" s="24">
        <v>46508</v>
      </c>
      <c r="AI174" s="24">
        <v>48163</v>
      </c>
      <c r="AJ174" s="39"/>
    </row>
    <row r="175" spans="16:36" x14ac:dyDescent="0.4">
      <c r="P175" s="24">
        <v>46512</v>
      </c>
      <c r="AI175" s="24">
        <v>48179</v>
      </c>
      <c r="AJ175" s="39"/>
    </row>
    <row r="176" spans="16:36" x14ac:dyDescent="0.4">
      <c r="P176" s="24">
        <v>46520</v>
      </c>
      <c r="AI176" s="24">
        <v>48207</v>
      </c>
      <c r="AJ176" s="39"/>
    </row>
    <row r="177" spans="16:36" x14ac:dyDescent="0.4">
      <c r="P177" s="24">
        <v>46544</v>
      </c>
      <c r="AI177" s="24">
        <v>48214</v>
      </c>
      <c r="AJ177" s="39"/>
    </row>
    <row r="178" spans="16:36" x14ac:dyDescent="0.4">
      <c r="P178" s="24">
        <v>46615</v>
      </c>
      <c r="AI178" s="24">
        <v>48232</v>
      </c>
      <c r="AJ178" s="39"/>
    </row>
    <row r="179" spans="16:36" x14ac:dyDescent="0.4">
      <c r="P179" s="24">
        <v>46644</v>
      </c>
      <c r="AI179" s="24">
        <v>48260</v>
      </c>
      <c r="AJ179" s="39"/>
    </row>
    <row r="180" spans="16:36" x14ac:dyDescent="0.4">
      <c r="P180" s="24">
        <v>46645</v>
      </c>
      <c r="AI180" s="24">
        <v>48365</v>
      </c>
      <c r="AJ180" s="39"/>
    </row>
    <row r="181" spans="16:36" x14ac:dyDescent="0.4">
      <c r="P181" s="24">
        <v>46646</v>
      </c>
      <c r="AI181" s="24">
        <v>48383</v>
      </c>
      <c r="AJ181" s="39"/>
    </row>
    <row r="182" spans="16:36" x14ac:dyDescent="0.4">
      <c r="P182" s="24">
        <v>46664</v>
      </c>
      <c r="AI182" s="24">
        <v>48400</v>
      </c>
      <c r="AJ182" s="39"/>
    </row>
    <row r="183" spans="16:36" x14ac:dyDescent="0.4">
      <c r="P183" s="24">
        <v>46671</v>
      </c>
      <c r="AI183" s="24">
        <v>48463</v>
      </c>
      <c r="AJ183" s="39"/>
    </row>
    <row r="184" spans="16:36" x14ac:dyDescent="0.4">
      <c r="P184" s="24">
        <v>46748</v>
      </c>
      <c r="AI184" s="24">
        <v>48498</v>
      </c>
      <c r="AJ184" s="39"/>
    </row>
    <row r="185" spans="16:36" x14ac:dyDescent="0.4">
      <c r="P185" s="24">
        <v>46753</v>
      </c>
      <c r="AI185" s="24">
        <v>48529</v>
      </c>
      <c r="AJ185" s="39"/>
    </row>
    <row r="186" spans="16:36" x14ac:dyDescent="0.4">
      <c r="P186" s="24">
        <v>46778</v>
      </c>
      <c r="AI186" s="24">
        <v>48543</v>
      </c>
      <c r="AJ186" s="39"/>
    </row>
    <row r="187" spans="16:36" x14ac:dyDescent="0.4">
      <c r="P187" s="24">
        <v>46779</v>
      </c>
      <c r="AI187" s="24">
        <v>48572</v>
      </c>
      <c r="AJ187" s="39"/>
    </row>
    <row r="188" spans="16:36" x14ac:dyDescent="0.4">
      <c r="P188" s="24">
        <v>46780</v>
      </c>
      <c r="AI188" s="24">
        <v>48579</v>
      </c>
      <c r="AJ188" s="39"/>
    </row>
    <row r="189" spans="16:36" x14ac:dyDescent="0.4">
      <c r="P189" s="24">
        <v>46813</v>
      </c>
      <c r="AI189" s="24">
        <v>48596</v>
      </c>
      <c r="AJ189" s="39"/>
    </row>
    <row r="190" spans="16:36" x14ac:dyDescent="0.4">
      <c r="P190" s="24">
        <v>46874</v>
      </c>
      <c r="AI190" s="24">
        <v>48599</v>
      </c>
      <c r="AJ190" s="39"/>
    </row>
    <row r="191" spans="16:36" x14ac:dyDescent="0.4">
      <c r="P191" s="24">
        <v>46875</v>
      </c>
      <c r="AI191" s="24">
        <v>48631</v>
      </c>
      <c r="AJ191" s="39"/>
    </row>
    <row r="192" spans="16:36" x14ac:dyDescent="0.4">
      <c r="P192" s="24">
        <v>46878</v>
      </c>
      <c r="AI192" s="24">
        <v>48729</v>
      </c>
      <c r="AJ192" s="39"/>
    </row>
    <row r="193" spans="16:36" x14ac:dyDescent="0.4">
      <c r="P193" s="24">
        <v>46910</v>
      </c>
      <c r="AI193" s="24">
        <v>48750</v>
      </c>
      <c r="AJ193" s="39"/>
    </row>
    <row r="194" spans="16:36" x14ac:dyDescent="0.4">
      <c r="P194" s="24">
        <v>46980</v>
      </c>
      <c r="AI194" s="24">
        <v>48764</v>
      </c>
      <c r="AJ194" s="39"/>
    </row>
    <row r="195" spans="16:36" x14ac:dyDescent="0.4">
      <c r="P195" s="24">
        <v>47028</v>
      </c>
      <c r="AI195" s="24">
        <v>48827</v>
      </c>
      <c r="AJ195" s="39"/>
    </row>
    <row r="196" spans="16:36" x14ac:dyDescent="0.4">
      <c r="P196" s="24">
        <v>47029</v>
      </c>
      <c r="AI196" s="24">
        <v>48862</v>
      </c>
      <c r="AJ196" s="39"/>
    </row>
    <row r="197" spans="16:36" x14ac:dyDescent="0.4">
      <c r="P197" s="24">
        <v>47029</v>
      </c>
      <c r="AI197" s="24">
        <v>48894</v>
      </c>
      <c r="AJ197" s="39"/>
    </row>
    <row r="198" spans="16:36" x14ac:dyDescent="0.4">
      <c r="P198" s="24">
        <v>47030</v>
      </c>
      <c r="AI198" s="24">
        <v>48907</v>
      </c>
      <c r="AJ198" s="39"/>
    </row>
    <row r="199" spans="16:36" x14ac:dyDescent="0.4">
      <c r="P199" s="24">
        <v>47035</v>
      </c>
      <c r="AI199" s="24">
        <v>48939</v>
      </c>
      <c r="AJ199" s="39"/>
    </row>
    <row r="200" spans="16:36" x14ac:dyDescent="0.4">
      <c r="P200" s="24">
        <v>47112</v>
      </c>
      <c r="AI200" s="24">
        <v>48946</v>
      </c>
      <c r="AJ200" s="39"/>
    </row>
    <row r="201" spans="16:36" x14ac:dyDescent="0.4">
      <c r="P201" s="24">
        <v>47119</v>
      </c>
      <c r="AI201" s="24">
        <v>48960</v>
      </c>
      <c r="AJ201" s="39"/>
    </row>
    <row r="202" spans="16:36" x14ac:dyDescent="0.4">
      <c r="P202" s="24">
        <v>47161</v>
      </c>
      <c r="AI202" s="24">
        <v>48995</v>
      </c>
      <c r="AJ202" s="39"/>
    </row>
    <row r="203" spans="16:36" x14ac:dyDescent="0.4">
      <c r="P203" s="24">
        <v>47162</v>
      </c>
      <c r="AI203" s="24">
        <v>49093</v>
      </c>
      <c r="AJ203" s="39"/>
    </row>
    <row r="204" spans="16:36" x14ac:dyDescent="0.4">
      <c r="P204" s="24">
        <v>47163</v>
      </c>
      <c r="AI204" s="24">
        <v>49114</v>
      </c>
      <c r="AJ204" s="39"/>
    </row>
    <row r="205" spans="16:36" x14ac:dyDescent="0.4">
      <c r="P205" s="24">
        <v>47178</v>
      </c>
      <c r="AI205" s="24">
        <v>49129</v>
      </c>
      <c r="AJ205" s="39"/>
    </row>
    <row r="206" spans="16:36" x14ac:dyDescent="0.4">
      <c r="P206" s="24">
        <v>47239</v>
      </c>
      <c r="AI206" s="24">
        <v>49191</v>
      </c>
      <c r="AJ206" s="39"/>
    </row>
    <row r="207" spans="16:36" x14ac:dyDescent="0.4">
      <c r="P207" s="24">
        <v>47245</v>
      </c>
      <c r="AI207" s="24">
        <v>49226</v>
      </c>
      <c r="AJ207" s="39"/>
    </row>
    <row r="208" spans="16:36" x14ac:dyDescent="0.4">
      <c r="P208" s="24">
        <v>47259</v>
      </c>
      <c r="AI208" s="24">
        <v>49258</v>
      </c>
      <c r="AJ208" s="39"/>
    </row>
    <row r="209" spans="16:36" x14ac:dyDescent="0.4">
      <c r="P209" s="24">
        <v>47275</v>
      </c>
      <c r="AI209" s="24">
        <v>49271</v>
      </c>
      <c r="AJ209" s="39"/>
    </row>
    <row r="210" spans="16:36" x14ac:dyDescent="0.4">
      <c r="P210" s="24">
        <v>47345</v>
      </c>
      <c r="AI210" s="24">
        <v>49303</v>
      </c>
      <c r="AJ210" s="39"/>
    </row>
    <row r="211" spans="16:36" x14ac:dyDescent="0.4">
      <c r="P211" s="24">
        <v>47382</v>
      </c>
      <c r="AI211" s="24">
        <v>49310</v>
      </c>
      <c r="AJ211" s="39"/>
    </row>
    <row r="212" spans="16:36" x14ac:dyDescent="0.4">
      <c r="P212" s="24">
        <v>47383</v>
      </c>
      <c r="AI212" s="24">
        <v>49324</v>
      </c>
      <c r="AJ212" s="39"/>
    </row>
    <row r="213" spans="16:36" x14ac:dyDescent="0.4">
      <c r="P213" s="24">
        <v>47385</v>
      </c>
      <c r="AI213" s="24">
        <v>49359</v>
      </c>
      <c r="AJ213" s="39"/>
    </row>
    <row r="214" spans="16:36" x14ac:dyDescent="0.4">
      <c r="P214" s="24">
        <v>47394</v>
      </c>
      <c r="AI214" s="24">
        <v>49457</v>
      </c>
      <c r="AJ214" s="39"/>
    </row>
    <row r="215" spans="16:36" x14ac:dyDescent="0.4">
      <c r="P215" s="24">
        <v>47400</v>
      </c>
      <c r="AI215" s="24">
        <v>49479</v>
      </c>
      <c r="AJ215" s="39"/>
    </row>
    <row r="216" spans="16:36" x14ac:dyDescent="0.4">
      <c r="P216" s="24">
        <v>47477</v>
      </c>
      <c r="AI216" s="24">
        <v>49494</v>
      </c>
      <c r="AJ216" s="39"/>
    </row>
    <row r="217" spans="16:36" x14ac:dyDescent="0.4">
      <c r="P217" s="24">
        <v>47484</v>
      </c>
      <c r="AI217" s="24">
        <v>49555</v>
      </c>
      <c r="AJ217" s="39"/>
    </row>
    <row r="218" spans="16:36" x14ac:dyDescent="0.4">
      <c r="P218" s="24">
        <v>47516</v>
      </c>
      <c r="AI218" s="24">
        <v>49590</v>
      </c>
      <c r="AJ218" s="39"/>
    </row>
    <row r="219" spans="16:36" x14ac:dyDescent="0.4">
      <c r="P219" s="24">
        <v>47518</v>
      </c>
      <c r="AI219" s="24">
        <v>49625</v>
      </c>
      <c r="AJ219" s="39"/>
    </row>
    <row r="220" spans="16:36" x14ac:dyDescent="0.4">
      <c r="P220" s="24">
        <v>47519</v>
      </c>
      <c r="AI220" s="24">
        <v>49635</v>
      </c>
      <c r="AJ220" s="39"/>
    </row>
    <row r="221" spans="16:36" x14ac:dyDescent="0.4">
      <c r="P221" s="24">
        <v>47543</v>
      </c>
      <c r="AI221" s="24">
        <v>49668</v>
      </c>
      <c r="AJ221" s="39"/>
    </row>
    <row r="222" spans="16:36" x14ac:dyDescent="0.4">
      <c r="P222" s="24">
        <v>47604</v>
      </c>
      <c r="AI222" s="24">
        <v>49675</v>
      </c>
      <c r="AJ222" s="39"/>
    </row>
    <row r="223" spans="16:36" x14ac:dyDescent="0.4">
      <c r="P223" s="24">
        <v>47609</v>
      </c>
      <c r="AI223" s="24">
        <v>49695</v>
      </c>
      <c r="AJ223" s="39"/>
    </row>
    <row r="224" spans="16:36" x14ac:dyDescent="0.4">
      <c r="P224" s="24">
        <v>47612</v>
      </c>
      <c r="AI224" s="24">
        <v>49723</v>
      </c>
      <c r="AJ224" s="39"/>
    </row>
    <row r="225" spans="16:36" x14ac:dyDescent="0.4">
      <c r="P225" s="24">
        <v>47640</v>
      </c>
      <c r="AI225" s="24">
        <v>49821</v>
      </c>
      <c r="AJ225" s="39"/>
    </row>
    <row r="226" spans="16:36" x14ac:dyDescent="0.4">
      <c r="P226" s="24">
        <v>47710</v>
      </c>
      <c r="AI226" s="24">
        <v>49845</v>
      </c>
      <c r="AJ226" s="39"/>
    </row>
    <row r="227" spans="16:36" x14ac:dyDescent="0.4">
      <c r="P227" s="24">
        <v>47737</v>
      </c>
      <c r="AI227" s="24">
        <v>49860</v>
      </c>
      <c r="AJ227" s="39"/>
    </row>
    <row r="228" spans="16:36" x14ac:dyDescent="0.4">
      <c r="P228" s="24">
        <v>47738</v>
      </c>
      <c r="AI228" s="24">
        <v>49919</v>
      </c>
      <c r="AJ228" s="39"/>
    </row>
    <row r="229" spans="16:36" x14ac:dyDescent="0.4">
      <c r="P229" s="24">
        <v>47739</v>
      </c>
      <c r="AI229" s="24">
        <v>49961</v>
      </c>
      <c r="AJ229" s="39"/>
    </row>
    <row r="230" spans="16:36" x14ac:dyDescent="0.4">
      <c r="P230" s="24">
        <v>47759</v>
      </c>
      <c r="AI230" s="24">
        <v>49990</v>
      </c>
      <c r="AJ230" s="39"/>
    </row>
    <row r="231" spans="16:36" x14ac:dyDescent="0.4">
      <c r="P231" s="24">
        <v>47765</v>
      </c>
      <c r="AI231" s="24">
        <v>50006</v>
      </c>
      <c r="AJ231" s="39"/>
    </row>
    <row r="232" spans="16:36" x14ac:dyDescent="0.4">
      <c r="P232" s="24">
        <v>47842</v>
      </c>
      <c r="AI232" s="24">
        <v>50034</v>
      </c>
      <c r="AJ232" s="39"/>
    </row>
    <row r="233" spans="16:36" x14ac:dyDescent="0.4">
      <c r="P233" s="24">
        <v>47849</v>
      </c>
      <c r="AI233" s="24">
        <v>50041</v>
      </c>
      <c r="AJ233" s="39"/>
    </row>
    <row r="234" spans="16:36" x14ac:dyDescent="0.4">
      <c r="P234" s="24">
        <v>47870</v>
      </c>
      <c r="AI234" s="24">
        <v>50059</v>
      </c>
      <c r="AJ234" s="39"/>
    </row>
    <row r="235" spans="16:36" x14ac:dyDescent="0.4">
      <c r="P235" s="24">
        <v>47871</v>
      </c>
      <c r="AI235" s="24">
        <v>50060</v>
      </c>
      <c r="AJ235" s="39"/>
    </row>
    <row r="236" spans="16:36" x14ac:dyDescent="0.4">
      <c r="P236" s="24">
        <v>47872</v>
      </c>
      <c r="AI236" s="24">
        <v>50087</v>
      </c>
      <c r="AJ236" s="39"/>
    </row>
    <row r="237" spans="16:36" x14ac:dyDescent="0.4">
      <c r="P237" s="24">
        <v>47910</v>
      </c>
      <c r="AI237" s="24">
        <v>50185</v>
      </c>
      <c r="AJ237" s="39"/>
    </row>
    <row r="238" spans="16:36" x14ac:dyDescent="0.4">
      <c r="P238" s="24">
        <v>47969</v>
      </c>
      <c r="AI238" s="24">
        <v>50210</v>
      </c>
      <c r="AJ238" s="39"/>
    </row>
    <row r="239" spans="16:36" x14ac:dyDescent="0.4">
      <c r="P239" s="24">
        <v>47973</v>
      </c>
      <c r="AI239" s="24">
        <v>50224</v>
      </c>
      <c r="AJ239" s="39"/>
    </row>
    <row r="240" spans="16:36" x14ac:dyDescent="0.4">
      <c r="P240" s="24">
        <v>47996</v>
      </c>
      <c r="AI240" s="24">
        <v>50290</v>
      </c>
      <c r="AJ240" s="39"/>
    </row>
    <row r="241" spans="16:36" x14ac:dyDescent="0.4">
      <c r="P241" s="24">
        <v>48005</v>
      </c>
      <c r="AI241" s="24">
        <v>50325</v>
      </c>
      <c r="AJ241" s="39"/>
    </row>
    <row r="242" spans="16:36" x14ac:dyDescent="0.4">
      <c r="P242" s="24">
        <v>48075</v>
      </c>
      <c r="AI242" s="24">
        <v>50355</v>
      </c>
      <c r="AJ242" s="39"/>
    </row>
    <row r="243" spans="16:36" x14ac:dyDescent="0.4">
      <c r="P243" s="24">
        <v>48121</v>
      </c>
      <c r="AI243" s="24">
        <v>50370</v>
      </c>
      <c r="AJ243" s="39"/>
    </row>
    <row r="244" spans="16:36" x14ac:dyDescent="0.4">
      <c r="P244" s="24">
        <v>48122</v>
      </c>
      <c r="AI244" s="24">
        <v>50399</v>
      </c>
      <c r="AJ244" s="39"/>
    </row>
    <row r="245" spans="16:36" x14ac:dyDescent="0.4">
      <c r="P245" s="24">
        <v>48123</v>
      </c>
      <c r="AI245" s="24">
        <v>50406</v>
      </c>
      <c r="AJ245" s="39"/>
    </row>
    <row r="246" spans="16:36" x14ac:dyDescent="0.4">
      <c r="P246" s="24">
        <v>48124</v>
      </c>
      <c r="AI246" s="24">
        <v>50423</v>
      </c>
      <c r="AJ246" s="39"/>
    </row>
    <row r="247" spans="16:36" x14ac:dyDescent="0.4">
      <c r="P247" s="24">
        <v>48130</v>
      </c>
      <c r="AI247" s="24">
        <v>50451</v>
      </c>
      <c r="AJ247" s="39"/>
    </row>
    <row r="248" spans="16:36" x14ac:dyDescent="0.4">
      <c r="P248" s="24">
        <v>48207</v>
      </c>
      <c r="AI248" s="24">
        <v>50556</v>
      </c>
      <c r="AJ248" s="39"/>
    </row>
    <row r="249" spans="16:36" x14ac:dyDescent="0.4">
      <c r="P249" s="24">
        <v>48214</v>
      </c>
      <c r="AI249" s="24">
        <v>50574</v>
      </c>
      <c r="AJ249" s="39"/>
    </row>
    <row r="250" spans="16:36" x14ac:dyDescent="0.4">
      <c r="P250" s="24">
        <v>48254</v>
      </c>
      <c r="AI250" s="24">
        <v>50591</v>
      </c>
      <c r="AJ250" s="39"/>
    </row>
    <row r="251" spans="16:36" x14ac:dyDescent="0.4">
      <c r="P251" s="24">
        <v>48255</v>
      </c>
      <c r="AI251" s="24">
        <v>50654</v>
      </c>
      <c r="AJ251" s="39"/>
    </row>
    <row r="252" spans="16:36" x14ac:dyDescent="0.4">
      <c r="P252" s="24">
        <v>48256</v>
      </c>
      <c r="AI252" s="24">
        <v>50689</v>
      </c>
      <c r="AJ252" s="39"/>
    </row>
    <row r="253" spans="16:36" x14ac:dyDescent="0.4">
      <c r="P253" s="24">
        <v>48274</v>
      </c>
      <c r="AI253" s="24">
        <v>50720</v>
      </c>
      <c r="AJ253" s="39"/>
    </row>
    <row r="254" spans="16:36" x14ac:dyDescent="0.4">
      <c r="P254" s="24">
        <v>48335</v>
      </c>
      <c r="AI254" s="24">
        <v>50734</v>
      </c>
      <c r="AJ254" s="39"/>
    </row>
    <row r="255" spans="16:36" x14ac:dyDescent="0.4">
      <c r="P255" s="24">
        <v>48339</v>
      </c>
      <c r="AI255" s="24">
        <v>50763</v>
      </c>
      <c r="AJ255" s="39"/>
    </row>
    <row r="256" spans="16:36" x14ac:dyDescent="0.4">
      <c r="P256" s="24">
        <v>48351</v>
      </c>
      <c r="AI256" s="24">
        <v>50770</v>
      </c>
      <c r="AJ256" s="39"/>
    </row>
    <row r="257" spans="16:36" x14ac:dyDescent="0.4">
      <c r="P257" s="24">
        <v>48371</v>
      </c>
      <c r="AI257" s="24">
        <v>50787</v>
      </c>
      <c r="AJ257" s="39"/>
    </row>
    <row r="258" spans="16:36" x14ac:dyDescent="0.4">
      <c r="P258" s="24">
        <v>48442</v>
      </c>
      <c r="AI258" s="24">
        <v>50822</v>
      </c>
      <c r="AJ258" s="39"/>
    </row>
    <row r="259" spans="16:36" x14ac:dyDescent="0.4">
      <c r="P259" s="24">
        <v>48475</v>
      </c>
      <c r="AI259" s="24">
        <v>50920</v>
      </c>
      <c r="AJ259" s="39"/>
    </row>
    <row r="260" spans="16:36" x14ac:dyDescent="0.4">
      <c r="P260" s="24">
        <v>48477</v>
      </c>
      <c r="AI260" s="24">
        <v>50941</v>
      </c>
      <c r="AJ260" s="39"/>
    </row>
    <row r="261" spans="16:36" x14ac:dyDescent="0.4">
      <c r="P261" s="24">
        <v>48478</v>
      </c>
      <c r="AI261" s="24">
        <v>50955</v>
      </c>
      <c r="AJ261" s="39"/>
    </row>
    <row r="262" spans="16:36" x14ac:dyDescent="0.4">
      <c r="P262" s="24">
        <v>48491</v>
      </c>
      <c r="AI262" s="24">
        <v>51018</v>
      </c>
      <c r="AJ262" s="39"/>
    </row>
    <row r="263" spans="16:36" x14ac:dyDescent="0.4">
      <c r="P263" s="24">
        <v>48498</v>
      </c>
      <c r="AI263" s="24">
        <v>51053</v>
      </c>
      <c r="AJ263" s="39"/>
    </row>
    <row r="264" spans="16:36" x14ac:dyDescent="0.4">
      <c r="P264" s="24">
        <v>48575</v>
      </c>
      <c r="AI264" s="24">
        <v>51085</v>
      </c>
      <c r="AJ264" s="39"/>
    </row>
    <row r="265" spans="16:36" x14ac:dyDescent="0.4">
      <c r="P265" s="24">
        <v>48580</v>
      </c>
      <c r="AI265" s="24">
        <v>51098</v>
      </c>
      <c r="AJ265" s="39"/>
    </row>
    <row r="266" spans="16:36" x14ac:dyDescent="0.4">
      <c r="P266" s="24">
        <v>48610</v>
      </c>
      <c r="AI266" s="24">
        <v>51130</v>
      </c>
      <c r="AJ266" s="39"/>
    </row>
    <row r="267" spans="16:36" x14ac:dyDescent="0.4">
      <c r="P267" s="24">
        <v>48611</v>
      </c>
      <c r="AI267" s="24">
        <v>51137</v>
      </c>
      <c r="AJ267" s="39"/>
    </row>
    <row r="268" spans="16:36" x14ac:dyDescent="0.4">
      <c r="P268" s="24">
        <v>48612</v>
      </c>
      <c r="AI268" s="24">
        <v>51151</v>
      </c>
      <c r="AJ268" s="39"/>
    </row>
    <row r="269" spans="16:36" x14ac:dyDescent="0.4">
      <c r="P269" s="24">
        <v>48639</v>
      </c>
      <c r="AI269" s="24">
        <v>51186</v>
      </c>
      <c r="AJ269" s="39"/>
    </row>
    <row r="270" spans="16:36" x14ac:dyDescent="0.4">
      <c r="P270" s="24">
        <v>48700</v>
      </c>
      <c r="AI270" s="24">
        <v>51284</v>
      </c>
      <c r="AJ270" s="39"/>
    </row>
    <row r="271" spans="16:36" x14ac:dyDescent="0.4">
      <c r="P271" s="24">
        <v>48704</v>
      </c>
      <c r="AI271" s="24">
        <v>51306</v>
      </c>
      <c r="AJ271" s="39"/>
    </row>
    <row r="272" spans="16:36" x14ac:dyDescent="0.4">
      <c r="P272" s="24">
        <v>48705</v>
      </c>
      <c r="AI272" s="24">
        <v>51321</v>
      </c>
      <c r="AJ272" s="39"/>
    </row>
    <row r="273" spans="16:36" x14ac:dyDescent="0.4">
      <c r="P273" s="24">
        <v>48736</v>
      </c>
      <c r="AI273" s="24">
        <v>51382</v>
      </c>
      <c r="AJ273" s="39"/>
    </row>
    <row r="274" spans="16:36" x14ac:dyDescent="0.4">
      <c r="P274" s="24">
        <v>48806</v>
      </c>
      <c r="AI274" s="24">
        <v>51417</v>
      </c>
      <c r="AJ274" s="39"/>
    </row>
    <row r="275" spans="16:36" x14ac:dyDescent="0.4">
      <c r="P275" s="24">
        <v>48829</v>
      </c>
      <c r="AI275" s="24">
        <v>51452</v>
      </c>
      <c r="AJ275" s="39"/>
    </row>
    <row r="276" spans="16:36" x14ac:dyDescent="0.4">
      <c r="P276" s="24">
        <v>48830</v>
      </c>
      <c r="AI276" s="24">
        <v>51462</v>
      </c>
      <c r="AJ276" s="39"/>
    </row>
    <row r="277" spans="16:36" x14ac:dyDescent="0.4">
      <c r="P277" s="24">
        <v>48831</v>
      </c>
      <c r="AI277" s="24">
        <v>51495</v>
      </c>
      <c r="AJ277" s="39"/>
    </row>
    <row r="278" spans="16:36" x14ac:dyDescent="0.4">
      <c r="P278" s="24">
        <v>48855</v>
      </c>
      <c r="AI278" s="24">
        <v>51502</v>
      </c>
      <c r="AJ278" s="39"/>
    </row>
    <row r="279" spans="16:36" x14ac:dyDescent="0.4">
      <c r="P279" s="24">
        <v>48862</v>
      </c>
      <c r="AI279" s="24">
        <v>51522</v>
      </c>
      <c r="AJ279" s="39"/>
    </row>
    <row r="280" spans="16:36" x14ac:dyDescent="0.4">
      <c r="P280" s="24">
        <v>48939</v>
      </c>
      <c r="AI280" s="24">
        <v>51522</v>
      </c>
      <c r="AJ280" s="39"/>
    </row>
    <row r="281" spans="16:36" x14ac:dyDescent="0.4">
      <c r="P281" s="24">
        <v>48945</v>
      </c>
      <c r="AI281" s="24">
        <v>51550</v>
      </c>
      <c r="AJ281" s="39"/>
    </row>
    <row r="282" spans="16:36" x14ac:dyDescent="0.4">
      <c r="P282" s="24">
        <v>48993</v>
      </c>
      <c r="AI282" s="24">
        <v>51648</v>
      </c>
      <c r="AJ282" s="39"/>
    </row>
    <row r="283" spans="16:36" x14ac:dyDescent="0.4">
      <c r="P283" s="24">
        <v>48995</v>
      </c>
      <c r="AI283" s="24">
        <v>51671</v>
      </c>
      <c r="AJ283" s="39"/>
    </row>
    <row r="284" spans="16:36" x14ac:dyDescent="0.4">
      <c r="P284" s="24">
        <v>48996</v>
      </c>
      <c r="AI284" s="24">
        <v>51686</v>
      </c>
      <c r="AJ284" s="39"/>
    </row>
    <row r="285" spans="16:36" x14ac:dyDescent="0.4">
      <c r="P285" s="24">
        <v>49004</v>
      </c>
      <c r="AI285" s="24">
        <v>51746</v>
      </c>
      <c r="AJ285" s="39"/>
    </row>
    <row r="286" spans="16:36" x14ac:dyDescent="0.4">
      <c r="P286" s="24">
        <v>49065</v>
      </c>
      <c r="AI286" s="24">
        <v>51788</v>
      </c>
      <c r="AJ286" s="39"/>
    </row>
    <row r="287" spans="16:36" x14ac:dyDescent="0.4">
      <c r="P287" s="24">
        <v>49069</v>
      </c>
      <c r="AI287" s="24">
        <v>51816</v>
      </c>
      <c r="AJ287" s="39"/>
    </row>
    <row r="288" spans="16:36" x14ac:dyDescent="0.4">
      <c r="P288" s="24">
        <v>49089</v>
      </c>
      <c r="AI288" s="24">
        <v>51833</v>
      </c>
      <c r="AJ288" s="39"/>
    </row>
    <row r="289" spans="16:36" x14ac:dyDescent="0.4">
      <c r="P289" s="24">
        <v>49101</v>
      </c>
      <c r="AI289" s="24">
        <v>51860</v>
      </c>
      <c r="AJ289" s="39"/>
    </row>
    <row r="290" spans="16:36" x14ac:dyDescent="0.4">
      <c r="P290" s="24">
        <v>49171</v>
      </c>
      <c r="AI290" s="24">
        <v>51867</v>
      </c>
      <c r="AJ290" s="39"/>
    </row>
    <row r="291" spans="16:36" x14ac:dyDescent="0.4">
      <c r="P291" s="24">
        <v>49213</v>
      </c>
      <c r="AI291" s="24">
        <v>51886</v>
      </c>
      <c r="AJ291" s="39"/>
    </row>
    <row r="292" spans="16:36" x14ac:dyDescent="0.4">
      <c r="P292" s="24">
        <v>49214</v>
      </c>
      <c r="AI292" s="24">
        <v>51914</v>
      </c>
      <c r="AJ292" s="39"/>
    </row>
    <row r="293" spans="16:36" x14ac:dyDescent="0.4">
      <c r="P293" s="24">
        <v>49215</v>
      </c>
      <c r="AI293" s="24">
        <v>52012</v>
      </c>
      <c r="AJ293" s="39"/>
    </row>
    <row r="294" spans="16:36" x14ac:dyDescent="0.4">
      <c r="P294" s="24">
        <v>49220</v>
      </c>
      <c r="AI294" s="24">
        <v>52036</v>
      </c>
      <c r="AJ294" s="39"/>
    </row>
    <row r="295" spans="16:36" x14ac:dyDescent="0.4">
      <c r="P295" s="24">
        <v>49226</v>
      </c>
      <c r="AI295" s="24">
        <v>52051</v>
      </c>
      <c r="AJ295" s="39"/>
    </row>
    <row r="296" spans="16:36" x14ac:dyDescent="0.4">
      <c r="P296" s="24">
        <v>49303</v>
      </c>
      <c r="AI296" s="24">
        <v>52110</v>
      </c>
      <c r="AJ296" s="39"/>
    </row>
    <row r="297" spans="16:36" x14ac:dyDescent="0.4">
      <c r="P297" s="24">
        <v>49310</v>
      </c>
      <c r="AI297" s="24">
        <v>52152</v>
      </c>
      <c r="AJ297" s="39"/>
    </row>
    <row r="298" spans="16:36" x14ac:dyDescent="0.4">
      <c r="P298" s="24">
        <v>49347</v>
      </c>
      <c r="AI298" s="24">
        <v>52181</v>
      </c>
      <c r="AJ298" s="39"/>
    </row>
    <row r="299" spans="16:36" x14ac:dyDescent="0.4">
      <c r="P299" s="24">
        <v>49348</v>
      </c>
      <c r="AI299" s="24">
        <v>52197</v>
      </c>
      <c r="AJ299" s="39"/>
    </row>
    <row r="300" spans="16:36" x14ac:dyDescent="0.4">
      <c r="P300" s="24">
        <v>49349</v>
      </c>
      <c r="AI300" s="24">
        <v>52225</v>
      </c>
      <c r="AJ300" s="39"/>
    </row>
    <row r="301" spans="16:36" x14ac:dyDescent="0.4">
      <c r="P301" s="24">
        <v>49369</v>
      </c>
      <c r="AI301" s="24">
        <v>52232</v>
      </c>
      <c r="AJ301" s="39"/>
    </row>
    <row r="302" spans="16:36" x14ac:dyDescent="0.4">
      <c r="P302" s="24">
        <v>49430</v>
      </c>
      <c r="AI302" s="24">
        <v>52250</v>
      </c>
      <c r="AJ302" s="39"/>
    </row>
    <row r="303" spans="16:36" x14ac:dyDescent="0.4">
      <c r="P303" s="24">
        <v>49436</v>
      </c>
      <c r="AI303" s="24">
        <v>52278</v>
      </c>
      <c r="AJ303" s="39"/>
    </row>
    <row r="304" spans="16:36" x14ac:dyDescent="0.4">
      <c r="P304" s="24">
        <v>49444</v>
      </c>
      <c r="AI304" s="24">
        <v>52376</v>
      </c>
      <c r="AJ304" s="39"/>
    </row>
    <row r="305" spans="16:36" x14ac:dyDescent="0.4">
      <c r="P305" s="24">
        <v>49466</v>
      </c>
      <c r="AI305" s="24">
        <v>52401</v>
      </c>
      <c r="AJ305" s="39"/>
    </row>
    <row r="306" spans="16:36" x14ac:dyDescent="0.4">
      <c r="P306" s="24">
        <v>49536</v>
      </c>
      <c r="AI306" s="24">
        <v>52415</v>
      </c>
      <c r="AJ306" s="39"/>
    </row>
    <row r="307" spans="16:36" x14ac:dyDescent="0.4">
      <c r="P307" s="24">
        <v>49567</v>
      </c>
      <c r="AI307" s="24">
        <v>52481</v>
      </c>
      <c r="AJ307" s="39"/>
    </row>
    <row r="308" spans="16:36" x14ac:dyDescent="0.4">
      <c r="P308" s="24">
        <v>49569</v>
      </c>
      <c r="AI308" s="24">
        <v>52516</v>
      </c>
      <c r="AJ308" s="39"/>
    </row>
    <row r="309" spans="16:36" x14ac:dyDescent="0.4">
      <c r="P309" s="24">
        <v>49570</v>
      </c>
      <c r="AI309" s="24">
        <v>52546</v>
      </c>
      <c r="AJ309" s="39"/>
    </row>
    <row r="310" spans="16:36" x14ac:dyDescent="0.4">
      <c r="P310" s="24">
        <v>49585</v>
      </c>
      <c r="AI310" s="24">
        <v>52561</v>
      </c>
      <c r="AJ310" s="39"/>
    </row>
    <row r="311" spans="16:36" x14ac:dyDescent="0.4">
      <c r="P311" s="24">
        <v>49591</v>
      </c>
      <c r="AI311" s="24">
        <v>52590</v>
      </c>
      <c r="AJ311" s="39"/>
    </row>
    <row r="312" spans="16:36" x14ac:dyDescent="0.4">
      <c r="P312" s="24">
        <v>49668</v>
      </c>
      <c r="AI312" s="24"/>
      <c r="AJ312" s="39"/>
    </row>
    <row r="313" spans="16:36" x14ac:dyDescent="0.4">
      <c r="P313" s="24">
        <v>49675</v>
      </c>
      <c r="AI313" s="24"/>
      <c r="AJ313" s="39"/>
    </row>
    <row r="314" spans="16:36" x14ac:dyDescent="0.4">
      <c r="P314" s="24">
        <v>49702</v>
      </c>
      <c r="AI314" s="24"/>
      <c r="AJ314" s="39"/>
    </row>
    <row r="315" spans="16:36" x14ac:dyDescent="0.4">
      <c r="P315" s="24">
        <v>49703</v>
      </c>
      <c r="AI315" s="24"/>
      <c r="AJ315" s="39"/>
    </row>
    <row r="316" spans="16:36" x14ac:dyDescent="0.4">
      <c r="P316" s="24">
        <v>49704</v>
      </c>
      <c r="AI316" s="24"/>
      <c r="AJ316" s="39"/>
    </row>
    <row r="317" spans="16:36" x14ac:dyDescent="0.4">
      <c r="P317" s="24">
        <v>49737</v>
      </c>
      <c r="AI317" s="24"/>
      <c r="AJ317" s="39"/>
    </row>
    <row r="318" spans="16:36" x14ac:dyDescent="0.4">
      <c r="P318" s="24">
        <v>49796</v>
      </c>
      <c r="AI318" s="24"/>
      <c r="AJ318" s="39"/>
    </row>
    <row r="319" spans="16:36" x14ac:dyDescent="0.4">
      <c r="P319" s="24">
        <v>49800</v>
      </c>
      <c r="AI319" s="24"/>
      <c r="AJ319" s="39"/>
    </row>
    <row r="320" spans="16:36" x14ac:dyDescent="0.4">
      <c r="P320" s="24">
        <v>49800</v>
      </c>
      <c r="AI320" s="24"/>
      <c r="AJ320" s="39"/>
    </row>
    <row r="321" spans="16:36" x14ac:dyDescent="0.4">
      <c r="P321" s="24">
        <v>49832</v>
      </c>
      <c r="AI321" s="24"/>
      <c r="AJ321" s="39"/>
    </row>
    <row r="322" spans="16:36" x14ac:dyDescent="0.4">
      <c r="P322" s="24">
        <v>49902</v>
      </c>
      <c r="AI322" s="24"/>
      <c r="AJ322" s="39"/>
    </row>
    <row r="323" spans="16:36" x14ac:dyDescent="0.4">
      <c r="P323" s="24">
        <v>49951</v>
      </c>
      <c r="AI323" s="24"/>
      <c r="AJ323" s="39"/>
    </row>
    <row r="324" spans="16:36" x14ac:dyDescent="0.4">
      <c r="P324" s="24">
        <v>49951</v>
      </c>
      <c r="AI324" s="24"/>
      <c r="AJ324" s="39"/>
    </row>
    <row r="325" spans="16:36" x14ac:dyDescent="0.4">
      <c r="P325" s="24">
        <v>49952</v>
      </c>
      <c r="AI325" s="24"/>
      <c r="AJ325" s="39"/>
    </row>
    <row r="326" spans="16:36" x14ac:dyDescent="0.4">
      <c r="P326" s="24">
        <v>49954</v>
      </c>
      <c r="AI326" s="24"/>
      <c r="AJ326" s="39"/>
    </row>
    <row r="327" spans="16:36" x14ac:dyDescent="0.4">
      <c r="P327" s="24">
        <v>49957</v>
      </c>
      <c r="AI327" s="24"/>
      <c r="AJ327" s="39"/>
    </row>
    <row r="328" spans="16:36" x14ac:dyDescent="0.4">
      <c r="P328" s="24">
        <v>50034</v>
      </c>
      <c r="AI328" s="24"/>
      <c r="AJ328" s="39"/>
    </row>
    <row r="329" spans="16:36" x14ac:dyDescent="0.4">
      <c r="P329" s="24">
        <v>50041</v>
      </c>
      <c r="AI329" s="24"/>
      <c r="AJ329" s="39"/>
    </row>
    <row r="330" spans="16:36" x14ac:dyDescent="0.4">
      <c r="P330" s="24">
        <v>50085</v>
      </c>
      <c r="AI330" s="24"/>
      <c r="AJ330" s="39"/>
    </row>
    <row r="331" spans="16:36" x14ac:dyDescent="0.4">
      <c r="P331" s="24">
        <v>50087</v>
      </c>
      <c r="AI331" s="24"/>
      <c r="AJ331" s="39"/>
    </row>
    <row r="332" spans="16:36" x14ac:dyDescent="0.4">
      <c r="P332" s="24">
        <v>50088</v>
      </c>
      <c r="AI332" s="24"/>
      <c r="AJ332" s="39"/>
    </row>
    <row r="333" spans="16:36" x14ac:dyDescent="0.4">
      <c r="P333" s="24">
        <v>50101</v>
      </c>
      <c r="AI333" s="24"/>
      <c r="AJ333" s="39"/>
    </row>
    <row r="334" spans="16:36" x14ac:dyDescent="0.4">
      <c r="P334" s="24">
        <v>50161</v>
      </c>
      <c r="AI334" s="24"/>
      <c r="AJ334" s="39"/>
    </row>
    <row r="335" spans="16:36" x14ac:dyDescent="0.4">
      <c r="P335" s="24">
        <v>50165</v>
      </c>
      <c r="AI335" s="24"/>
      <c r="AJ335" s="39"/>
    </row>
    <row r="336" spans="16:36" x14ac:dyDescent="0.4">
      <c r="P336" s="24">
        <v>50182</v>
      </c>
      <c r="AI336" s="24"/>
      <c r="AJ336" s="39"/>
    </row>
    <row r="337" spans="16:36" x14ac:dyDescent="0.4">
      <c r="P337" s="24">
        <v>50197</v>
      </c>
      <c r="AI337" s="24"/>
      <c r="AJ337" s="39"/>
    </row>
    <row r="338" spans="16:36" x14ac:dyDescent="0.4">
      <c r="P338" s="24">
        <v>50269</v>
      </c>
      <c r="AI338" s="24"/>
      <c r="AJ338" s="39"/>
    </row>
    <row r="339" spans="16:36" x14ac:dyDescent="0.4">
      <c r="P339" s="24">
        <v>50306</v>
      </c>
      <c r="AI339" s="24"/>
      <c r="AJ339" s="39"/>
    </row>
    <row r="340" spans="16:36" x14ac:dyDescent="0.4">
      <c r="P340" s="24">
        <v>50307</v>
      </c>
      <c r="AI340" s="24"/>
      <c r="AJ340" s="39"/>
    </row>
    <row r="341" spans="16:36" x14ac:dyDescent="0.4">
      <c r="P341" s="24">
        <v>50308</v>
      </c>
      <c r="AI341" s="24"/>
      <c r="AJ341" s="39"/>
    </row>
    <row r="342" spans="16:36" x14ac:dyDescent="0.4">
      <c r="P342" s="24">
        <v>50318</v>
      </c>
      <c r="AI342" s="24"/>
      <c r="AJ342" s="39"/>
    </row>
    <row r="343" spans="16:36" x14ac:dyDescent="0.4">
      <c r="P343" s="24">
        <v>50322</v>
      </c>
      <c r="AI343" s="24"/>
      <c r="AJ343" s="39"/>
    </row>
    <row r="344" spans="16:36" x14ac:dyDescent="0.4">
      <c r="P344" s="24">
        <v>50399</v>
      </c>
      <c r="AI344" s="24"/>
      <c r="AJ344" s="39"/>
    </row>
    <row r="345" spans="16:36" x14ac:dyDescent="0.4">
      <c r="P345" s="24">
        <v>50406</v>
      </c>
      <c r="AI345" s="24"/>
      <c r="AJ345" s="39"/>
    </row>
    <row r="346" spans="16:36" x14ac:dyDescent="0.4">
      <c r="P346" s="24">
        <v>50439</v>
      </c>
      <c r="AI346" s="24"/>
      <c r="AJ346" s="39"/>
    </row>
    <row r="347" spans="16:36" x14ac:dyDescent="0.4">
      <c r="P347" s="24">
        <v>50440</v>
      </c>
      <c r="AI347" s="24"/>
      <c r="AJ347" s="39"/>
    </row>
    <row r="348" spans="16:36" x14ac:dyDescent="0.4">
      <c r="P348" s="24">
        <v>50441</v>
      </c>
      <c r="AI348" s="24"/>
      <c r="AJ348" s="39"/>
    </row>
    <row r="349" spans="16:36" x14ac:dyDescent="0.4">
      <c r="P349" s="24">
        <v>50465</v>
      </c>
      <c r="AI349" s="24"/>
      <c r="AJ349" s="39"/>
    </row>
    <row r="350" spans="16:36" x14ac:dyDescent="0.4">
      <c r="P350" s="24">
        <v>50526</v>
      </c>
      <c r="AI350" s="24"/>
      <c r="AJ350" s="39"/>
    </row>
    <row r="351" spans="16:36" x14ac:dyDescent="0.4">
      <c r="P351" s="24">
        <v>50530</v>
      </c>
      <c r="AI351" s="24"/>
      <c r="AJ351" s="39"/>
    </row>
    <row r="352" spans="16:36" x14ac:dyDescent="0.4">
      <c r="P352" s="24">
        <v>50536</v>
      </c>
      <c r="AI352" s="24"/>
      <c r="AJ352" s="39"/>
    </row>
    <row r="353" spans="16:36" x14ac:dyDescent="0.4">
      <c r="P353" s="24">
        <v>50562</v>
      </c>
      <c r="AI353" s="24"/>
      <c r="AJ353" s="39"/>
    </row>
    <row r="354" spans="16:36" x14ac:dyDescent="0.4">
      <c r="P354" s="24">
        <v>50633</v>
      </c>
      <c r="AI354" s="24"/>
      <c r="AJ354" s="39"/>
    </row>
    <row r="355" spans="16:36" x14ac:dyDescent="0.4">
      <c r="P355" s="24">
        <v>50661</v>
      </c>
      <c r="AI355" s="24"/>
      <c r="AJ355" s="39"/>
    </row>
    <row r="356" spans="16:36" x14ac:dyDescent="0.4">
      <c r="P356" s="24">
        <v>50662</v>
      </c>
      <c r="AI356" s="24"/>
      <c r="AJ356" s="39"/>
    </row>
    <row r="357" spans="16:36" x14ac:dyDescent="0.4">
      <c r="P357" s="24">
        <v>50663</v>
      </c>
      <c r="AI357" s="24"/>
      <c r="AJ357" s="39"/>
    </row>
    <row r="358" spans="16:36" x14ac:dyDescent="0.4">
      <c r="P358" s="24">
        <v>50682</v>
      </c>
      <c r="AI358" s="24"/>
      <c r="AJ358" s="39"/>
    </row>
    <row r="359" spans="16:36" x14ac:dyDescent="0.4">
      <c r="P359" s="24">
        <v>50689</v>
      </c>
      <c r="AI359" s="24"/>
      <c r="AJ359" s="39"/>
    </row>
    <row r="360" spans="16:36" x14ac:dyDescent="0.4">
      <c r="P360" s="24">
        <v>50766</v>
      </c>
      <c r="AI360" s="24"/>
      <c r="AJ360" s="39"/>
    </row>
    <row r="361" spans="16:36" x14ac:dyDescent="0.4">
      <c r="P361" s="24">
        <v>50771</v>
      </c>
      <c r="AI361" s="24"/>
      <c r="AJ361" s="39"/>
    </row>
    <row r="362" spans="16:36" x14ac:dyDescent="0.4">
      <c r="P362" s="24">
        <v>50794</v>
      </c>
      <c r="AI362" s="24"/>
      <c r="AJ362" s="39"/>
    </row>
    <row r="363" spans="16:36" x14ac:dyDescent="0.4">
      <c r="P363" s="24">
        <v>50795</v>
      </c>
      <c r="AI363" s="24"/>
      <c r="AJ363" s="39"/>
    </row>
    <row r="364" spans="16:36" x14ac:dyDescent="0.4">
      <c r="P364" s="24">
        <v>50796</v>
      </c>
      <c r="AI364" s="24"/>
      <c r="AJ364" s="39"/>
    </row>
    <row r="365" spans="16:36" x14ac:dyDescent="0.4">
      <c r="P365" s="24">
        <v>50830</v>
      </c>
      <c r="AI365" s="24"/>
      <c r="AJ365" s="39"/>
    </row>
    <row r="366" spans="16:36" x14ac:dyDescent="0.4">
      <c r="P366" s="24">
        <v>50891</v>
      </c>
      <c r="AI366" s="24"/>
      <c r="AJ366" s="39"/>
    </row>
    <row r="367" spans="16:36" x14ac:dyDescent="0.4">
      <c r="P367" s="24">
        <v>50892</v>
      </c>
      <c r="AI367" s="24"/>
      <c r="AJ367" s="39"/>
    </row>
    <row r="368" spans="16:36" x14ac:dyDescent="0.4">
      <c r="P368" s="24">
        <v>50895</v>
      </c>
      <c r="AI368" s="24"/>
      <c r="AJ368" s="39"/>
    </row>
    <row r="369" spans="16:36" x14ac:dyDescent="0.4">
      <c r="P369" s="24">
        <v>50927</v>
      </c>
      <c r="AI369" s="24"/>
      <c r="AJ369" s="39"/>
    </row>
    <row r="370" spans="16:36" x14ac:dyDescent="0.4">
      <c r="P370" s="24">
        <v>50997</v>
      </c>
      <c r="AI370" s="24"/>
      <c r="AJ370" s="39"/>
    </row>
    <row r="371" spans="16:36" x14ac:dyDescent="0.4">
      <c r="P371" s="24">
        <v>51044</v>
      </c>
      <c r="AI371" s="24"/>
      <c r="AJ371" s="39"/>
    </row>
    <row r="372" spans="16:36" x14ac:dyDescent="0.4">
      <c r="P372" s="24">
        <v>51046</v>
      </c>
      <c r="AI372" s="24"/>
      <c r="AJ372" s="39"/>
    </row>
    <row r="373" spans="16:36" x14ac:dyDescent="0.4">
      <c r="P373" s="24">
        <v>51046</v>
      </c>
      <c r="AI373" s="24"/>
      <c r="AJ373" s="39"/>
    </row>
    <row r="374" spans="16:36" x14ac:dyDescent="0.4">
      <c r="P374" s="24">
        <v>51047</v>
      </c>
      <c r="AI374" s="24"/>
      <c r="AJ374" s="39"/>
    </row>
    <row r="375" spans="16:36" x14ac:dyDescent="0.4">
      <c r="P375" s="24">
        <v>51053</v>
      </c>
      <c r="AI375" s="24"/>
      <c r="AJ375" s="39"/>
    </row>
    <row r="376" spans="16:36" x14ac:dyDescent="0.4">
      <c r="P376" s="24">
        <v>51130</v>
      </c>
      <c r="AI376" s="24"/>
      <c r="AJ376" s="39"/>
    </row>
    <row r="377" spans="16:36" x14ac:dyDescent="0.4">
      <c r="P377" s="24">
        <v>51136</v>
      </c>
      <c r="AI377" s="24"/>
      <c r="AJ377" s="39"/>
    </row>
    <row r="378" spans="16:36" x14ac:dyDescent="0.4">
      <c r="P378" s="24">
        <v>51177</v>
      </c>
      <c r="AI378" s="24"/>
      <c r="AJ378" s="39"/>
    </row>
    <row r="379" spans="16:36" x14ac:dyDescent="0.4">
      <c r="P379" s="24">
        <v>51179</v>
      </c>
      <c r="AI379" s="24"/>
      <c r="AJ379" s="39"/>
    </row>
    <row r="380" spans="16:36" x14ac:dyDescent="0.4">
      <c r="P380" s="24">
        <v>51180</v>
      </c>
      <c r="AI380" s="24"/>
      <c r="AJ380" s="39"/>
    </row>
    <row r="381" spans="16:36" x14ac:dyDescent="0.4">
      <c r="P381" s="24">
        <v>51196</v>
      </c>
      <c r="AI381" s="24"/>
      <c r="AJ381" s="39"/>
    </row>
    <row r="382" spans="16:36" x14ac:dyDescent="0.4">
      <c r="P382" s="24">
        <v>51257</v>
      </c>
      <c r="AI382" s="24"/>
      <c r="AJ382" s="39"/>
    </row>
    <row r="383" spans="16:36" x14ac:dyDescent="0.4">
      <c r="P383" s="24">
        <v>51263</v>
      </c>
      <c r="AI383" s="24"/>
      <c r="AJ383" s="39"/>
    </row>
    <row r="384" spans="16:36" x14ac:dyDescent="0.4">
      <c r="P384" s="24">
        <v>51274</v>
      </c>
      <c r="AI384" s="24"/>
      <c r="AJ384" s="39"/>
    </row>
    <row r="385" spans="16:36" x14ac:dyDescent="0.4">
      <c r="P385" s="24">
        <v>51293</v>
      </c>
      <c r="AI385" s="24"/>
      <c r="AJ385" s="39"/>
    </row>
    <row r="386" spans="16:36" x14ac:dyDescent="0.4">
      <c r="P386" s="24">
        <v>51363</v>
      </c>
      <c r="AI386" s="24"/>
      <c r="AJ386" s="39"/>
    </row>
    <row r="387" spans="16:36" x14ac:dyDescent="0.4">
      <c r="P387" s="24">
        <v>51399</v>
      </c>
      <c r="AI387" s="24"/>
      <c r="AJ387" s="39"/>
    </row>
    <row r="388" spans="16:36" x14ac:dyDescent="0.4">
      <c r="P388" s="24">
        <v>51400</v>
      </c>
      <c r="AI388" s="24"/>
      <c r="AJ388" s="39"/>
    </row>
    <row r="389" spans="16:36" x14ac:dyDescent="0.4">
      <c r="P389" s="24">
        <v>51401</v>
      </c>
      <c r="AI389" s="24"/>
      <c r="AJ389" s="39"/>
    </row>
    <row r="390" spans="16:36" x14ac:dyDescent="0.4">
      <c r="P390" s="24">
        <v>51412</v>
      </c>
      <c r="AI390" s="24"/>
      <c r="AJ390" s="39"/>
    </row>
    <row r="391" spans="16:36" x14ac:dyDescent="0.4">
      <c r="P391" s="24">
        <v>51418</v>
      </c>
      <c r="AI391" s="24"/>
      <c r="AJ391" s="39"/>
    </row>
    <row r="392" spans="16:36" x14ac:dyDescent="0.4">
      <c r="P392" s="24">
        <v>51495</v>
      </c>
      <c r="AI392" s="24"/>
      <c r="AJ392" s="39"/>
    </row>
    <row r="393" spans="16:36" x14ac:dyDescent="0.4">
      <c r="P393" s="24">
        <v>51502</v>
      </c>
      <c r="AI393" s="24"/>
      <c r="AJ393" s="39"/>
    </row>
    <row r="394" spans="16:36" x14ac:dyDescent="0.4">
      <c r="P394" s="24">
        <v>51532</v>
      </c>
      <c r="AI394" s="24"/>
      <c r="AJ394" s="39"/>
    </row>
    <row r="395" spans="16:36" x14ac:dyDescent="0.4">
      <c r="P395" s="24">
        <v>51533</v>
      </c>
      <c r="AI395" s="24"/>
      <c r="AJ395" s="39"/>
    </row>
    <row r="396" spans="16:36" x14ac:dyDescent="0.4">
      <c r="P396" s="24">
        <v>51534</v>
      </c>
      <c r="AI396" s="24"/>
      <c r="AJ396" s="39"/>
    </row>
    <row r="397" spans="16:36" x14ac:dyDescent="0.4">
      <c r="P397" s="24">
        <v>51561</v>
      </c>
      <c r="AI397" s="24"/>
      <c r="AJ397" s="39"/>
    </row>
    <row r="398" spans="16:36" x14ac:dyDescent="0.4">
      <c r="P398" s="24">
        <v>51622</v>
      </c>
      <c r="AI398" s="24"/>
      <c r="AJ398" s="39"/>
    </row>
    <row r="399" spans="16:36" x14ac:dyDescent="0.4">
      <c r="P399" s="24">
        <v>51627</v>
      </c>
      <c r="AI399" s="24"/>
      <c r="AJ399" s="39"/>
    </row>
    <row r="400" spans="16:36" x14ac:dyDescent="0.4">
      <c r="P400" s="24">
        <v>51628</v>
      </c>
      <c r="AI400" s="24"/>
      <c r="AJ400" s="39"/>
    </row>
    <row r="401" spans="16:36" x14ac:dyDescent="0.4">
      <c r="P401" s="24">
        <v>51658</v>
      </c>
      <c r="AI401" s="24"/>
      <c r="AJ401" s="39"/>
    </row>
    <row r="402" spans="16:36" x14ac:dyDescent="0.4">
      <c r="P402" s="24">
        <v>51728</v>
      </c>
      <c r="AI402" s="24"/>
      <c r="AJ402" s="39"/>
    </row>
    <row r="403" spans="16:36" x14ac:dyDescent="0.4">
      <c r="P403" s="24">
        <v>51753</v>
      </c>
      <c r="AI403" s="24"/>
      <c r="AJ403" s="39"/>
    </row>
    <row r="404" spans="16:36" x14ac:dyDescent="0.4">
      <c r="P404" s="24">
        <v>51754</v>
      </c>
      <c r="AI404" s="24"/>
      <c r="AJ404" s="39"/>
    </row>
    <row r="405" spans="16:36" x14ac:dyDescent="0.4">
      <c r="P405" s="24">
        <v>51755</v>
      </c>
      <c r="AI405" s="24"/>
      <c r="AJ405" s="39"/>
    </row>
    <row r="406" spans="16:36" x14ac:dyDescent="0.4">
      <c r="P406" s="24">
        <v>51777</v>
      </c>
      <c r="AI406" s="24"/>
      <c r="AJ406" s="39"/>
    </row>
    <row r="407" spans="16:36" x14ac:dyDescent="0.4">
      <c r="P407" s="24">
        <v>51783</v>
      </c>
      <c r="AI407" s="24"/>
      <c r="AJ407" s="39"/>
    </row>
    <row r="408" spans="16:36" x14ac:dyDescent="0.4">
      <c r="P408" s="24">
        <v>51860</v>
      </c>
      <c r="AI408" s="24"/>
      <c r="AJ408" s="39"/>
    </row>
    <row r="409" spans="16:36" x14ac:dyDescent="0.4">
      <c r="P409" s="24">
        <v>51867</v>
      </c>
      <c r="AI409" s="24"/>
      <c r="AJ409" s="39"/>
    </row>
    <row r="410" spans="16:36" x14ac:dyDescent="0.4">
      <c r="P410" s="24">
        <v>51887</v>
      </c>
      <c r="AI410" s="24"/>
      <c r="AJ410" s="39"/>
    </row>
    <row r="411" spans="16:36" x14ac:dyDescent="0.4">
      <c r="P411" s="24">
        <v>51888</v>
      </c>
      <c r="AI411" s="24"/>
      <c r="AJ411" s="39"/>
    </row>
    <row r="412" spans="16:36" x14ac:dyDescent="0.4">
      <c r="P412" s="24">
        <v>51889</v>
      </c>
      <c r="AI412" s="24"/>
      <c r="AJ412" s="39"/>
    </row>
    <row r="413" spans="16:36" x14ac:dyDescent="0.4">
      <c r="P413" s="24">
        <v>51928</v>
      </c>
      <c r="AI413" s="24"/>
      <c r="AJ413" s="39"/>
    </row>
    <row r="414" spans="16:36" x14ac:dyDescent="0.4">
      <c r="P414" s="24">
        <v>51987</v>
      </c>
      <c r="AI414" s="24"/>
      <c r="AJ414" s="39"/>
    </row>
    <row r="415" spans="16:36" x14ac:dyDescent="0.4">
      <c r="P415" s="24">
        <v>51991</v>
      </c>
      <c r="AI415" s="24"/>
      <c r="AJ415" s="39"/>
    </row>
    <row r="416" spans="16:36" x14ac:dyDescent="0.4">
      <c r="P416" s="24">
        <v>52012</v>
      </c>
      <c r="AI416" s="24"/>
      <c r="AJ416" s="39"/>
    </row>
    <row r="417" spans="16:36" x14ac:dyDescent="0.4">
      <c r="P417" s="24">
        <v>52023</v>
      </c>
      <c r="AI417" s="24"/>
      <c r="AJ417" s="39"/>
    </row>
    <row r="418" spans="16:36" x14ac:dyDescent="0.4">
      <c r="P418" s="24">
        <v>52093</v>
      </c>
      <c r="AI418" s="24"/>
      <c r="AJ418" s="39"/>
    </row>
    <row r="419" spans="16:36" x14ac:dyDescent="0.4">
      <c r="P419" s="24">
        <v>52136</v>
      </c>
      <c r="AI419" s="24"/>
      <c r="AJ419" s="39"/>
    </row>
    <row r="420" spans="16:36" x14ac:dyDescent="0.4">
      <c r="P420" s="24">
        <v>52138</v>
      </c>
      <c r="AI420" s="24"/>
      <c r="AJ420" s="39"/>
    </row>
    <row r="421" spans="16:36" x14ac:dyDescent="0.4">
      <c r="P421" s="24">
        <v>52139</v>
      </c>
      <c r="AI421" s="24"/>
      <c r="AJ421" s="39"/>
    </row>
    <row r="422" spans="16:36" x14ac:dyDescent="0.4">
      <c r="P422" s="24">
        <v>52142</v>
      </c>
      <c r="AI422" s="24"/>
      <c r="AJ422" s="39"/>
    </row>
    <row r="423" spans="16:36" x14ac:dyDescent="0.4">
      <c r="P423" s="24">
        <v>52148</v>
      </c>
      <c r="AI423" s="24"/>
      <c r="AJ423" s="39"/>
    </row>
    <row r="424" spans="16:36" x14ac:dyDescent="0.4">
      <c r="P424" s="24">
        <v>52225</v>
      </c>
      <c r="AI424" s="24"/>
      <c r="AJ424" s="39"/>
    </row>
    <row r="425" spans="16:36" x14ac:dyDescent="0.4">
      <c r="P425" s="24">
        <v>52232</v>
      </c>
      <c r="AI425" s="24"/>
      <c r="AJ425" s="39"/>
    </row>
    <row r="426" spans="16:36" x14ac:dyDescent="0.4">
      <c r="P426" s="24">
        <v>52271</v>
      </c>
      <c r="AI426" s="24"/>
      <c r="AJ426" s="39"/>
    </row>
    <row r="427" spans="16:36" x14ac:dyDescent="0.4">
      <c r="P427" s="24">
        <v>52272</v>
      </c>
      <c r="AI427" s="24"/>
      <c r="AJ427" s="39"/>
    </row>
    <row r="428" spans="16:36" x14ac:dyDescent="0.4">
      <c r="P428" s="24">
        <v>52273</v>
      </c>
      <c r="AI428" s="24"/>
      <c r="AJ428" s="39"/>
    </row>
    <row r="429" spans="16:36" x14ac:dyDescent="0.4">
      <c r="P429" s="24">
        <v>52292</v>
      </c>
      <c r="AI429" s="24"/>
      <c r="AJ429" s="39"/>
    </row>
    <row r="430" spans="16:36" x14ac:dyDescent="0.4">
      <c r="P430" s="24">
        <v>52352</v>
      </c>
      <c r="AI430" s="24"/>
      <c r="AJ430" s="39"/>
    </row>
    <row r="431" spans="16:36" x14ac:dyDescent="0.4">
      <c r="P431" s="24">
        <v>52356</v>
      </c>
      <c r="AI431" s="24"/>
      <c r="AJ431" s="39"/>
    </row>
    <row r="432" spans="16:36" x14ac:dyDescent="0.4">
      <c r="P432" s="24">
        <v>52369</v>
      </c>
      <c r="AI432" s="24"/>
      <c r="AJ432" s="39"/>
    </row>
    <row r="433" spans="16:36" x14ac:dyDescent="0.4">
      <c r="P433" s="24">
        <v>52388</v>
      </c>
      <c r="AI433" s="24"/>
      <c r="AJ433" s="39"/>
    </row>
    <row r="434" spans="16:36" x14ac:dyDescent="0.4">
      <c r="P434" s="24">
        <v>52460</v>
      </c>
      <c r="AI434" s="24"/>
      <c r="AJ434" s="39"/>
    </row>
    <row r="435" spans="16:36" x14ac:dyDescent="0.4">
      <c r="P435" s="24">
        <v>52490</v>
      </c>
      <c r="AI435" s="24"/>
      <c r="AJ435" s="39"/>
    </row>
    <row r="436" spans="16:36" x14ac:dyDescent="0.4">
      <c r="P436" s="24">
        <v>52491</v>
      </c>
      <c r="AI436" s="24"/>
      <c r="AJ436" s="39"/>
    </row>
    <row r="437" spans="16:36" x14ac:dyDescent="0.4">
      <c r="P437" s="24">
        <v>52492</v>
      </c>
      <c r="AI437" s="24"/>
      <c r="AJ437" s="39"/>
    </row>
    <row r="438" spans="16:36" x14ac:dyDescent="0.4">
      <c r="P438" s="24">
        <v>52509</v>
      </c>
      <c r="AI438" s="24"/>
      <c r="AJ438" s="39"/>
    </row>
    <row r="439" spans="16:36" x14ac:dyDescent="0.4">
      <c r="P439" s="24">
        <v>52513</v>
      </c>
      <c r="AI439" s="24"/>
      <c r="AJ439" s="39"/>
    </row>
    <row r="440" spans="16:36" x14ac:dyDescent="0.4">
      <c r="P440" s="24">
        <v>52590</v>
      </c>
      <c r="AI440" s="24"/>
      <c r="AJ440" s="39"/>
    </row>
    <row r="441" spans="16:36" x14ac:dyDescent="0.4">
      <c r="AI441" s="24"/>
      <c r="AJ441" s="39"/>
    </row>
    <row r="442" spans="16:36" x14ac:dyDescent="0.4">
      <c r="AI442" s="24"/>
      <c r="AJ442" s="39"/>
    </row>
    <row r="443" spans="16:36" x14ac:dyDescent="0.4">
      <c r="AI443" s="24"/>
      <c r="AJ443" s="39"/>
    </row>
    <row r="444" spans="16:36" x14ac:dyDescent="0.4">
      <c r="AI444" s="24"/>
      <c r="AJ444" s="39"/>
    </row>
    <row r="445" spans="16:36" x14ac:dyDescent="0.4">
      <c r="AI445" s="24"/>
      <c r="AJ445" s="39"/>
    </row>
    <row r="446" spans="16:36" x14ac:dyDescent="0.4">
      <c r="AI446" s="24"/>
      <c r="AJ446" s="39"/>
    </row>
    <row r="447" spans="16:36" x14ac:dyDescent="0.4">
      <c r="AI447" s="24"/>
      <c r="AJ447" s="39"/>
    </row>
    <row r="448" spans="16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스케줄생성기</vt:lpstr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2024-01-01T04:57:07Z</dcterms:modified>
</cp:coreProperties>
</file>