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<sst xmlns="http://schemas.openxmlformats.org/spreadsheetml/2006/main" count="133" uniqueCount="74">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</sst>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BB7" sqref="BB7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4.796875" style="32" bestFit="1" customWidth="1"/>
    <col min="47" max="47" width="12.59765625" style="33"/>
    <col min="48" max="48" width="12.59765625" style="31"/>
    <col min="49" max="49" width="12.59765625" style="16"/>
    <col min="50" max="50" width="14.796875" style="32" bestFit="1" customWidth="1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9" t="s">
        <v>12</v>
      </c>
      <c r="C3" s="69"/>
      <c r="D3" s="75">
        <v>44848</v>
      </c>
      <c r="E3" s="55"/>
      <c r="F3" s="69" t="s">
        <v>39</v>
      </c>
      <c r="G3" s="69"/>
      <c r="H3" s="77">
        <v>0</v>
      </c>
      <c r="I3" s="77"/>
      <c r="J3" s="69" t="s">
        <v>44</v>
      </c>
      <c r="K3" s="69"/>
      <c r="L3" s="55">
        <v>0</v>
      </c>
      <c r="M3" s="55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54" t="s">
        <v>70</v>
      </c>
      <c r="N4" s="54"/>
      <c r="P4" s="60" t="s">
        <v>65</v>
      </c>
      <c r="Q4" s="60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43"/>
      <c r="AF4" s="54" t="s">
        <v>70</v>
      </c>
      <c r="AG4" s="54"/>
      <c r="AI4" s="60" t="s">
        <v>65</v>
      </c>
      <c r="AJ4" s="60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53" t="s">
        <v>71</v>
      </c>
      <c r="N5" s="51">
        <v>1</v>
      </c>
      <c r="P5" s="25" t="s">
        <v>66</v>
      </c>
      <c r="Q5" s="28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43"/>
      <c r="AF5" s="53" t="s">
        <v>71</v>
      </c>
      <c r="AG5" s="51">
        <v>0</v>
      </c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7" t="s">
        <v>10</v>
      </c>
      <c r="C6" s="58"/>
      <c r="D6" s="55">
        <v>1</v>
      </c>
      <c r="E6" s="55"/>
      <c r="F6" s="57" t="s">
        <v>17</v>
      </c>
      <c r="G6" s="57"/>
      <c r="H6" s="57" t="s">
        <v>1</v>
      </c>
      <c r="I6" s="58"/>
      <c r="J6" s="55">
        <v>4</v>
      </c>
      <c r="K6" s="55"/>
      <c r="L6" s="3"/>
      <c r="M6" s="51" t="s">
        <v>72</v>
      </c>
      <c r="N6" s="51" t="s">
        <v>73</v>
      </c>
      <c r="P6" s="25" t="s">
        <v>67</v>
      </c>
      <c r="Q6" s="28">
        <v>2043</v>
      </c>
      <c r="R6" s="3"/>
      <c r="S6" s="3"/>
      <c r="U6" s="57" t="s">
        <v>10</v>
      </c>
      <c r="V6" s="58"/>
      <c r="W6" s="55">
        <v>0</v>
      </c>
      <c r="X6" s="55"/>
      <c r="Y6" s="57" t="s">
        <v>17</v>
      </c>
      <c r="Z6" s="57"/>
      <c r="AA6" s="57" t="s">
        <v>1</v>
      </c>
      <c r="AB6" s="58"/>
      <c r="AC6" s="55"/>
      <c r="AD6" s="55"/>
      <c r="AE6" s="42"/>
      <c r="AF6" s="51" t="s">
        <v>72</v>
      </c>
      <c r="AG6" s="51" t="s">
        <v>73</v>
      </c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7" t="s">
        <v>11</v>
      </c>
      <c r="C7" s="58"/>
      <c r="D7" s="55">
        <v>1</v>
      </c>
      <c r="E7" s="55"/>
      <c r="F7" s="57"/>
      <c r="G7" s="57"/>
      <c r="H7" s="57" t="s">
        <v>2</v>
      </c>
      <c r="I7" s="58"/>
      <c r="J7" s="55">
        <v>10</v>
      </c>
      <c r="K7" s="55"/>
      <c r="L7" s="3"/>
      <c r="M7" s="1">
        <v>2.7397260273972603E-3</v>
      </c>
      <c r="N7" s="2">
        <v>8.1519999999999995E-3</v>
      </c>
      <c r="P7" s="25" t="s">
        <v>68</v>
      </c>
      <c r="Q7" s="28">
        <v>0</v>
      </c>
      <c r="R7" s="3"/>
      <c r="S7" s="3"/>
      <c r="U7" s="57" t="s">
        <v>11</v>
      </c>
      <c r="V7" s="58"/>
      <c r="W7" s="55">
        <v>1</v>
      </c>
      <c r="X7" s="55"/>
      <c r="Y7" s="57"/>
      <c r="Z7" s="57"/>
      <c r="AA7" s="57" t="s">
        <v>2</v>
      </c>
      <c r="AB7" s="58"/>
      <c r="AC7" s="55"/>
      <c r="AD7" s="55"/>
      <c r="AE7" s="42"/>
      <c r="AF7" s="1">
        <v>2.7397260273972603E-3</v>
      </c>
      <c r="AG7" s="2">
        <v>8.1519999999999995E-3</v>
      </c>
      <c r="AI7" s="25" t="s">
        <v>68</v>
      </c>
      <c r="AJ7" s="28">
        <v>1</v>
      </c>
      <c r="AK7" s="3"/>
      <c r="AL7" s="3"/>
      <c r="AN7" s="3"/>
      <c r="AO7" s="3"/>
      <c r="AP7" s="3"/>
      <c r="AR7" s="67" t="s">
        <v>25</v>
      </c>
      <c r="AS7" s="67"/>
      <c r="AT7" s="67"/>
      <c r="AU7" s="67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7" t="s">
        <v>0</v>
      </c>
      <c r="C8" s="58"/>
      <c r="D8" s="55">
        <v>0</v>
      </c>
      <c r="E8" s="55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7" t="s">
        <v>0</v>
      </c>
      <c r="V8" s="58"/>
      <c r="W8" s="55">
        <v>3</v>
      </c>
      <c r="X8" s="55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0" t="s">
        <v>26</v>
      </c>
      <c r="AS8" s="71"/>
      <c r="AT8" s="72">
        <v>1</v>
      </c>
      <c r="AU8" s="72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3" t="s">
        <v>27</v>
      </c>
      <c r="AS9" s="63"/>
      <c r="AT9" s="73">
        <v>0</v>
      </c>
      <c r="AU9" s="73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9" t="s">
        <v>9</v>
      </c>
      <c r="C10" s="69"/>
      <c r="D10" s="55">
        <v>10000000000</v>
      </c>
      <c r="E10" s="55"/>
      <c r="F10" s="41" t="str">
        <f>IF(AP16=1,"x Rcv FX","원")</f>
        <v>원</v>
      </c>
      <c r="G10" s="3"/>
      <c r="H10" s="3"/>
      <c r="I10" s="3"/>
      <c r="J10" s="69" t="s">
        <v>69</v>
      </c>
      <c r="K10" s="69"/>
      <c r="L10" s="52">
        <v>0</v>
      </c>
      <c r="M10" s="1">
        <v>1</v>
      </c>
      <c r="N10" s="2">
        <v>8.4510000000000002E-3</v>
      </c>
      <c r="P10" s="3"/>
      <c r="Q10" s="3"/>
      <c r="R10" s="3"/>
      <c r="S10" s="3"/>
      <c r="U10" s="69" t="s">
        <v>9</v>
      </c>
      <c r="V10" s="69"/>
      <c r="W10" s="55">
        <v>10000000000</v>
      </c>
      <c r="X10" s="55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3" t="s">
        <v>28</v>
      </c>
      <c r="AS10" s="63"/>
      <c r="AT10" s="64">
        <v>2114172015.080519</v>
      </c>
      <c r="AU10" s="64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9" t="s">
        <v>20</v>
      </c>
      <c r="C11" s="69"/>
      <c r="D11" s="75">
        <f>K59</f>
        <v>46823</v>
      </c>
      <c r="E11" s="55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0" t="s">
        <v>57</v>
      </c>
      <c r="Q11" s="60"/>
      <c r="R11" s="3"/>
      <c r="S11" s="3"/>
      <c r="U11" s="69" t="s">
        <v>20</v>
      </c>
      <c r="V11" s="69"/>
      <c r="W11" s="75">
        <f>AD59</f>
        <v>46823</v>
      </c>
      <c r="X11" s="55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0" t="s">
        <v>58</v>
      </c>
      <c r="AJ11" s="60"/>
      <c r="AK11" s="3"/>
      <c r="AL11" s="3"/>
      <c r="AN11" s="3"/>
      <c r="AO11" s="3"/>
      <c r="AP11" s="3"/>
      <c r="AR11" s="63" t="s">
        <v>29</v>
      </c>
      <c r="AS11" s="63"/>
      <c r="AT11" s="64">
        <v>1939113585.8269353</v>
      </c>
      <c r="AU11" s="64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-175058429.25358367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7" t="s">
        <v>45</v>
      </c>
      <c r="AS14" s="67"/>
      <c r="AT14" s="67"/>
      <c r="AU14" s="67"/>
      <c r="AV14" s="67" t="s">
        <v>46</v>
      </c>
      <c r="AW14" s="67"/>
      <c r="AX14" s="67"/>
      <c r="AY14" s="67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5" t="s">
        <v>59</v>
      </c>
      <c r="AJ15" s="28">
        <f>BJ9</f>
        <v>0</v>
      </c>
      <c r="AK15" s="3"/>
      <c r="AL15" s="3"/>
      <c r="AN15" s="60" t="s">
        <v>51</v>
      </c>
      <c r="AO15" s="60"/>
      <c r="AP15" s="60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2" t="s">
        <v>36</v>
      </c>
      <c r="BB15" s="62"/>
      <c r="BC15" s="62"/>
      <c r="BD15" s="62"/>
      <c r="BE15" s="62"/>
      <c r="BF15" s="62"/>
      <c r="BG15" s="62"/>
      <c r="BH15" s="62"/>
      <c r="BJ15" s="62" t="s">
        <v>37</v>
      </c>
      <c r="BK15" s="62"/>
      <c r="BL15" s="62"/>
      <c r="BM15" s="62"/>
      <c r="BN15" s="62"/>
      <c r="BO15" s="62"/>
      <c r="BP15" s="62"/>
      <c r="BQ15" s="62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4" t="s">
        <v>63</v>
      </c>
      <c r="S16" s="54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4" t="s">
        <v>64</v>
      </c>
      <c r="AL16" s="54"/>
      <c r="AM16" s="24"/>
      <c r="AN16" s="68" t="s">
        <v>52</v>
      </c>
      <c r="AO16" s="68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62"/>
      <c r="BB16" s="62"/>
      <c r="BC16" s="62"/>
      <c r="BD16" s="62"/>
      <c r="BE16" s="62"/>
      <c r="BF16" s="62"/>
      <c r="BG16" s="62"/>
      <c r="BH16" s="62"/>
      <c r="BJ16" s="62"/>
      <c r="BK16" s="62"/>
      <c r="BL16" s="62"/>
      <c r="BM16" s="62"/>
      <c r="BN16" s="62"/>
      <c r="BO16" s="62"/>
      <c r="BP16" s="62"/>
      <c r="BQ16" s="62"/>
    </row>
    <row r="17" spans="1:69" ht="15.6" customHeight="1" x14ac:dyDescent="0.4">
      <c r="A17" s="3">
        <f t="shared" si="2"/>
        <v>17</v>
      </c>
      <c r="B17" s="60" t="s">
        <v>3</v>
      </c>
      <c r="C17" s="60"/>
      <c r="D17" s="60"/>
      <c r="E17" s="60"/>
      <c r="G17" s="60" t="s">
        <v>19</v>
      </c>
      <c r="H17" s="60"/>
      <c r="I17" s="60"/>
      <c r="J17" s="60"/>
      <c r="K17" s="3"/>
      <c r="L17" s="3"/>
      <c r="M17" s="3"/>
      <c r="N17" s="3"/>
      <c r="P17" s="25" t="s">
        <v>56</v>
      </c>
      <c r="Q17" s="28">
        <v>0</v>
      </c>
      <c r="R17" s="54"/>
      <c r="S17" s="54"/>
      <c r="U17" s="60" t="s">
        <v>24</v>
      </c>
      <c r="V17" s="60"/>
      <c r="W17" s="60"/>
      <c r="X17" s="60"/>
      <c r="Z17" s="60" t="s">
        <v>23</v>
      </c>
      <c r="AA17" s="60"/>
      <c r="AB17" s="60"/>
      <c r="AC17" s="60"/>
      <c r="AD17" s="3"/>
      <c r="AE17" s="3"/>
      <c r="AF17" s="3"/>
      <c r="AG17" s="3"/>
      <c r="AI17" s="25" t="s">
        <v>47</v>
      </c>
      <c r="AJ17" s="28">
        <v>0</v>
      </c>
      <c r="AK17" s="54"/>
      <c r="AL17" s="54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4" t="s">
        <v>4</v>
      </c>
      <c r="C18" s="54"/>
      <c r="D18" s="54" t="s">
        <v>5</v>
      </c>
      <c r="E18" s="54"/>
      <c r="G18" s="59" t="s">
        <v>13</v>
      </c>
      <c r="H18" s="59" t="s">
        <v>14</v>
      </c>
      <c r="I18" s="59" t="s">
        <v>6</v>
      </c>
      <c r="J18" s="59" t="s">
        <v>7</v>
      </c>
      <c r="K18" s="59" t="s">
        <v>8</v>
      </c>
      <c r="L18" s="59" t="s">
        <v>15</v>
      </c>
      <c r="M18" s="59" t="s">
        <v>22</v>
      </c>
      <c r="N18" s="59" t="s">
        <v>16</v>
      </c>
      <c r="P18" s="54" t="s">
        <v>60</v>
      </c>
      <c r="Q18" s="76"/>
      <c r="R18" s="74" t="s">
        <v>61</v>
      </c>
      <c r="S18" s="74" t="s">
        <v>62</v>
      </c>
      <c r="U18" s="54" t="s">
        <v>4</v>
      </c>
      <c r="V18" s="54"/>
      <c r="W18" s="54" t="s">
        <v>5</v>
      </c>
      <c r="X18" s="54"/>
      <c r="Z18" s="59" t="s">
        <v>13</v>
      </c>
      <c r="AA18" s="59" t="s">
        <v>14</v>
      </c>
      <c r="AB18" s="59" t="s">
        <v>6</v>
      </c>
      <c r="AC18" s="59" t="s">
        <v>7</v>
      </c>
      <c r="AD18" s="59" t="s">
        <v>8</v>
      </c>
      <c r="AE18" s="59" t="s">
        <v>15</v>
      </c>
      <c r="AF18" s="59" t="s">
        <v>22</v>
      </c>
      <c r="AG18" s="59" t="s">
        <v>16</v>
      </c>
      <c r="AI18" s="54" t="s">
        <v>60</v>
      </c>
      <c r="AJ18" s="44"/>
      <c r="AK18" s="74" t="s">
        <v>61</v>
      </c>
      <c r="AL18" s="74" t="s">
        <v>62</v>
      </c>
      <c r="AM18" s="24"/>
      <c r="AN18" s="68" t="s">
        <v>53</v>
      </c>
      <c r="AO18" s="68"/>
      <c r="AP18" s="68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54"/>
      <c r="C19" s="54"/>
      <c r="D19" s="54"/>
      <c r="E19" s="54"/>
      <c r="G19" s="59"/>
      <c r="H19" s="59"/>
      <c r="I19" s="59"/>
      <c r="J19" s="59"/>
      <c r="K19" s="59"/>
      <c r="L19" s="59"/>
      <c r="M19" s="59"/>
      <c r="N19" s="59"/>
      <c r="O19" s="29"/>
      <c r="P19" s="54"/>
      <c r="Q19" s="76"/>
      <c r="R19" s="74"/>
      <c r="S19" s="74"/>
      <c r="U19" s="54"/>
      <c r="V19" s="54"/>
      <c r="W19" s="54"/>
      <c r="X19" s="54"/>
      <c r="Z19" s="59"/>
      <c r="AA19" s="59"/>
      <c r="AB19" s="59"/>
      <c r="AC19" s="59"/>
      <c r="AD19" s="59"/>
      <c r="AE19" s="59"/>
      <c r="AF19" s="59"/>
      <c r="AG19" s="59"/>
      <c r="AI19" s="54"/>
      <c r="AJ19" s="44"/>
      <c r="AK19" s="74"/>
      <c r="AL19" s="74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0</v>
      </c>
      <c r="AF20" s="6">
        <v>0.04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0</v>
      </c>
      <c r="AF21" s="6">
        <v>0.04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0</v>
      </c>
      <c r="AF22" s="6">
        <v>0.04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61" t="s">
        <v>38</v>
      </c>
      <c r="BB22" s="61"/>
      <c r="BD22" s="61" t="s">
        <v>38</v>
      </c>
      <c r="BE22" s="61"/>
      <c r="BG22" s="61" t="s">
        <v>38</v>
      </c>
      <c r="BH22" s="61"/>
      <c r="BJ22" s="61" t="s">
        <v>38</v>
      </c>
      <c r="BK22" s="61"/>
      <c r="BM22" s="61" t="s">
        <v>38</v>
      </c>
      <c r="BN22" s="61"/>
      <c r="BP22" s="61" t="s">
        <v>38</v>
      </c>
      <c r="BQ22" s="61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0</v>
      </c>
      <c r="AF23" s="6">
        <v>0.04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0</v>
      </c>
      <c r="AF24" s="6">
        <v>0.04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0</v>
      </c>
      <c r="AF25" s="6">
        <v>0.04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0</v>
      </c>
      <c r="AF26" s="6">
        <v>0.04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0</v>
      </c>
      <c r="AF27" s="6">
        <v>0.04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0</v>
      </c>
      <c r="AF28" s="6">
        <v>0.04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0</v>
      </c>
      <c r="AF29" s="6">
        <v>0.04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0</v>
      </c>
      <c r="AF30" s="6">
        <v>0.04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0</v>
      </c>
      <c r="AF31" s="6">
        <v>0.04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0</v>
      </c>
      <c r="AF32" s="6">
        <v>0.04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0</v>
      </c>
      <c r="AF33" s="6">
        <v>0.04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10</v>
      </c>
      <c r="BB33" s="22">
        <v>0</v>
      </c>
      <c r="BD33" s="8">
        <v>10</v>
      </c>
      <c r="BE33" s="23">
        <v>0</v>
      </c>
      <c r="BG33" s="8">
        <v>10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0</v>
      </c>
      <c r="AF34" s="6">
        <v>0.04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100000000</v>
      </c>
      <c r="AY34" s="17">
        <v>0.99332615053886586</v>
      </c>
      <c r="BA34" s="8">
        <v>20</v>
      </c>
      <c r="BB34" s="22">
        <v>0</v>
      </c>
      <c r="BD34" s="8">
        <v>20</v>
      </c>
      <c r="BE34" s="23">
        <v>0</v>
      </c>
      <c r="BG34" s="8">
        <v>20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0</v>
      </c>
      <c r="AF35" s="6">
        <v>0.04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4.3177301435527261E-2</v>
      </c>
      <c r="AT35" s="19">
        <v>106464578.88212201</v>
      </c>
      <c r="AU35" s="17">
        <v>0.9866428880365794</v>
      </c>
      <c r="AV35" s="14">
        <v>44996</v>
      </c>
      <c r="AW35" s="16">
        <v>4.5345413633733268E-2</v>
      </c>
      <c r="AX35" s="19">
        <v>100000000</v>
      </c>
      <c r="AY35" s="17">
        <v>0.98232473119818331</v>
      </c>
      <c r="BA35" s="8">
        <v>30</v>
      </c>
      <c r="BB35" s="22">
        <v>0</v>
      </c>
      <c r="BD35" s="8">
        <v>30</v>
      </c>
      <c r="BE35" s="23">
        <v>0</v>
      </c>
      <c r="BG35" s="8">
        <v>30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0</v>
      </c>
      <c r="AF36" s="6">
        <v>0.04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4.3507970150688587E-2</v>
      </c>
      <c r="AT36" s="19">
        <v>109663924.76337945</v>
      </c>
      <c r="AU36" s="17">
        <v>0.97800877434194999</v>
      </c>
      <c r="AV36" s="14">
        <v>45088</v>
      </c>
      <c r="AW36" s="16">
        <v>4.9750588745791337E-2</v>
      </c>
      <c r="AX36" s="19">
        <v>100000000</v>
      </c>
      <c r="AY36" s="17">
        <v>0.97015532832664342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0</v>
      </c>
      <c r="AF37" s="6">
        <v>0.04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4.3815219230253499E-2</v>
      </c>
      <c r="AT37" s="19">
        <v>110438360.79954307</v>
      </c>
      <c r="AU37" s="17">
        <v>0.96925862926540185</v>
      </c>
      <c r="AV37" s="14">
        <v>45180</v>
      </c>
      <c r="AW37" s="16">
        <v>5.2041794950073605E-2</v>
      </c>
      <c r="AX37" s="19">
        <v>100000000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0</v>
      </c>
      <c r="AF38" s="6">
        <v>0.04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4.4101167739780102E-2</v>
      </c>
      <c r="AT38" s="19">
        <v>109950856.55671205</v>
      </c>
      <c r="AU38" s="17">
        <v>0.95885463188112963</v>
      </c>
      <c r="AV38" s="14">
        <v>45271</v>
      </c>
      <c r="AW38" s="16">
        <v>5.0047791842283702E-2</v>
      </c>
      <c r="AX38" s="19">
        <v>100000000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0</v>
      </c>
      <c r="AF39" s="6">
        <v>0.04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4.4164427069604842E-2</v>
      </c>
      <c r="AT39" s="19">
        <v>110108571.5981929</v>
      </c>
      <c r="AU39" s="17">
        <v>0.94657068622658125</v>
      </c>
      <c r="AV39" s="14">
        <v>45362</v>
      </c>
      <c r="AW39" s="16">
        <v>4.7236668953448829E-2</v>
      </c>
      <c r="AX39" s="19">
        <v>100000000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0</v>
      </c>
      <c r="AF40" s="6">
        <v>0.04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4.3976735810975998E-2</v>
      </c>
      <c r="AT40" s="19">
        <v>110845471.08519977</v>
      </c>
      <c r="AU40" s="17">
        <v>0.93463634691431408</v>
      </c>
      <c r="AV40" s="14">
        <v>45454</v>
      </c>
      <c r="AW40" s="16">
        <v>4.6833862512738279E-2</v>
      </c>
      <c r="AX40" s="19">
        <v>100000000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0</v>
      </c>
      <c r="AF41" s="6">
        <v>0.04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4.3820624896044637E-2</v>
      </c>
      <c r="AT41" s="19">
        <v>110451986.0393454</v>
      </c>
      <c r="AU41" s="17">
        <v>0.92310721026500564</v>
      </c>
      <c r="AV41" s="14">
        <v>45546</v>
      </c>
      <c r="AW41" s="16">
        <v>4.642583489017333E-2</v>
      </c>
      <c r="AX41" s="19">
        <v>100000000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0</v>
      </c>
      <c r="AF42" s="6">
        <v>0.04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4.3695666614281155E-2</v>
      </c>
      <c r="AT42" s="19">
        <v>108939881.14793384</v>
      </c>
      <c r="AU42" s="17">
        <v>0.91267031751910499</v>
      </c>
      <c r="AV42" s="14">
        <v>45637</v>
      </c>
      <c r="AW42" s="16">
        <v>4.6935862391273779E-2</v>
      </c>
      <c r="AX42" s="19">
        <v>100000000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0</v>
      </c>
      <c r="AF43" s="6">
        <v>0.04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4.3671157166507268E-2</v>
      </c>
      <c r="AT43" s="19">
        <v>107682305.34207273</v>
      </c>
      <c r="AU43" s="17">
        <v>0.90306158465581365</v>
      </c>
      <c r="AV43" s="14">
        <v>45727</v>
      </c>
      <c r="AW43" s="16">
        <v>4.7324978528699796E-2</v>
      </c>
      <c r="AX43" s="19">
        <v>100000000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0</v>
      </c>
      <c r="AF44" s="6">
        <v>0.04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4.3723608007221533E-2</v>
      </c>
      <c r="AT44" s="19">
        <v>110207450.31957208</v>
      </c>
      <c r="AU44" s="17">
        <v>0.89331356111338067</v>
      </c>
      <c r="AV44" s="14">
        <v>45819</v>
      </c>
      <c r="AW44" s="16">
        <v>4.7260450950812619E-2</v>
      </c>
      <c r="AX44" s="19">
        <v>100000000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0</v>
      </c>
      <c r="AF45" s="6">
        <v>0.04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4.3771406720170894E-2</v>
      </c>
      <c r="AT45" s="19">
        <v>110327929.26728006</v>
      </c>
      <c r="AU45" s="17">
        <v>0.88364044616574222</v>
      </c>
      <c r="AV45" s="14">
        <v>45911</v>
      </c>
      <c r="AW45" s="16">
        <v>4.7189035534312182E-2</v>
      </c>
      <c r="AX45" s="19">
        <v>100000000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0</v>
      </c>
      <c r="AF46" s="6">
        <v>0.04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4.3813318169009449E-2</v>
      </c>
      <c r="AT46" s="19">
        <v>109233204.20218794</v>
      </c>
      <c r="AU46" s="17">
        <v>0.87384228615065296</v>
      </c>
      <c r="AV46" s="14">
        <v>46002</v>
      </c>
      <c r="AW46" s="16">
        <v>4.5180275141353386E-2</v>
      </c>
      <c r="AX46" s="19">
        <v>100000000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0</v>
      </c>
      <c r="AF47" s="6">
        <v>0.04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4.3809214837529725E-2</v>
      </c>
      <c r="AT47" s="19">
        <v>108022721.51719657</v>
      </c>
      <c r="AU47" s="17">
        <v>0.86400990123715893</v>
      </c>
      <c r="AV47" s="14">
        <v>46092</v>
      </c>
      <c r="AW47" s="16">
        <v>4.3617708951352974E-2</v>
      </c>
      <c r="AX47" s="19">
        <v>100000000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0</v>
      </c>
      <c r="AF48" s="6">
        <v>0.04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4.3768815244217996E-2</v>
      </c>
      <c r="AT48" s="19">
        <v>110321397.32789193</v>
      </c>
      <c r="AU48" s="17">
        <v>0.85397138883451529</v>
      </c>
      <c r="AV48" s="14">
        <v>46184</v>
      </c>
      <c r="AW48" s="16">
        <v>4.3073457850272681E-2</v>
      </c>
      <c r="AX48" s="19">
        <v>100000000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0</v>
      </c>
      <c r="AF49" s="6">
        <v>0.04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4.3710936164923567E-2</v>
      </c>
      <c r="AT49" s="19">
        <v>110175510.33350597</v>
      </c>
      <c r="AU49" s="17">
        <v>0.84394762991137162</v>
      </c>
      <c r="AV49" s="14">
        <v>46276</v>
      </c>
      <c r="AW49" s="16">
        <v>4.2518051232877059E-2</v>
      </c>
      <c r="AX49" s="19">
        <v>100000000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0</v>
      </c>
      <c r="AF50" s="6">
        <v>0.04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4.3636016879199817E-2</v>
      </c>
      <c r="AT50" s="19">
        <v>108791165.3700598</v>
      </c>
      <c r="AU50" s="17">
        <v>0.83489717086682858</v>
      </c>
      <c r="AV50" s="14">
        <v>46367</v>
      </c>
      <c r="AW50" s="16">
        <v>4.1963335477280629E-2</v>
      </c>
      <c r="AX50" s="19">
        <v>100000000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0</v>
      </c>
      <c r="AF51" s="6">
        <v>0.04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4.3660391305960111E-2</v>
      </c>
      <c r="AT51" s="32">
        <v>107655759.3845592</v>
      </c>
      <c r="AU51" s="33">
        <v>0.82652146400004256</v>
      </c>
      <c r="AV51" s="31">
        <v>46457</v>
      </c>
      <c r="AW51" s="16">
        <v>4.1414855046783446E-2</v>
      </c>
      <c r="AX51" s="32">
        <v>100000000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0</v>
      </c>
      <c r="AF52" s="6">
        <v>0.04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4.3751172764523553E-2</v>
      </c>
      <c r="AT52" s="32">
        <v>110276928.61194979</v>
      </c>
      <c r="AU52" s="33">
        <v>0.81810404847121865</v>
      </c>
      <c r="AV52" s="31">
        <v>46549</v>
      </c>
      <c r="AW52" s="16">
        <v>4.0870395194516421E-2</v>
      </c>
      <c r="AX52" s="32">
        <v>100000000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0</v>
      </c>
      <c r="AF53" s="6">
        <v>0.04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4.3850672786059211E-2</v>
      </c>
      <c r="AT53" s="32">
        <v>110527723.18677939</v>
      </c>
      <c r="AU53" s="33">
        <v>0.80982997887096475</v>
      </c>
      <c r="AV53" s="31">
        <v>46641</v>
      </c>
      <c r="AW53" s="16">
        <v>4.0315293677813765E-2</v>
      </c>
      <c r="AX53" s="32">
        <v>100000000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0</v>
      </c>
      <c r="AF54" s="6">
        <v>0.04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4.3957103499593003E-2</v>
      </c>
      <c r="AT54" s="32">
        <v>109591682.69761543</v>
      </c>
      <c r="AU54" s="33">
        <v>0.80142981833086158</v>
      </c>
      <c r="AV54" s="31">
        <v>46732</v>
      </c>
      <c r="AW54" s="16">
        <v>4.1770640997631364E-2</v>
      </c>
      <c r="AX54" s="32">
        <v>100000000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0</v>
      </c>
      <c r="AF55" s="6">
        <v>0.04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4.4019198599228974E-2</v>
      </c>
      <c r="AT55" s="32">
        <v>109746495.13780373</v>
      </c>
      <c r="AU55" s="33">
        <v>0.79293873550566663</v>
      </c>
      <c r="AV55" s="31">
        <v>46823</v>
      </c>
      <c r="AW55" s="16">
        <v>4.2614734451575979E-2</v>
      </c>
      <c r="AX55" s="32">
        <v>100000000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0</v>
      </c>
      <c r="AF56" s="6">
        <v>0.04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0</v>
      </c>
      <c r="AF57" s="6">
        <v>0.04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0</v>
      </c>
      <c r="AF58" s="6">
        <v>0.04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0</v>
      </c>
      <c r="AF59" s="6">
        <v>0.04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51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51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51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51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51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51" x14ac:dyDescent="0.4">
      <c r="P86" s="26">
        <v>44592</v>
      </c>
      <c r="AI86" s="26">
        <v>45285</v>
      </c>
      <c r="AJ86" s="44"/>
    </row>
    <row r="87" spans="16:51" x14ac:dyDescent="0.4">
      <c r="P87" s="26">
        <v>44593</v>
      </c>
      <c r="AI87" s="26">
        <v>45292</v>
      </c>
      <c r="AJ87" s="44"/>
    </row>
    <row r="88" spans="16:51" x14ac:dyDescent="0.4">
      <c r="P88" s="26">
        <v>44594</v>
      </c>
      <c r="AI88" s="26">
        <v>45306</v>
      </c>
      <c r="AJ88" s="44"/>
    </row>
    <row r="89" spans="16:51" x14ac:dyDescent="0.4">
      <c r="P89" s="26">
        <v>44621</v>
      </c>
      <c r="AI89" s="26">
        <v>45341</v>
      </c>
      <c r="AJ89" s="44"/>
    </row>
    <row r="90" spans="16:51" x14ac:dyDescent="0.4">
      <c r="P90" s="26">
        <v>44629</v>
      </c>
      <c r="AI90" s="26">
        <v>45439</v>
      </c>
      <c r="AJ90" s="44"/>
    </row>
    <row r="91" spans="16:51" x14ac:dyDescent="0.4">
      <c r="P91" s="26">
        <v>44682</v>
      </c>
      <c r="AI91" s="26">
        <v>45462</v>
      </c>
      <c r="AJ91" s="44"/>
    </row>
    <row r="92" spans="16:51" x14ac:dyDescent="0.4">
      <c r="P92" s="26">
        <v>44686</v>
      </c>
      <c r="AI92" s="26">
        <v>45477</v>
      </c>
      <c r="AJ92" s="44"/>
    </row>
    <row r="93" spans="16:51" x14ac:dyDescent="0.4">
      <c r="P93" s="26">
        <v>44690</v>
      </c>
      <c r="AI93" s="26">
        <v>45537</v>
      </c>
      <c r="AJ93" s="44"/>
    </row>
    <row r="94" spans="16:51" x14ac:dyDescent="0.4">
      <c r="P94" s="26">
        <v>44713</v>
      </c>
      <c r="AI94" s="26">
        <v>45579</v>
      </c>
      <c r="AJ94" s="44"/>
    </row>
    <row r="95" spans="16:51" x14ac:dyDescent="0.4">
      <c r="P95" s="26">
        <v>44718</v>
      </c>
      <c r="AI95" s="26">
        <v>45607</v>
      </c>
      <c r="AJ95" s="44"/>
    </row>
    <row r="96" spans="16:51" x14ac:dyDescent="0.4">
      <c r="P96" s="26">
        <v>44788</v>
      </c>
      <c r="AI96" s="26">
        <v>45624</v>
      </c>
      <c r="AJ96" s="44"/>
      <c r="AW96" s="16">
        <v>0</v>
      </c>
      <c r="AX96" s="32">
        <v>0</v>
      </c>
      <c r="AY96" s="33">
        <v>0</v>
      </c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6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2023-12-10T06:03:32Z</dcterms:modified>
</cp:coreProperties>
</file>