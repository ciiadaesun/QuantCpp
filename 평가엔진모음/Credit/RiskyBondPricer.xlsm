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CreditDerivatives\"/>
    </mc:Choice>
  </mc:AlternateContent>
  <bookViews>
    <workbookView xWindow="0" yWindow="0" windowWidth="28800" windowHeight="12252"/>
  </bookViews>
  <sheets>
    <sheet name="RiskyBond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9" i="1" l="1"/>
  <c r="B13" i="1" l="1"/>
  <c r="B14" i="1"/>
  <c r="F15" i="1"/>
  <c r="E15" i="1"/>
  <c r="D15" i="1"/>
  <c r="C15" i="1"/>
  <c r="B15" i="1"/>
  <c r="E13" i="1"/>
  <c r="B12" i="1"/>
  <c r="H8" i="1"/>
  <c r="H7" i="1"/>
  <c r="H6" i="1"/>
  <c r="F6" i="1"/>
  <c r="H15" i="1" l="1"/>
  <c r="B16" i="1" l="1"/>
  <c r="B17" i="1" s="1"/>
  <c r="H14" i="1"/>
  <c r="J13" i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B18" i="1" l="1"/>
  <c r="D17" i="1"/>
  <c r="D16" i="1"/>
  <c r="D18" i="1" l="1"/>
  <c r="B19" i="1"/>
  <c r="B20" i="1" l="1"/>
  <c r="D19" i="1"/>
  <c r="D20" i="1" l="1"/>
  <c r="B21" i="1"/>
  <c r="D21" i="1" l="1"/>
  <c r="B22" i="1"/>
  <c r="B23" i="1" l="1"/>
  <c r="D22" i="1"/>
  <c r="B24" i="1" l="1"/>
  <c r="D23" i="1"/>
  <c r="D24" i="1" l="1"/>
  <c r="B25" i="1"/>
  <c r="B26" i="1" l="1"/>
  <c r="D25" i="1"/>
  <c r="D26" i="1" l="1"/>
  <c r="B27" i="1"/>
  <c r="B28" i="1" s="1"/>
  <c r="B29" i="1" l="1"/>
  <c r="D28" i="1"/>
  <c r="D27" i="1"/>
  <c r="B30" i="1" l="1"/>
  <c r="D29" i="1"/>
  <c r="D30" i="1" l="1"/>
  <c r="C14" i="1" l="1"/>
</calcChain>
</file>

<file path=xl/comments1.xml><?xml version="1.0" encoding="utf-8"?>
<comments xmlns="http://schemas.openxmlformats.org/spreadsheetml/2006/main">
  <authors>
    <author>DAESUN IM</author>
    <author>임 대선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0:</t>
        </r>
        <r>
          <rPr>
            <b/>
            <sz val="9"/>
            <color indexed="81"/>
            <rFont val="돋움"/>
            <family val="3"/>
            <charset val="129"/>
          </rPr>
          <t xml:space="preserve">스케줄러
</t>
        </r>
        <r>
          <rPr>
            <b/>
            <sz val="9"/>
            <color indexed="81"/>
            <rFont val="Tahoma"/>
            <family val="2"/>
          </rPr>
          <t>1: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스케줄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8" authorId="1" shapeId="0">
      <text>
        <r>
          <rPr>
            <b/>
            <sz val="9"/>
            <color indexed="81"/>
            <rFont val="돋움"/>
            <family val="3"/>
            <charset val="129"/>
          </rPr>
          <t>0: Q = exp( - lambda * T)
1: Q = 1  -  lambda * T 
(KIS CreditBasic방식)</t>
        </r>
      </text>
    </comment>
    <comment ref="M8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G13" authorId="1" shapeId="0">
      <text>
        <r>
          <rPr>
            <b/>
            <sz val="9"/>
            <color indexed="81"/>
            <rFont val="Tahoma"/>
            <family val="2"/>
          </rPr>
          <t>0 : HazardRate/y
1 : CDS Spread</t>
        </r>
      </text>
    </comment>
  </commentList>
</comments>
</file>

<file path=xl/sharedStrings.xml><?xml version="1.0" encoding="utf-8"?>
<sst xmlns="http://schemas.openxmlformats.org/spreadsheetml/2006/main" count="34" uniqueCount="27">
  <si>
    <t>발행일</t>
  </si>
  <si>
    <t>쿠폰입력Flag</t>
    <phoneticPr fontId="2" type="noConversion"/>
  </si>
  <si>
    <t>가격계산일</t>
    <phoneticPr fontId="2" type="noConversion"/>
  </si>
  <si>
    <t>RecoveryRate</t>
    <phoneticPr fontId="2" type="noConversion"/>
  </si>
  <si>
    <t>생존율계산방식</t>
  </si>
  <si>
    <t>GreekFlag</t>
    <phoneticPr fontId="2" type="noConversion"/>
  </si>
  <si>
    <t>HazardRate(or CDS Spread)</t>
    <phoneticPr fontId="2" type="noConversion"/>
  </si>
  <si>
    <t>무위험금리</t>
    <phoneticPr fontId="2" type="noConversion"/>
  </si>
  <si>
    <t>입력데이터유형</t>
    <phoneticPr fontId="2" type="noConversion"/>
  </si>
  <si>
    <t>무위험 개수</t>
    <phoneticPr fontId="2" type="noConversion"/>
  </si>
  <si>
    <t>입력 개수</t>
    <phoneticPr fontId="2" type="noConversion"/>
  </si>
  <si>
    <t>Term</t>
    <phoneticPr fontId="2" type="noConversion"/>
  </si>
  <si>
    <t>ResultCode</t>
    <phoneticPr fontId="2" type="noConversion"/>
  </si>
  <si>
    <t>CleanPrice</t>
    <phoneticPr fontId="2" type="noConversion"/>
  </si>
  <si>
    <t>Accrued Interest</t>
    <phoneticPr fontId="2" type="noConversion"/>
  </si>
  <si>
    <t>Dirty Price</t>
    <phoneticPr fontId="2" type="noConversion"/>
  </si>
  <si>
    <t>PV01</t>
    <phoneticPr fontId="2" type="noConversion"/>
  </si>
  <si>
    <t>Hazard Delta</t>
    <phoneticPr fontId="2" type="noConversion"/>
  </si>
  <si>
    <t>Recovery Delta</t>
    <phoneticPr fontId="2" type="noConversion"/>
  </si>
  <si>
    <t>KeyRate PV01</t>
    <phoneticPr fontId="2" type="noConversion"/>
  </si>
  <si>
    <t>KeyRate Convexity</t>
    <phoneticPr fontId="2" type="noConversion"/>
  </si>
  <si>
    <t>KeyRate HazardDelta</t>
    <phoneticPr fontId="2" type="noConversion"/>
  </si>
  <si>
    <t>KeyRate HazardGamma</t>
    <phoneticPr fontId="2" type="noConversion"/>
  </si>
  <si>
    <t>Convexity</t>
    <phoneticPr fontId="2" type="noConversion"/>
  </si>
  <si>
    <t>HazardDelta</t>
    <phoneticPr fontId="2" type="noConversion"/>
  </si>
  <si>
    <t>HazardGamma</t>
    <phoneticPr fontId="2" type="noConversion"/>
  </si>
  <si>
    <t>DayCount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</si>
</sst>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76" formatCode="0_);[Red]\(0\)"/>
    <numFmt numFmtId="177" formatCode="0.00_);[Red]\(0.00\)"/>
    <numFmt numFmtId="178" formatCode="0.0000_);[Red]\(0.0000\)"/>
    <numFmt numFmtId="179" formatCode="0.0_);[Red]\(0.0\)"/>
    <numFmt numFmtId="180" formatCode="0_ ;[Red]\-0\ "/>
    <numFmt numFmtId="181" formatCode="0.000_ ;[Red]\-0.000\ "/>
    <numFmt numFmtId="182" formatCode="0.0000000_);[Red]\(0.0000000\)"/>
    <numFmt numFmtId="183" formatCode="0.000000_);[Red]\(0.000000\)"/>
    <numFmt numFmtId="184" formatCode="0.000_);[Red]\(0.000\)"/>
    <numFmt numFmtId="185" formatCode="0.000%"/>
  </numFmts>
  <fonts count="1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u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11"/>
      <color rgb="FF000000"/>
      <name val="맑은 고딕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6" tint="0.79998168889431442"/>
        <bgColor indexed="64"/>
      </patternFill>
    </fill>
  </fills>
  <borders count="44">
    <border>
      <left/>
      <right/>
      <top/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0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ck">
        <color theme="0"/>
      </top>
      <bottom style="thin">
        <color theme="1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 style="thin">
        <color theme="1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 style="thin">
        <color theme="1"/>
      </right>
      <top style="thin">
        <color theme="1"/>
      </top>
      <bottom style="thick">
        <color theme="0"/>
      </bottom>
      <diagonal/>
    </border>
    <border>
      <left style="thin">
        <color theme="1"/>
      </left>
      <right/>
      <top style="thick">
        <color theme="0"/>
      </top>
      <bottom/>
      <diagonal/>
    </border>
    <border>
      <left/>
      <right style="thin">
        <color theme="1"/>
      </right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/>
      <right/>
      <top style="thin">
        <color theme="1"/>
      </top>
      <bottom style="thick">
        <color theme="0"/>
      </bottom>
      <diagonal/>
    </border>
    <border>
      <left style="thin">
        <color theme="1"/>
      </left>
      <right/>
      <top style="thin">
        <color theme="1"/>
      </top>
      <bottom style="thick">
        <color theme="0"/>
      </bottom>
      <diagonal/>
    </border>
    <border>
      <left/>
      <right style="thin">
        <color theme="1"/>
      </right>
      <top style="thick">
        <color theme="0"/>
      </top>
      <bottom style="thin">
        <color theme="1"/>
      </bottom>
      <diagonal/>
    </border>
    <border>
      <left/>
      <right style="thick">
        <color theme="0"/>
      </right>
      <top style="thick">
        <color theme="0"/>
      </top>
      <bottom style="thin">
        <color theme="1"/>
      </bottom>
      <diagonal/>
    </border>
    <border>
      <left/>
      <right style="thick">
        <color theme="0"/>
      </right>
      <top style="thin">
        <color theme="1"/>
      </top>
      <bottom style="thin">
        <color theme="1"/>
      </bottom>
      <diagonal/>
    </border>
    <border>
      <left style="thick">
        <color theme="0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ck">
        <color theme="0"/>
      </left>
      <right style="thin">
        <color theme="0"/>
      </right>
      <top style="thin">
        <color theme="1"/>
      </top>
      <bottom/>
      <diagonal/>
    </border>
    <border>
      <left style="thin">
        <color theme="0"/>
      </left>
      <right style="thin">
        <color theme="1"/>
      </right>
      <top style="thin">
        <color theme="1"/>
      </top>
      <bottom/>
      <diagonal/>
    </border>
    <border>
      <left/>
      <right style="thin">
        <color theme="0"/>
      </right>
      <top style="thin">
        <color theme="1"/>
      </top>
      <bottom/>
      <diagonal/>
    </border>
    <border>
      <left style="thick">
        <color theme="0"/>
      </left>
      <right style="thin">
        <color theme="0"/>
      </right>
      <top style="thin">
        <color theme="1"/>
      </top>
      <bottom style="thin">
        <color theme="1"/>
      </bottom>
      <diagonal/>
    </border>
    <border>
      <left style="thin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ck">
        <color theme="0"/>
      </top>
      <bottom style="thick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ck">
        <color theme="0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98">
    <xf numFmtId="0" fontId="0" fillId="0" borderId="0" xfId="0">
      <alignment vertical="center"/>
    </xf>
    <xf numFmtId="10" fontId="6" fillId="3" borderId="9" xfId="0" applyNumberFormat="1" applyFont="1" applyFill="1" applyBorder="1" applyAlignment="1"/>
    <xf numFmtId="0" fontId="0" fillId="5" borderId="0" xfId="0" applyFill="1">
      <alignment vertical="center"/>
    </xf>
    <xf numFmtId="14" fontId="0" fillId="3" borderId="9" xfId="0" applyNumberFormat="1" applyFill="1" applyBorder="1">
      <alignment vertical="center"/>
    </xf>
    <xf numFmtId="10" fontId="0" fillId="3" borderId="9" xfId="0" applyNumberFormat="1" applyFill="1" applyBorder="1">
      <alignment vertical="center"/>
    </xf>
    <xf numFmtId="0" fontId="0" fillId="3" borderId="9" xfId="0" applyFill="1" applyBorder="1">
      <alignment vertical="center"/>
    </xf>
    <xf numFmtId="177" fontId="10" fillId="3" borderId="9" xfId="0" applyNumberFormat="1" applyFont="1" applyFill="1" applyBorder="1" applyAlignment="1">
      <alignment vertical="center"/>
    </xf>
    <xf numFmtId="0" fontId="0" fillId="5" borderId="15" xfId="0" applyFill="1" applyBorder="1">
      <alignment vertical="center"/>
    </xf>
    <xf numFmtId="14" fontId="0" fillId="3" borderId="41" xfId="0" applyNumberFormat="1" applyFill="1" applyBorder="1">
      <alignment vertical="center"/>
    </xf>
    <xf numFmtId="10" fontId="0" fillId="3" borderId="41" xfId="0" applyNumberFormat="1" applyFill="1" applyBorder="1">
      <alignment vertical="center"/>
    </xf>
    <xf numFmtId="0" fontId="0" fillId="5" borderId="40" xfId="0" applyFill="1" applyBorder="1">
      <alignment vertical="center"/>
    </xf>
    <xf numFmtId="0" fontId="0" fillId="5" borderId="1" xfId="0" applyFill="1" applyBorder="1">
      <alignment vertical="center"/>
    </xf>
    <xf numFmtId="177" fontId="10" fillId="3" borderId="41" xfId="0" applyNumberFormat="1" applyFont="1" applyFill="1" applyBorder="1" applyAlignment="1">
      <alignment vertical="center"/>
    </xf>
    <xf numFmtId="10" fontId="6" fillId="3" borderId="41" xfId="0" applyNumberFormat="1" applyFont="1" applyFill="1" applyBorder="1" applyAlignment="1"/>
    <xf numFmtId="0" fontId="3" fillId="9" borderId="40" xfId="0" applyFont="1" applyFill="1" applyBorder="1" applyAlignment="1">
      <alignment horizontal="center" vertical="center"/>
    </xf>
    <xf numFmtId="0" fontId="9" fillId="4" borderId="40" xfId="0" applyFont="1" applyFill="1" applyBorder="1" applyAlignment="1">
      <alignment horizontal="center" vertical="center"/>
    </xf>
    <xf numFmtId="176" fontId="6" fillId="4" borderId="40" xfId="0" applyNumberFormat="1" applyFont="1" applyFill="1" applyBorder="1" applyAlignment="1"/>
    <xf numFmtId="0" fontId="3" fillId="8" borderId="40" xfId="0" applyFont="1" applyFill="1" applyBorder="1" applyAlignment="1">
      <alignment horizontal="center" vertical="center"/>
    </xf>
    <xf numFmtId="0" fontId="3" fillId="8" borderId="43" xfId="0" applyFont="1" applyFill="1" applyBorder="1" applyAlignment="1">
      <alignment horizontal="center" vertical="center"/>
    </xf>
    <xf numFmtId="177" fontId="10" fillId="2" borderId="40" xfId="0" applyNumberFormat="1" applyFont="1" applyFill="1" applyBorder="1" applyAlignment="1">
      <alignment vertical="center"/>
    </xf>
    <xf numFmtId="178" fontId="6" fillId="2" borderId="40" xfId="0" applyNumberFormat="1" applyFont="1" applyFill="1" applyBorder="1" applyAlignment="1"/>
    <xf numFmtId="182" fontId="6" fillId="2" borderId="40" xfId="0" applyNumberFormat="1" applyFont="1" applyFill="1" applyBorder="1" applyAlignment="1"/>
    <xf numFmtId="183" fontId="6" fillId="2" borderId="40" xfId="0" applyNumberFormat="1" applyFont="1" applyFill="1" applyBorder="1" applyAlignment="1"/>
    <xf numFmtId="0" fontId="3" fillId="6" borderId="40" xfId="0" applyFont="1" applyFill="1" applyBorder="1" applyAlignment="1">
      <alignment horizontal="center" vertical="center"/>
    </xf>
    <xf numFmtId="184" fontId="10" fillId="3" borderId="41" xfId="0" applyNumberFormat="1" applyFont="1" applyFill="1" applyBorder="1" applyAlignment="1">
      <alignment vertical="center"/>
    </xf>
    <xf numFmtId="184" fontId="10" fillId="3" borderId="9" xfId="0" applyNumberFormat="1" applyFont="1" applyFill="1" applyBorder="1" applyAlignment="1">
      <alignment vertical="center"/>
    </xf>
    <xf numFmtId="184" fontId="9" fillId="3" borderId="9" xfId="0" applyNumberFormat="1" applyFont="1" applyFill="1" applyBorder="1">
      <alignment vertical="center"/>
    </xf>
    <xf numFmtId="185" fontId="6" fillId="3" borderId="41" xfId="1" applyNumberFormat="1" applyFont="1" applyFill="1" applyBorder="1" applyAlignment="1"/>
    <xf numFmtId="185" fontId="6" fillId="3" borderId="9" xfId="1" applyNumberFormat="1" applyFont="1" applyFill="1" applyBorder="1" applyAlignment="1"/>
    <xf numFmtId="185" fontId="4" fillId="3" borderId="9" xfId="1" applyNumberFormat="1" applyFont="1" applyFill="1" applyBorder="1">
      <alignment vertical="center"/>
    </xf>
    <xf numFmtId="178" fontId="4" fillId="2" borderId="40" xfId="0" applyNumberFormat="1" applyFont="1" applyFill="1" applyBorder="1">
      <alignment vertical="center"/>
    </xf>
    <xf numFmtId="183" fontId="4" fillId="2" borderId="40" xfId="0" applyNumberFormat="1" applyFont="1" applyFill="1" applyBorder="1">
      <alignment vertical="center"/>
    </xf>
    <xf numFmtId="182" fontId="4" fillId="2" borderId="40" xfId="0" applyNumberFormat="1" applyFont="1" applyFill="1" applyBorder="1">
      <alignment vertical="center"/>
    </xf>
    <xf numFmtId="177" fontId="9" fillId="2" borderId="40" xfId="0" applyNumberFormat="1" applyFont="1" applyFill="1" applyBorder="1" applyAlignment="1">
      <alignment horizontal="right" vertical="center"/>
    </xf>
    <xf numFmtId="177" fontId="9" fillId="2" borderId="40" xfId="0" applyNumberFormat="1" applyFont="1" applyFill="1" applyBorder="1">
      <alignment vertical="center"/>
    </xf>
    <xf numFmtId="179" fontId="0" fillId="5" borderId="0" xfId="0" applyNumberFormat="1" applyFill="1" applyAlignment="1">
      <alignment horizontal="center" vertical="center"/>
    </xf>
    <xf numFmtId="0" fontId="3" fillId="7" borderId="28" xfId="0" applyFont="1" applyFill="1" applyBorder="1" applyAlignment="1">
      <alignment horizontal="center" vertical="center"/>
    </xf>
    <xf numFmtId="0" fontId="3" fillId="7" borderId="18" xfId="0" applyFont="1" applyFill="1" applyBorder="1" applyAlignment="1">
      <alignment horizontal="center" vertical="center"/>
    </xf>
    <xf numFmtId="14" fontId="4" fillId="4" borderId="27" xfId="0" applyNumberFormat="1" applyFont="1" applyFill="1" applyBorder="1" applyAlignment="1">
      <alignment horizontal="center" vertical="center"/>
    </xf>
    <xf numFmtId="0" fontId="4" fillId="4" borderId="18" xfId="0" applyFont="1" applyFill="1" applyBorder="1" applyAlignment="1">
      <alignment horizontal="center" vertical="center"/>
    </xf>
    <xf numFmtId="0" fontId="5" fillId="7" borderId="17" xfId="0" applyFont="1" applyFill="1" applyBorder="1" applyAlignment="1">
      <alignment horizontal="center" vertical="center"/>
    </xf>
    <xf numFmtId="0" fontId="5" fillId="7" borderId="22" xfId="0" applyFont="1" applyFill="1" applyBorder="1" applyAlignment="1">
      <alignment horizontal="center" vertical="center"/>
    </xf>
    <xf numFmtId="176" fontId="6" fillId="4" borderId="39" xfId="0" applyNumberFormat="1" applyFont="1" applyFill="1" applyBorder="1" applyAlignment="1">
      <alignment horizontal="center" vertical="center"/>
    </xf>
    <xf numFmtId="176" fontId="6" fillId="4" borderId="22" xfId="0" applyNumberFormat="1" applyFont="1" applyFill="1" applyBorder="1" applyAlignment="1">
      <alignment horizontal="center" vertical="center"/>
    </xf>
    <xf numFmtId="0" fontId="5" fillId="9" borderId="23" xfId="0" applyFont="1" applyFill="1" applyBorder="1" applyAlignment="1">
      <alignment horizontal="center" vertical="center"/>
    </xf>
    <xf numFmtId="0" fontId="5" fillId="9" borderId="21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5" fillId="9" borderId="15" xfId="0" applyFont="1" applyFill="1" applyBorder="1" applyAlignment="1">
      <alignment horizontal="center" vertical="center"/>
    </xf>
    <xf numFmtId="0" fontId="5" fillId="9" borderId="25" xfId="0" applyFont="1" applyFill="1" applyBorder="1" applyAlignment="1">
      <alignment horizontal="center" vertical="center"/>
    </xf>
    <xf numFmtId="0" fontId="5" fillId="9" borderId="26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/>
    </xf>
    <xf numFmtId="176" fontId="6" fillId="4" borderId="1" xfId="0" applyNumberFormat="1" applyFont="1" applyFill="1" applyBorder="1" applyAlignment="1">
      <alignment horizontal="center" vertical="center"/>
    </xf>
    <xf numFmtId="176" fontId="6" fillId="4" borderId="31" xfId="0" applyNumberFormat="1" applyFont="1" applyFill="1" applyBorder="1" applyAlignment="1">
      <alignment horizontal="center" vertical="center"/>
    </xf>
    <xf numFmtId="10" fontId="6" fillId="4" borderId="33" xfId="1" applyNumberFormat="1" applyFont="1" applyFill="1" applyBorder="1" applyAlignment="1">
      <alignment horizontal="center" vertical="center"/>
    </xf>
    <xf numFmtId="10" fontId="6" fillId="4" borderId="4" xfId="1" applyNumberFormat="1" applyFont="1" applyFill="1" applyBorder="1" applyAlignment="1">
      <alignment horizontal="center" vertical="center"/>
    </xf>
    <xf numFmtId="177" fontId="3" fillId="9" borderId="5" xfId="0" applyNumberFormat="1" applyFont="1" applyFill="1" applyBorder="1" applyAlignment="1">
      <alignment horizontal="center" vertical="center"/>
    </xf>
    <xf numFmtId="177" fontId="3" fillId="9" borderId="6" xfId="0" applyNumberFormat="1" applyFont="1" applyFill="1" applyBorder="1" applyAlignment="1">
      <alignment horizontal="center" vertical="center"/>
    </xf>
    <xf numFmtId="0" fontId="4" fillId="4" borderId="36" xfId="0" applyFont="1" applyFill="1" applyBorder="1" applyAlignment="1">
      <alignment horizontal="center" vertical="center"/>
    </xf>
    <xf numFmtId="0" fontId="4" fillId="4" borderId="35" xfId="0" applyFont="1" applyFill="1" applyBorder="1" applyAlignment="1">
      <alignment horizontal="center" vertical="center"/>
    </xf>
    <xf numFmtId="0" fontId="3" fillId="9" borderId="37" xfId="0" applyFont="1" applyFill="1" applyBorder="1" applyAlignment="1">
      <alignment horizontal="center" vertical="center"/>
    </xf>
    <xf numFmtId="0" fontId="3" fillId="9" borderId="38" xfId="0" applyFont="1" applyFill="1" applyBorder="1" applyAlignment="1">
      <alignment horizontal="center" vertical="center"/>
    </xf>
    <xf numFmtId="14" fontId="6" fillId="4" borderId="2" xfId="0" applyNumberFormat="1" applyFont="1" applyFill="1" applyBorder="1" applyAlignment="1">
      <alignment horizontal="center" vertical="center"/>
    </xf>
    <xf numFmtId="14" fontId="6" fillId="4" borderId="38" xfId="0" applyNumberFormat="1" applyFont="1" applyFill="1" applyBorder="1" applyAlignment="1">
      <alignment horizontal="center" vertical="center"/>
    </xf>
    <xf numFmtId="14" fontId="7" fillId="10" borderId="7" xfId="0" applyNumberFormat="1" applyFont="1" applyFill="1" applyBorder="1" applyAlignment="1">
      <alignment horizontal="center" vertical="center"/>
    </xf>
    <xf numFmtId="14" fontId="7" fillId="10" borderId="8" xfId="0" applyNumberFormat="1" applyFont="1" applyFill="1" applyBorder="1" applyAlignment="1">
      <alignment horizontal="center" vertical="center"/>
    </xf>
    <xf numFmtId="0" fontId="3" fillId="7" borderId="14" xfId="0" applyFont="1" applyFill="1" applyBorder="1" applyAlignment="1">
      <alignment horizontal="center" vertical="center"/>
    </xf>
    <xf numFmtId="0" fontId="3" fillId="7" borderId="29" xfId="0" applyFont="1" applyFill="1" applyBorder="1" applyAlignment="1">
      <alignment horizontal="center" vertical="center"/>
    </xf>
    <xf numFmtId="10" fontId="6" fillId="4" borderId="16" xfId="1" applyNumberFormat="1" applyFont="1" applyFill="1" applyBorder="1" applyAlignment="1">
      <alignment horizontal="center" vertical="center"/>
    </xf>
    <xf numFmtId="10" fontId="6" fillId="4" borderId="30" xfId="1" applyNumberFormat="1" applyFont="1" applyFill="1" applyBorder="1" applyAlignment="1">
      <alignment horizontal="center" vertical="center"/>
    </xf>
    <xf numFmtId="0" fontId="3" fillId="9" borderId="32" xfId="0" applyFont="1" applyFill="1" applyBorder="1" applyAlignment="1">
      <alignment horizontal="center" vertical="center"/>
    </xf>
    <xf numFmtId="0" fontId="3" fillId="9" borderId="4" xfId="0" applyFont="1" applyFill="1" applyBorder="1" applyAlignment="1">
      <alignment horizontal="center" vertical="center"/>
    </xf>
    <xf numFmtId="176" fontId="6" fillId="4" borderId="33" xfId="0" applyNumberFormat="1" applyFont="1" applyFill="1" applyBorder="1" applyAlignment="1">
      <alignment horizontal="center" vertical="center"/>
    </xf>
    <xf numFmtId="176" fontId="6" fillId="4" borderId="4" xfId="0" applyNumberFormat="1" applyFont="1" applyFill="1" applyBorder="1" applyAlignment="1">
      <alignment horizontal="center" vertical="center"/>
    </xf>
    <xf numFmtId="176" fontId="7" fillId="10" borderId="7" xfId="0" applyNumberFormat="1" applyFont="1" applyFill="1" applyBorder="1" applyAlignment="1">
      <alignment horizontal="center" vertical="center"/>
    </xf>
    <xf numFmtId="176" fontId="7" fillId="10" borderId="8" xfId="0" applyNumberFormat="1" applyFont="1" applyFill="1" applyBorder="1" applyAlignment="1">
      <alignment horizontal="center" vertical="center"/>
    </xf>
    <xf numFmtId="0" fontId="3" fillId="9" borderId="34" xfId="0" applyFont="1" applyFill="1" applyBorder="1" applyAlignment="1">
      <alignment horizontal="center" vertical="center"/>
    </xf>
    <xf numFmtId="0" fontId="3" fillId="9" borderId="35" xfId="0" applyFont="1" applyFill="1" applyBorder="1" applyAlignment="1">
      <alignment horizontal="center" vertical="center"/>
    </xf>
    <xf numFmtId="0" fontId="3" fillId="6" borderId="12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181" fontId="7" fillId="2" borderId="12" xfId="0" applyNumberFormat="1" applyFont="1" applyFill="1" applyBorder="1" applyAlignment="1">
      <alignment horizontal="center" vertical="center"/>
    </xf>
    <xf numFmtId="181" fontId="7" fillId="2" borderId="13" xfId="0" applyNumberFormat="1" applyFont="1" applyFill="1" applyBorder="1" applyAlignment="1">
      <alignment horizontal="center" vertical="center"/>
    </xf>
    <xf numFmtId="0" fontId="5" fillId="9" borderId="17" xfId="0" applyFont="1" applyFill="1" applyBorder="1" applyAlignment="1">
      <alignment horizontal="center" vertical="center"/>
    </xf>
    <xf numFmtId="0" fontId="5" fillId="9" borderId="22" xfId="0" applyFont="1" applyFill="1" applyBorder="1" applyAlignment="1">
      <alignment horizontal="center" vertical="center"/>
    </xf>
    <xf numFmtId="0" fontId="5" fillId="9" borderId="24" xfId="0" applyFont="1" applyFill="1" applyBorder="1" applyAlignment="1">
      <alignment horizontal="center" vertical="center"/>
    </xf>
    <xf numFmtId="0" fontId="8" fillId="8" borderId="42" xfId="0" applyFont="1" applyFill="1" applyBorder="1" applyAlignment="1">
      <alignment horizontal="center"/>
    </xf>
    <xf numFmtId="0" fontId="8" fillId="8" borderId="3" xfId="0" applyFont="1" applyFill="1" applyBorder="1" applyAlignment="1">
      <alignment horizontal="center"/>
    </xf>
    <xf numFmtId="0" fontId="8" fillId="8" borderId="40" xfId="0" applyFont="1" applyFill="1" applyBorder="1" applyAlignment="1">
      <alignment horizontal="center"/>
    </xf>
    <xf numFmtId="0" fontId="8" fillId="9" borderId="14" xfId="0" applyFont="1" applyFill="1" applyBorder="1" applyAlignment="1">
      <alignment horizontal="center"/>
    </xf>
    <xf numFmtId="0" fontId="8" fillId="9" borderId="16" xfId="0" applyFont="1" applyFill="1" applyBorder="1" applyAlignment="1">
      <alignment horizontal="center"/>
    </xf>
    <xf numFmtId="0" fontId="8" fillId="9" borderId="29" xfId="0" applyFont="1" applyFill="1" applyBorder="1" applyAlignment="1">
      <alignment horizontal="center"/>
    </xf>
    <xf numFmtId="0" fontId="8" fillId="9" borderId="19" xfId="0" applyFont="1" applyFill="1" applyBorder="1" applyAlignment="1">
      <alignment horizontal="center" vertical="center"/>
    </xf>
    <xf numFmtId="0" fontId="8" fillId="9" borderId="20" xfId="0" applyFont="1" applyFill="1" applyBorder="1" applyAlignment="1">
      <alignment horizontal="center" vertical="center"/>
    </xf>
    <xf numFmtId="0" fontId="8" fillId="9" borderId="10" xfId="0" applyFont="1" applyFill="1" applyBorder="1" applyAlignment="1">
      <alignment horizontal="center" vertical="center"/>
    </xf>
    <xf numFmtId="0" fontId="8" fillId="9" borderId="11" xfId="0" applyFont="1" applyFill="1" applyBorder="1" applyAlignment="1">
      <alignment horizontal="center" vertical="center"/>
    </xf>
    <xf numFmtId="180" fontId="7" fillId="2" borderId="12" xfId="0" applyNumberFormat="1" applyFont="1" applyFill="1" applyBorder="1" applyAlignment="1">
      <alignment horizontal="center" vertical="center"/>
    </xf>
    <xf numFmtId="180" fontId="7" fillId="2" borderId="13" xfId="0" applyNumberFormat="1" applyFont="1" applyFill="1" applyBorder="1" applyAlignment="1">
      <alignment horizontal="center" vertical="center"/>
    </xf>
    <xf numFmtId="0" fontId="3" fillId="6" borderId="40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10</xdr:row>
          <xdr:rowOff>106680</xdr:rowOff>
        </xdr:from>
        <xdr:to>
          <xdr:col>13</xdr:col>
          <xdr:colOff>1135380</xdr:colOff>
          <xdr:row>13</xdr:row>
          <xdr:rowOff>60960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C90"/>
  <sheetViews>
    <sheetView tabSelected="1" topLeftCell="E1" zoomScale="85" zoomScaleNormal="85" workbookViewId="0">
      <selection activeCell="I17" sqref="I17"/>
    </sheetView>
  </sheetViews>
  <sheetFormatPr defaultColWidth="15.59765625" defaultRowHeight="19.5" customHeight="1" x14ac:dyDescent="0.4"/>
  <cols>
    <col min="1" max="1" width="15.59765625" style="2"/>
    <col min="2" max="2" width="15.59765625" style="3"/>
    <col min="3" max="4" width="15.59765625" style="5"/>
    <col min="5" max="6" width="15.59765625" style="2"/>
    <col min="7" max="8" width="15.59765625" style="5"/>
    <col min="9" max="9" width="15.59765625" style="26"/>
    <col min="10" max="10" width="15.59765625" style="29"/>
    <col min="11" max="12" width="15.59765625" style="2"/>
    <col min="13" max="13" width="15.59765625" style="33"/>
    <col min="14" max="14" width="15.59765625" style="30"/>
    <col min="15" max="15" width="15.59765625" style="34"/>
    <col min="16" max="16" width="15.59765625" style="32"/>
    <col min="17" max="17" width="15.59765625" style="34"/>
    <col min="18" max="18" width="15.59765625" style="31"/>
    <col min="19" max="19" width="15.59765625" style="34"/>
    <col min="20" max="20" width="15.59765625" style="32"/>
    <col min="21" max="16384" width="15.59765625" style="2"/>
  </cols>
  <sheetData>
    <row r="1" spans="1:29" ht="19.5" customHeight="1" x14ac:dyDescent="0.4">
      <c r="A1" s="2">
        <f>1</f>
        <v>1</v>
      </c>
      <c r="B1" s="2">
        <f>A1+1</f>
        <v>2</v>
      </c>
      <c r="C1" s="2">
        <f t="shared" ref="C1:K1" si="0">B1+1</f>
        <v>3</v>
      </c>
      <c r="D1" s="2">
        <f t="shared" si="0"/>
        <v>4</v>
      </c>
      <c r="E1" s="2">
        <f t="shared" si="0"/>
        <v>5</v>
      </c>
      <c r="F1" s="2">
        <f t="shared" si="0"/>
        <v>6</v>
      </c>
      <c r="G1" s="2">
        <f t="shared" si="0"/>
        <v>7</v>
      </c>
      <c r="H1" s="2">
        <f t="shared" si="0"/>
        <v>8</v>
      </c>
      <c r="I1" s="2">
        <f t="shared" si="0"/>
        <v>9</v>
      </c>
      <c r="J1" s="2">
        <f t="shared" si="0"/>
        <v>10</v>
      </c>
      <c r="K1" s="2">
        <f t="shared" si="0"/>
        <v>11</v>
      </c>
      <c r="L1" s="2">
        <f>K1+1</f>
        <v>12</v>
      </c>
      <c r="M1" s="2">
        <f t="shared" ref="M1:AC1" si="1">L1+1</f>
        <v>13</v>
      </c>
      <c r="N1" s="2">
        <f t="shared" si="1"/>
        <v>14</v>
      </c>
      <c r="O1" s="2">
        <f t="shared" si="1"/>
        <v>15</v>
      </c>
      <c r="P1" s="2">
        <f t="shared" si="1"/>
        <v>16</v>
      </c>
      <c r="Q1" s="2">
        <f t="shared" si="1"/>
        <v>17</v>
      </c>
      <c r="R1" s="2">
        <f t="shared" si="1"/>
        <v>18</v>
      </c>
      <c r="S1" s="2">
        <f t="shared" si="1"/>
        <v>19</v>
      </c>
      <c r="T1" s="2">
        <f t="shared" si="1"/>
        <v>20</v>
      </c>
      <c r="U1" s="2">
        <f t="shared" si="1"/>
        <v>21</v>
      </c>
      <c r="V1" s="2">
        <f t="shared" si="1"/>
        <v>22</v>
      </c>
      <c r="W1" s="2">
        <f t="shared" si="1"/>
        <v>23</v>
      </c>
      <c r="X1" s="2">
        <f t="shared" si="1"/>
        <v>24</v>
      </c>
      <c r="Y1" s="2">
        <f t="shared" si="1"/>
        <v>25</v>
      </c>
      <c r="Z1" s="2">
        <f t="shared" si="1"/>
        <v>26</v>
      </c>
      <c r="AA1" s="2">
        <f t="shared" si="1"/>
        <v>27</v>
      </c>
      <c r="AB1" s="2">
        <f t="shared" si="1"/>
        <v>28</v>
      </c>
      <c r="AC1" s="2">
        <f t="shared" si="1"/>
        <v>29</v>
      </c>
    </row>
    <row r="2" spans="1:29" ht="19.5" customHeight="1" x14ac:dyDescent="0.4">
      <c r="A2" s="2">
        <f>A1+1</f>
        <v>2</v>
      </c>
      <c r="B2" s="2"/>
      <c r="C2" s="2"/>
      <c r="D2" s="2"/>
      <c r="G2" s="2"/>
      <c r="H2" s="2"/>
      <c r="I2" s="2"/>
      <c r="J2" s="2"/>
      <c r="M2" s="2"/>
      <c r="N2" s="2"/>
      <c r="O2" s="2"/>
      <c r="P2" s="2"/>
      <c r="Q2" s="2"/>
      <c r="R2" s="2"/>
      <c r="S2" s="2"/>
      <c r="T2" s="2"/>
    </row>
    <row r="3" spans="1:29" ht="19.5" customHeight="1" x14ac:dyDescent="0.4">
      <c r="A3" s="2">
        <f>A2+1</f>
        <v>3</v>
      </c>
      <c r="B3" s="2"/>
      <c r="C3" s="2"/>
      <c r="D3" s="2"/>
      <c r="G3" s="2"/>
      <c r="H3" s="2"/>
      <c r="I3" s="2"/>
      <c r="J3" s="2"/>
      <c r="L3" s="35"/>
      <c r="M3" s="35"/>
      <c r="N3" s="2"/>
      <c r="O3" s="2"/>
      <c r="P3" s="2"/>
      <c r="Q3" s="2"/>
      <c r="R3" s="2"/>
      <c r="S3" s="2"/>
      <c r="T3" s="2"/>
    </row>
    <row r="4" spans="1:29" ht="19.5" customHeight="1" x14ac:dyDescent="0.4">
      <c r="A4" s="2">
        <f>A3+1</f>
        <v>4</v>
      </c>
      <c r="B4" s="2"/>
      <c r="C4" s="2"/>
      <c r="D4" s="2"/>
      <c r="G4" s="2"/>
      <c r="H4" s="2"/>
      <c r="I4" s="2"/>
      <c r="J4" s="2"/>
      <c r="M4" s="2"/>
      <c r="N4" s="2"/>
      <c r="O4" s="2"/>
      <c r="P4" s="2"/>
      <c r="Q4" s="2"/>
      <c r="R4" s="2"/>
      <c r="S4" s="2"/>
      <c r="T4" s="2"/>
    </row>
    <row r="5" spans="1:29" ht="19.5" customHeight="1" thickBot="1" x14ac:dyDescent="0.45">
      <c r="A5" s="2">
        <f>A4+1</f>
        <v>5</v>
      </c>
      <c r="B5" s="36" t="s">
        <v>0</v>
      </c>
      <c r="C5" s="37"/>
      <c r="D5" s="38">
        <v>44084</v>
      </c>
      <c r="E5" s="39"/>
      <c r="G5" s="2"/>
      <c r="H5" s="2"/>
      <c r="I5" s="2"/>
      <c r="J5" s="2"/>
      <c r="M5" s="2"/>
      <c r="N5" s="2"/>
      <c r="O5" s="2"/>
      <c r="P5" s="2"/>
      <c r="Q5" s="2"/>
      <c r="R5" s="2"/>
      <c r="S5" s="2"/>
      <c r="T5" s="2"/>
    </row>
    <row r="6" spans="1:29" ht="19.5" customHeight="1" thickTop="1" thickBot="1" x14ac:dyDescent="0.45">
      <c r="A6" s="7">
        <f>A5+1</f>
        <v>6</v>
      </c>
      <c r="B6" s="40" t="s">
        <v>1</v>
      </c>
      <c r="C6" s="41"/>
      <c r="D6" s="42">
        <v>0</v>
      </c>
      <c r="E6" s="43"/>
      <c r="F6" s="44" t="str">
        <f>IF(D6=0,"채권정보입력","")</f>
        <v>채권정보입력</v>
      </c>
      <c r="G6" s="45"/>
      <c r="H6" s="70" t="str">
        <f>IF(D6=0,"Coupon Rate","입력안함")</f>
        <v>Coupon Rate</v>
      </c>
      <c r="I6" s="71"/>
      <c r="J6" s="54">
        <v>0.05</v>
      </c>
      <c r="K6" s="55"/>
      <c r="M6" s="56" t="s">
        <v>2</v>
      </c>
      <c r="N6" s="57"/>
      <c r="O6" s="64">
        <v>44848</v>
      </c>
      <c r="P6" s="65"/>
      <c r="Q6" s="2"/>
      <c r="R6" s="2"/>
      <c r="S6" s="2"/>
      <c r="T6" s="2"/>
    </row>
    <row r="7" spans="1:29" ht="19.5" customHeight="1" thickTop="1" thickBot="1" x14ac:dyDescent="0.45">
      <c r="A7" s="2">
        <f t="shared" ref="A7:A70" si="2">A6+1</f>
        <v>7</v>
      </c>
      <c r="B7" s="66" t="s">
        <v>3</v>
      </c>
      <c r="C7" s="67"/>
      <c r="D7" s="68">
        <v>0.4</v>
      </c>
      <c r="E7" s="69"/>
      <c r="F7" s="46"/>
      <c r="G7" s="47"/>
      <c r="H7" s="70" t="str">
        <f>IF(D6=0,"연 이자지급횟수","입력안함")</f>
        <v>연 이자지급횟수</v>
      </c>
      <c r="I7" s="71"/>
      <c r="J7" s="72">
        <v>4</v>
      </c>
      <c r="K7" s="73"/>
      <c r="M7" s="2"/>
      <c r="N7" s="2"/>
      <c r="O7" s="2"/>
      <c r="P7" s="2"/>
      <c r="Q7" s="2"/>
      <c r="R7" s="2"/>
      <c r="S7" s="2"/>
      <c r="T7" s="2"/>
    </row>
    <row r="8" spans="1:29" ht="19.5" customHeight="1" thickBot="1" x14ac:dyDescent="0.45">
      <c r="A8" s="2">
        <f t="shared" si="2"/>
        <v>8</v>
      </c>
      <c r="B8" s="50" t="s">
        <v>4</v>
      </c>
      <c r="C8" s="51"/>
      <c r="D8" s="52">
        <v>0</v>
      </c>
      <c r="E8" s="53"/>
      <c r="F8" s="46"/>
      <c r="G8" s="47"/>
      <c r="H8" s="76" t="str">
        <f>IF(D6=0,"액면금액","입력안함")</f>
        <v>액면금액</v>
      </c>
      <c r="I8" s="77"/>
      <c r="J8" s="58">
        <v>10000</v>
      </c>
      <c r="K8" s="59"/>
      <c r="M8" s="56" t="s">
        <v>26</v>
      </c>
      <c r="N8" s="57"/>
      <c r="O8" s="74">
        <v>3</v>
      </c>
      <c r="P8" s="75"/>
      <c r="Q8" s="2"/>
      <c r="R8" s="2"/>
      <c r="S8" s="2"/>
      <c r="T8" s="2"/>
    </row>
    <row r="9" spans="1:29" ht="19.5" customHeight="1" thickBot="1" x14ac:dyDescent="0.45">
      <c r="A9" s="2">
        <f t="shared" si="2"/>
        <v>9</v>
      </c>
      <c r="B9" s="2"/>
      <c r="C9" s="2"/>
      <c r="D9" s="2"/>
      <c r="E9" s="7"/>
      <c r="F9" s="48"/>
      <c r="G9" s="49"/>
      <c r="H9" s="60" t="str">
        <f>IF(D6=0,"만기YYYYMMDD","입력안함")</f>
        <v>만기YYYYMMDD</v>
      </c>
      <c r="I9" s="61"/>
      <c r="J9" s="62">
        <v>46822</v>
      </c>
      <c r="K9" s="63"/>
      <c r="M9" s="56" t="s">
        <v>5</v>
      </c>
      <c r="N9" s="57"/>
      <c r="O9" s="74">
        <v>2</v>
      </c>
      <c r="P9" s="75"/>
      <c r="Q9" s="2"/>
      <c r="R9" s="2"/>
      <c r="S9" s="2"/>
      <c r="T9" s="2"/>
    </row>
    <row r="10" spans="1:29" ht="19.5" customHeight="1" thickTop="1" x14ac:dyDescent="0.4">
      <c r="A10" s="2">
        <f t="shared" si="2"/>
        <v>10</v>
      </c>
      <c r="B10" s="2"/>
      <c r="C10" s="2"/>
      <c r="D10" s="2"/>
      <c r="G10" s="2"/>
      <c r="H10" s="2"/>
      <c r="I10" s="2"/>
      <c r="J10" s="2"/>
      <c r="M10" s="2"/>
      <c r="N10" s="2"/>
      <c r="O10" s="2"/>
      <c r="P10" s="2"/>
      <c r="Q10" s="2"/>
      <c r="R10" s="2"/>
      <c r="S10" s="2"/>
      <c r="T10" s="2"/>
    </row>
    <row r="11" spans="1:29" ht="19.5" customHeight="1" thickBot="1" x14ac:dyDescent="0.45">
      <c r="A11" s="2">
        <f t="shared" si="2"/>
        <v>11</v>
      </c>
      <c r="B11" s="2"/>
      <c r="C11" s="2"/>
      <c r="D11" s="2"/>
      <c r="G11" s="2"/>
      <c r="H11" s="2"/>
      <c r="I11" s="2"/>
      <c r="J11" s="2"/>
      <c r="M11" s="2"/>
      <c r="N11" s="2"/>
      <c r="O11" s="2"/>
      <c r="P11" s="2"/>
      <c r="Q11" s="2"/>
      <c r="R11" s="2"/>
      <c r="S11" s="2"/>
      <c r="T11" s="2"/>
    </row>
    <row r="12" spans="1:29" ht="19.5" customHeight="1" thickTop="1" thickBot="1" x14ac:dyDescent="0.5">
      <c r="A12" s="2">
        <f t="shared" si="2"/>
        <v>12</v>
      </c>
      <c r="B12" s="82" t="str">
        <f>IF(D6=0,"사용하지않음","쿠폰입력Flag 1일 경우 입력")</f>
        <v>사용하지않음</v>
      </c>
      <c r="C12" s="83"/>
      <c r="D12" s="83"/>
      <c r="E12" s="83"/>
      <c r="F12" s="84"/>
      <c r="G12" s="85" t="s">
        <v>6</v>
      </c>
      <c r="H12" s="86"/>
      <c r="I12" s="87" t="s">
        <v>7</v>
      </c>
      <c r="J12" s="87"/>
      <c r="M12" s="2"/>
      <c r="N12" s="2"/>
      <c r="O12" s="2"/>
      <c r="P12" s="2"/>
      <c r="Q12" s="2"/>
      <c r="R12" s="2"/>
      <c r="S12" s="2"/>
      <c r="T12" s="2"/>
    </row>
    <row r="13" spans="1:29" ht="19.5" customHeight="1" thickTop="1" x14ac:dyDescent="0.45">
      <c r="A13" s="2">
        <f t="shared" si="2"/>
        <v>13</v>
      </c>
      <c r="B13" s="88" t="str">
        <f>IF(D6=0,"사용하지않음","쿠폰스케줄")</f>
        <v>사용하지않음</v>
      </c>
      <c r="C13" s="89"/>
      <c r="D13" s="90"/>
      <c r="E13" s="91" t="str">
        <f>IF(D6=0,"사용하지않음","원금 스케줄")</f>
        <v>사용하지않음</v>
      </c>
      <c r="F13" s="92"/>
      <c r="G13" s="17" t="s">
        <v>8</v>
      </c>
      <c r="H13" s="16">
        <v>0</v>
      </c>
      <c r="I13" s="18" t="s">
        <v>9</v>
      </c>
      <c r="J13" s="16">
        <f>COUNT(I16:I1048576)</f>
        <v>10</v>
      </c>
      <c r="M13" s="2"/>
      <c r="N13" s="2"/>
      <c r="O13" s="2"/>
      <c r="P13" s="2"/>
      <c r="Q13" s="2"/>
      <c r="R13" s="2"/>
      <c r="S13" s="2"/>
      <c r="T13" s="2"/>
    </row>
    <row r="14" spans="1:29" ht="19.5" customHeight="1" x14ac:dyDescent="0.35">
      <c r="A14" s="2">
        <f t="shared" si="2"/>
        <v>14</v>
      </c>
      <c r="B14" s="14" t="str">
        <f>IF(D6=0,"사용하지않음","쿠폰개수")</f>
        <v>사용하지않음</v>
      </c>
      <c r="C14" s="15">
        <f>COUNT(B16:B1048576)</f>
        <v>15</v>
      </c>
      <c r="D14" s="11"/>
      <c r="E14" s="93"/>
      <c r="F14" s="94"/>
      <c r="G14" s="17" t="s">
        <v>10</v>
      </c>
      <c r="H14" s="16">
        <f>COUNT(G16:G1048576)</f>
        <v>8</v>
      </c>
      <c r="I14" s="10"/>
      <c r="J14" s="10"/>
      <c r="M14" s="2"/>
      <c r="N14" s="2"/>
      <c r="O14" s="2"/>
      <c r="P14" s="2"/>
      <c r="Q14" s="2"/>
      <c r="R14" s="2"/>
      <c r="S14" s="2"/>
      <c r="T14" s="2"/>
    </row>
    <row r="15" spans="1:29" ht="19.5" customHeight="1" x14ac:dyDescent="0.4">
      <c r="A15" s="2">
        <f t="shared" si="2"/>
        <v>15</v>
      </c>
      <c r="B15" s="14" t="str">
        <f>IF(D6=0,"사용하지않음","쿠폰일")</f>
        <v>사용하지않음</v>
      </c>
      <c r="C15" s="14" t="str">
        <f>IF(D6=0,"사용하지않음","CouponRate")</f>
        <v>사용하지않음</v>
      </c>
      <c r="D15" s="14" t="str">
        <f>IF(D6=0,"사용하지않음","쿠폰지급일")</f>
        <v>사용하지않음</v>
      </c>
      <c r="E15" s="14" t="str">
        <f>IF(D6=0,"사용하지않음","원금지급일")</f>
        <v>사용하지않음</v>
      </c>
      <c r="F15" s="14" t="str">
        <f>IF(D6=0,"사용하지않음","원금")</f>
        <v>사용하지않음</v>
      </c>
      <c r="G15" s="17" t="s">
        <v>11</v>
      </c>
      <c r="H15" s="17" t="str">
        <f>IF(H13=0,"HazardRate/y", "CDS Spread")</f>
        <v>HazardRate/y</v>
      </c>
      <c r="I15" s="17" t="s">
        <v>11</v>
      </c>
      <c r="J15" s="17" t="s">
        <v>7</v>
      </c>
      <c r="M15" s="2"/>
      <c r="N15" s="2"/>
      <c r="O15" s="2"/>
      <c r="P15" s="2"/>
      <c r="Q15" s="2"/>
      <c r="R15" s="2"/>
      <c r="S15" s="2"/>
      <c r="T15" s="2"/>
    </row>
    <row r="16" spans="1:29" ht="19.5" customHeight="1" x14ac:dyDescent="0.35">
      <c r="A16" s="2">
        <f t="shared" si="2"/>
        <v>16</v>
      </c>
      <c r="B16" s="8">
        <f>EDATE($D$5,6)</f>
        <v>44265</v>
      </c>
      <c r="C16" s="9">
        <v>0.05</v>
      </c>
      <c r="D16" s="8">
        <f>B16+3</f>
        <v>44268</v>
      </c>
      <c r="E16" s="3">
        <v>45580</v>
      </c>
      <c r="F16" s="5">
        <v>10000</v>
      </c>
      <c r="G16" s="12">
        <v>0.25</v>
      </c>
      <c r="H16" s="13">
        <v>2.5000000000000001E-3</v>
      </c>
      <c r="I16" s="24">
        <v>0.25</v>
      </c>
      <c r="J16" s="27">
        <v>4.2140000000000004E-2</v>
      </c>
      <c r="M16" s="78" t="s">
        <v>12</v>
      </c>
      <c r="N16" s="79"/>
      <c r="O16" s="95">
        <v>1</v>
      </c>
      <c r="P16" s="96"/>
      <c r="Q16" s="2"/>
      <c r="R16" s="2"/>
      <c r="S16" s="2"/>
      <c r="T16" s="2"/>
    </row>
    <row r="17" spans="1:20" ht="19.5" customHeight="1" x14ac:dyDescent="0.35">
      <c r="A17" s="2">
        <f t="shared" si="2"/>
        <v>17</v>
      </c>
      <c r="B17" s="3">
        <f>EDATE(B16,6)</f>
        <v>44449</v>
      </c>
      <c r="C17" s="9">
        <v>0.05</v>
      </c>
      <c r="D17" s="3">
        <f t="shared" ref="D17:D27" si="3">B17+3</f>
        <v>44452</v>
      </c>
      <c r="G17" s="6">
        <v>0.5</v>
      </c>
      <c r="H17" s="1">
        <v>3.3E-3</v>
      </c>
      <c r="I17" s="25">
        <v>0.5</v>
      </c>
      <c r="J17" s="28">
        <v>4.5100000000000001E-2</v>
      </c>
      <c r="M17" s="2"/>
      <c r="N17" s="2"/>
      <c r="O17" s="2"/>
      <c r="P17" s="2"/>
      <c r="Q17" s="2"/>
      <c r="R17" s="2"/>
      <c r="S17" s="2"/>
      <c r="T17" s="2"/>
    </row>
    <row r="18" spans="1:20" ht="19.5" customHeight="1" x14ac:dyDescent="0.35">
      <c r="A18" s="2">
        <f t="shared" si="2"/>
        <v>18</v>
      </c>
      <c r="B18" s="3">
        <f t="shared" ref="B18:B30" si="4">EDATE(B17,6)</f>
        <v>44630</v>
      </c>
      <c r="C18" s="9">
        <v>0.05</v>
      </c>
      <c r="D18" s="3">
        <f t="shared" si="3"/>
        <v>44633</v>
      </c>
      <c r="G18" s="6">
        <v>1</v>
      </c>
      <c r="H18" s="1">
        <v>6.6E-3</v>
      </c>
      <c r="I18" s="25">
        <v>1</v>
      </c>
      <c r="J18" s="28">
        <v>4.8210000000000003E-2</v>
      </c>
      <c r="M18" s="78" t="s">
        <v>13</v>
      </c>
      <c r="N18" s="79"/>
      <c r="O18" s="80">
        <v>10009.107141752338</v>
      </c>
      <c r="P18" s="81"/>
      <c r="Q18" s="2"/>
      <c r="R18" s="2"/>
      <c r="S18" s="2"/>
      <c r="T18" s="2"/>
    </row>
    <row r="19" spans="1:20" ht="19.5" customHeight="1" x14ac:dyDescent="0.35">
      <c r="A19" s="2">
        <f t="shared" si="2"/>
        <v>19</v>
      </c>
      <c r="B19" s="3">
        <f t="shared" si="4"/>
        <v>44814</v>
      </c>
      <c r="C19" s="9">
        <v>0.05</v>
      </c>
      <c r="D19" s="3">
        <f t="shared" si="3"/>
        <v>44817</v>
      </c>
      <c r="G19" s="6">
        <v>2</v>
      </c>
      <c r="H19" s="1">
        <v>8.6999999999999994E-3</v>
      </c>
      <c r="I19" s="25">
        <v>2</v>
      </c>
      <c r="J19" s="28">
        <v>4.7410000000000001E-2</v>
      </c>
      <c r="M19" s="78" t="s">
        <v>14</v>
      </c>
      <c r="N19" s="79"/>
      <c r="O19" s="80">
        <v>46.57534246575343</v>
      </c>
      <c r="P19" s="81"/>
      <c r="Q19" s="2"/>
      <c r="R19" s="2"/>
      <c r="S19" s="2"/>
      <c r="T19" s="2"/>
    </row>
    <row r="20" spans="1:20" ht="19.5" customHeight="1" x14ac:dyDescent="0.35">
      <c r="A20" s="2">
        <f t="shared" si="2"/>
        <v>20</v>
      </c>
      <c r="B20" s="3">
        <f t="shared" si="4"/>
        <v>44995</v>
      </c>
      <c r="C20" s="9">
        <v>0.05</v>
      </c>
      <c r="D20" s="3">
        <f t="shared" si="3"/>
        <v>44998</v>
      </c>
      <c r="G20" s="6">
        <v>3</v>
      </c>
      <c r="H20" s="1">
        <v>9.4000000000000004E-3</v>
      </c>
      <c r="I20" s="25">
        <v>3</v>
      </c>
      <c r="J20" s="28">
        <v>4.727E-2</v>
      </c>
      <c r="M20" s="78" t="s">
        <v>15</v>
      </c>
      <c r="N20" s="79"/>
      <c r="O20" s="80">
        <v>10055.682484218092</v>
      </c>
      <c r="P20" s="81"/>
      <c r="Q20" s="2"/>
      <c r="R20" s="2"/>
      <c r="S20" s="2"/>
      <c r="T20" s="2"/>
    </row>
    <row r="21" spans="1:20" ht="19.5" customHeight="1" x14ac:dyDescent="0.35">
      <c r="A21" s="2">
        <f t="shared" si="2"/>
        <v>21</v>
      </c>
      <c r="B21" s="3">
        <f t="shared" si="4"/>
        <v>45179</v>
      </c>
      <c r="C21" s="9">
        <v>0.05</v>
      </c>
      <c r="D21" s="3">
        <f t="shared" si="3"/>
        <v>45182</v>
      </c>
      <c r="G21" s="6">
        <v>5</v>
      </c>
      <c r="H21" s="1">
        <v>9.8700000000000003E-3</v>
      </c>
      <c r="I21" s="25">
        <v>5</v>
      </c>
      <c r="J21" s="28">
        <v>4.5089999999999998E-2</v>
      </c>
      <c r="M21" s="2"/>
      <c r="N21" s="2"/>
      <c r="O21" s="2"/>
      <c r="P21" s="2"/>
      <c r="Q21" s="2"/>
      <c r="R21" s="2"/>
      <c r="S21" s="2"/>
      <c r="T21" s="2"/>
    </row>
    <row r="22" spans="1:20" ht="19.5" customHeight="1" x14ac:dyDescent="0.35">
      <c r="A22" s="2">
        <f t="shared" si="2"/>
        <v>22</v>
      </c>
      <c r="B22" s="3">
        <f t="shared" si="4"/>
        <v>45361</v>
      </c>
      <c r="C22" s="9">
        <v>0.05</v>
      </c>
      <c r="D22" s="3">
        <f t="shared" si="3"/>
        <v>45364</v>
      </c>
      <c r="G22" s="6">
        <v>7</v>
      </c>
      <c r="H22" s="1">
        <v>1.01E-2</v>
      </c>
      <c r="I22" s="25">
        <v>7</v>
      </c>
      <c r="J22" s="28">
        <v>4.4120000000000006E-2</v>
      </c>
      <c r="M22" s="78" t="s">
        <v>16</v>
      </c>
      <c r="N22" s="79"/>
      <c r="O22" s="80">
        <v>4.7033945773946471</v>
      </c>
      <c r="P22" s="81"/>
      <c r="Q22" s="2"/>
      <c r="R22" s="2"/>
      <c r="S22" s="2"/>
      <c r="T22" s="2"/>
    </row>
    <row r="23" spans="1:20" ht="19.5" customHeight="1" x14ac:dyDescent="0.35">
      <c r="A23" s="2">
        <f t="shared" si="2"/>
        <v>23</v>
      </c>
      <c r="B23" s="3">
        <f t="shared" si="4"/>
        <v>45545</v>
      </c>
      <c r="C23" s="9">
        <v>0.05</v>
      </c>
      <c r="D23" s="3">
        <f t="shared" si="3"/>
        <v>45548</v>
      </c>
      <c r="G23" s="6">
        <v>10</v>
      </c>
      <c r="H23" s="1">
        <v>1.11E-2</v>
      </c>
      <c r="I23" s="25">
        <v>10</v>
      </c>
      <c r="J23" s="28">
        <v>4.2840000000000003E-2</v>
      </c>
      <c r="M23" s="78" t="s">
        <v>17</v>
      </c>
      <c r="N23" s="79"/>
      <c r="O23" s="80">
        <v>2.5737137887099379</v>
      </c>
      <c r="P23" s="81"/>
      <c r="Q23" s="2"/>
      <c r="R23" s="2"/>
      <c r="S23" s="2"/>
      <c r="T23" s="2"/>
    </row>
    <row r="24" spans="1:20" ht="19.5" customHeight="1" x14ac:dyDescent="0.35">
      <c r="A24" s="2">
        <f t="shared" si="2"/>
        <v>24</v>
      </c>
      <c r="B24" s="3">
        <f t="shared" si="4"/>
        <v>45726</v>
      </c>
      <c r="C24" s="9">
        <v>0.05</v>
      </c>
      <c r="D24" s="3">
        <f t="shared" si="3"/>
        <v>45729</v>
      </c>
      <c r="G24" s="6"/>
      <c r="H24" s="1"/>
      <c r="I24" s="25">
        <v>20</v>
      </c>
      <c r="J24" s="28">
        <v>4.5839999999999999E-2</v>
      </c>
      <c r="M24" s="78" t="s">
        <v>18</v>
      </c>
      <c r="N24" s="79"/>
      <c r="O24" s="80">
        <v>5.2183945713331923</v>
      </c>
      <c r="P24" s="81"/>
      <c r="Q24" s="2"/>
      <c r="R24" s="2"/>
      <c r="S24" s="2"/>
      <c r="T24" s="2"/>
    </row>
    <row r="25" spans="1:20" ht="19.5" customHeight="1" x14ac:dyDescent="0.4">
      <c r="A25" s="2">
        <f t="shared" si="2"/>
        <v>25</v>
      </c>
      <c r="B25" s="3">
        <f t="shared" si="4"/>
        <v>45910</v>
      </c>
      <c r="C25" s="9">
        <v>0.05</v>
      </c>
      <c r="D25" s="3">
        <f t="shared" si="3"/>
        <v>45913</v>
      </c>
      <c r="I25" s="26">
        <v>30</v>
      </c>
      <c r="J25" s="29">
        <v>4.684E-2</v>
      </c>
      <c r="M25" s="2"/>
      <c r="N25" s="2"/>
      <c r="O25" s="2"/>
      <c r="P25" s="2"/>
      <c r="Q25" s="2"/>
      <c r="R25" s="2"/>
      <c r="S25" s="2"/>
      <c r="T25" s="2"/>
    </row>
    <row r="26" spans="1:20" ht="19.5" customHeight="1" x14ac:dyDescent="0.4">
      <c r="A26" s="2">
        <f t="shared" si="2"/>
        <v>26</v>
      </c>
      <c r="B26" s="3">
        <f t="shared" si="4"/>
        <v>46091</v>
      </c>
      <c r="C26" s="9">
        <v>0.05</v>
      </c>
      <c r="D26" s="3">
        <f t="shared" si="3"/>
        <v>46094</v>
      </c>
      <c r="M26" s="2"/>
      <c r="N26" s="2"/>
      <c r="O26" s="2"/>
      <c r="P26" s="2"/>
      <c r="Q26" s="2"/>
      <c r="R26" s="2"/>
      <c r="S26" s="2"/>
      <c r="T26" s="2"/>
    </row>
    <row r="27" spans="1:20" ht="19.5" customHeight="1" x14ac:dyDescent="0.4">
      <c r="A27" s="2">
        <f t="shared" si="2"/>
        <v>27</v>
      </c>
      <c r="B27" s="3">
        <f t="shared" si="4"/>
        <v>46275</v>
      </c>
      <c r="C27" s="9">
        <v>0.05</v>
      </c>
      <c r="D27" s="3">
        <f t="shared" si="3"/>
        <v>46278</v>
      </c>
      <c r="M27" s="2"/>
      <c r="N27" s="2"/>
      <c r="O27" s="2"/>
      <c r="P27" s="2"/>
      <c r="Q27" s="2"/>
      <c r="R27" s="2"/>
      <c r="S27" s="2"/>
      <c r="T27" s="2"/>
    </row>
    <row r="28" spans="1:20" ht="19.5" customHeight="1" x14ac:dyDescent="0.4">
      <c r="A28" s="2">
        <f t="shared" si="2"/>
        <v>28</v>
      </c>
      <c r="B28" s="3">
        <f t="shared" si="4"/>
        <v>46456</v>
      </c>
      <c r="C28" s="9">
        <v>0.05</v>
      </c>
      <c r="D28" s="3">
        <f t="shared" ref="D28:D30" si="5">B28+3</f>
        <v>46459</v>
      </c>
      <c r="M28" s="97" t="s">
        <v>19</v>
      </c>
      <c r="N28" s="97"/>
      <c r="O28" s="97" t="s">
        <v>20</v>
      </c>
      <c r="P28" s="97"/>
      <c r="Q28" s="97" t="s">
        <v>21</v>
      </c>
      <c r="R28" s="97"/>
      <c r="S28" s="97" t="s">
        <v>22</v>
      </c>
      <c r="T28" s="97"/>
    </row>
    <row r="29" spans="1:20" ht="19.5" customHeight="1" x14ac:dyDescent="0.4">
      <c r="A29" s="2">
        <f t="shared" si="2"/>
        <v>29</v>
      </c>
      <c r="B29" s="3">
        <f t="shared" si="4"/>
        <v>46640</v>
      </c>
      <c r="C29" s="9">
        <v>0.05</v>
      </c>
      <c r="D29" s="3">
        <f t="shared" si="5"/>
        <v>46643</v>
      </c>
      <c r="M29" s="23" t="s">
        <v>11</v>
      </c>
      <c r="N29" s="23" t="s">
        <v>16</v>
      </c>
      <c r="O29" s="23" t="s">
        <v>11</v>
      </c>
      <c r="P29" s="23" t="s">
        <v>23</v>
      </c>
      <c r="Q29" s="23" t="s">
        <v>11</v>
      </c>
      <c r="R29" s="23" t="s">
        <v>24</v>
      </c>
      <c r="S29" s="23" t="s">
        <v>11</v>
      </c>
      <c r="T29" s="23" t="s">
        <v>25</v>
      </c>
    </row>
    <row r="30" spans="1:20" ht="19.5" customHeight="1" x14ac:dyDescent="0.35">
      <c r="A30" s="2">
        <f t="shared" si="2"/>
        <v>30</v>
      </c>
      <c r="B30" s="3">
        <f t="shared" si="4"/>
        <v>46822</v>
      </c>
      <c r="C30" s="9">
        <v>0.05</v>
      </c>
      <c r="D30" s="3">
        <f t="shared" si="5"/>
        <v>46825</v>
      </c>
      <c r="M30" s="19">
        <v>0.25</v>
      </c>
      <c r="N30" s="20">
        <v>3.9285647244469146E-3</v>
      </c>
      <c r="O30" s="19">
        <v>0.25</v>
      </c>
      <c r="P30" s="21">
        <v>6.2544131651520729E-8</v>
      </c>
      <c r="Q30" s="19">
        <v>0.25</v>
      </c>
      <c r="R30" s="22">
        <v>2.3480990757889231E-3</v>
      </c>
      <c r="S30" s="19">
        <v>0.25</v>
      </c>
      <c r="T30" s="21">
        <v>3.7434801924973726E-8</v>
      </c>
    </row>
    <row r="31" spans="1:20" ht="19.5" customHeight="1" x14ac:dyDescent="0.35">
      <c r="A31" s="2">
        <f t="shared" si="2"/>
        <v>31</v>
      </c>
      <c r="C31" s="9"/>
      <c r="D31" s="3"/>
      <c r="M31" s="19">
        <v>0.5</v>
      </c>
      <c r="N31" s="20">
        <v>1.0406847684862441E-2</v>
      </c>
      <c r="O31" s="19">
        <v>0.5</v>
      </c>
      <c r="P31" s="21">
        <v>3.4995537134818733E-7</v>
      </c>
      <c r="Q31" s="19">
        <v>0.5</v>
      </c>
      <c r="R31" s="22">
        <v>6.1848842960898764E-3</v>
      </c>
      <c r="S31" s="19">
        <v>0.5</v>
      </c>
      <c r="T31" s="21">
        <v>2.0871812012046576E-7</v>
      </c>
    </row>
    <row r="32" spans="1:20" ht="19.5" customHeight="1" x14ac:dyDescent="0.35">
      <c r="A32" s="2">
        <f t="shared" si="2"/>
        <v>32</v>
      </c>
      <c r="C32" s="9"/>
      <c r="D32" s="3"/>
      <c r="M32" s="19">
        <v>1</v>
      </c>
      <c r="N32" s="20">
        <v>4.0988884314174356E-2</v>
      </c>
      <c r="O32" s="19">
        <v>1</v>
      </c>
      <c r="P32" s="21">
        <v>3.0373485060408711E-6</v>
      </c>
      <c r="Q32" s="19">
        <v>1</v>
      </c>
      <c r="R32" s="22">
        <v>2.4094753951430903E-2</v>
      </c>
      <c r="S32" s="19">
        <v>1</v>
      </c>
      <c r="T32" s="21">
        <v>1.7991951608564705E-6</v>
      </c>
    </row>
    <row r="33" spans="1:20" ht="19.5" customHeight="1" x14ac:dyDescent="0.35">
      <c r="A33" s="2">
        <f t="shared" si="2"/>
        <v>33</v>
      </c>
      <c r="C33" s="9"/>
      <c r="D33" s="3"/>
      <c r="M33" s="19">
        <v>2</v>
      </c>
      <c r="N33" s="20">
        <v>8.9401030476437882E-2</v>
      </c>
      <c r="O33" s="19">
        <v>2</v>
      </c>
      <c r="P33" s="21">
        <v>1.2046868505422026E-5</v>
      </c>
      <c r="Q33" s="19">
        <v>2</v>
      </c>
      <c r="R33" s="22">
        <v>5.1778541746898554E-2</v>
      </c>
      <c r="S33" s="19">
        <v>2</v>
      </c>
      <c r="T33" s="21">
        <v>7.0673158916179091E-6</v>
      </c>
    </row>
    <row r="34" spans="1:20" ht="19.5" customHeight="1" x14ac:dyDescent="0.35">
      <c r="A34" s="2">
        <f t="shared" si="2"/>
        <v>34</v>
      </c>
      <c r="C34" s="9"/>
      <c r="D34" s="3"/>
      <c r="M34" s="19">
        <v>3</v>
      </c>
      <c r="N34" s="20">
        <v>0.20769015545829461</v>
      </c>
      <c r="O34" s="19">
        <v>3</v>
      </c>
      <c r="P34" s="21">
        <v>4.4630985939875245E-5</v>
      </c>
      <c r="Q34" s="19">
        <v>3</v>
      </c>
      <c r="R34" s="22">
        <v>0.11733761220875749</v>
      </c>
      <c r="S34" s="19">
        <v>3</v>
      </c>
      <c r="T34" s="21">
        <v>2.5799970899242908E-5</v>
      </c>
    </row>
    <row r="35" spans="1:20" ht="19.5" customHeight="1" x14ac:dyDescent="0.35">
      <c r="A35" s="2">
        <f t="shared" si="2"/>
        <v>35</v>
      </c>
      <c r="C35" s="9"/>
      <c r="D35" s="3"/>
      <c r="M35" s="19">
        <v>5</v>
      </c>
      <c r="N35" s="20">
        <v>3.5053386012841656</v>
      </c>
      <c r="O35" s="19">
        <v>5</v>
      </c>
      <c r="P35" s="21">
        <v>1.4845518235233612E-3</v>
      </c>
      <c r="Q35" s="19">
        <v>5</v>
      </c>
      <c r="R35" s="22">
        <v>1.9113387936113213</v>
      </c>
      <c r="S35" s="19">
        <v>5</v>
      </c>
      <c r="T35" s="21">
        <v>8.3935187285533175E-4</v>
      </c>
    </row>
    <row r="36" spans="1:20" ht="19.5" customHeight="1" x14ac:dyDescent="0.35">
      <c r="A36" s="2">
        <f t="shared" si="2"/>
        <v>36</v>
      </c>
      <c r="C36" s="4"/>
      <c r="D36" s="3"/>
      <c r="M36" s="19">
        <v>7</v>
      </c>
      <c r="N36" s="20">
        <v>0.84564039040196803</v>
      </c>
      <c r="O36" s="19">
        <v>7</v>
      </c>
      <c r="P36" s="21">
        <v>9.2697500804206356E-5</v>
      </c>
      <c r="Q36" s="19">
        <v>7</v>
      </c>
      <c r="R36" s="22">
        <v>0.46063104451241088</v>
      </c>
      <c r="S36" s="19">
        <v>7</v>
      </c>
      <c r="T36" s="21">
        <v>5.2389656048035249E-5</v>
      </c>
    </row>
    <row r="37" spans="1:20" ht="19.5" customHeight="1" x14ac:dyDescent="0.35">
      <c r="A37" s="2">
        <f t="shared" si="2"/>
        <v>37</v>
      </c>
      <c r="C37" s="4"/>
      <c r="D37" s="3"/>
      <c r="M37" s="19">
        <v>10</v>
      </c>
      <c r="N37" s="20">
        <v>0</v>
      </c>
      <c r="O37" s="19">
        <v>10</v>
      </c>
      <c r="P37" s="21">
        <v>0</v>
      </c>
      <c r="Q37" s="19">
        <v>10</v>
      </c>
      <c r="R37" s="22">
        <v>0</v>
      </c>
      <c r="S37" s="19">
        <v>10</v>
      </c>
      <c r="T37" s="21">
        <v>0</v>
      </c>
    </row>
    <row r="38" spans="1:20" ht="19.5" customHeight="1" x14ac:dyDescent="0.4">
      <c r="A38" s="2">
        <f t="shared" si="2"/>
        <v>38</v>
      </c>
      <c r="M38" s="33">
        <v>20</v>
      </c>
      <c r="N38" s="30">
        <v>0</v>
      </c>
      <c r="O38" s="34">
        <v>20</v>
      </c>
      <c r="P38" s="32">
        <v>0</v>
      </c>
    </row>
    <row r="39" spans="1:20" ht="19.5" customHeight="1" x14ac:dyDescent="0.4">
      <c r="A39" s="2">
        <f t="shared" si="2"/>
        <v>39</v>
      </c>
      <c r="M39" s="33">
        <v>30</v>
      </c>
      <c r="N39" s="30">
        <v>0</v>
      </c>
      <c r="O39" s="34">
        <v>30</v>
      </c>
      <c r="P39" s="32">
        <v>0</v>
      </c>
    </row>
    <row r="40" spans="1:20" ht="19.5" customHeight="1" x14ac:dyDescent="0.4">
      <c r="A40" s="2">
        <f t="shared" si="2"/>
        <v>40</v>
      </c>
    </row>
    <row r="41" spans="1:20" ht="19.5" customHeight="1" x14ac:dyDescent="0.4">
      <c r="A41" s="2">
        <f t="shared" si="2"/>
        <v>41</v>
      </c>
    </row>
    <row r="42" spans="1:20" ht="19.5" customHeight="1" x14ac:dyDescent="0.4">
      <c r="A42" s="2">
        <f t="shared" si="2"/>
        <v>42</v>
      </c>
    </row>
    <row r="43" spans="1:20" ht="19.5" customHeight="1" x14ac:dyDescent="0.4">
      <c r="A43" s="2">
        <f t="shared" si="2"/>
        <v>43</v>
      </c>
    </row>
    <row r="44" spans="1:20" ht="19.5" customHeight="1" x14ac:dyDescent="0.4">
      <c r="A44" s="2">
        <f t="shared" si="2"/>
        <v>44</v>
      </c>
    </row>
    <row r="45" spans="1:20" ht="19.5" customHeight="1" x14ac:dyDescent="0.4">
      <c r="A45" s="2">
        <f t="shared" si="2"/>
        <v>45</v>
      </c>
    </row>
    <row r="46" spans="1:20" ht="19.5" customHeight="1" x14ac:dyDescent="0.4">
      <c r="A46" s="2">
        <f t="shared" si="2"/>
        <v>46</v>
      </c>
    </row>
    <row r="47" spans="1:20" ht="19.5" customHeight="1" x14ac:dyDescent="0.4">
      <c r="A47" s="2">
        <f t="shared" si="2"/>
        <v>47</v>
      </c>
    </row>
    <row r="48" spans="1:20" ht="19.5" customHeight="1" x14ac:dyDescent="0.4">
      <c r="A48" s="2">
        <f t="shared" si="2"/>
        <v>48</v>
      </c>
    </row>
    <row r="49" spans="1:1" ht="19.5" customHeight="1" x14ac:dyDescent="0.4">
      <c r="A49" s="2">
        <f t="shared" si="2"/>
        <v>49</v>
      </c>
    </row>
    <row r="50" spans="1:1" ht="19.5" customHeight="1" x14ac:dyDescent="0.4">
      <c r="A50" s="2">
        <f t="shared" si="2"/>
        <v>50</v>
      </c>
    </row>
    <row r="51" spans="1:1" ht="19.5" customHeight="1" x14ac:dyDescent="0.4">
      <c r="A51" s="2">
        <f t="shared" si="2"/>
        <v>51</v>
      </c>
    </row>
    <row r="52" spans="1:1" ht="19.5" customHeight="1" x14ac:dyDescent="0.4">
      <c r="A52" s="2">
        <f t="shared" si="2"/>
        <v>52</v>
      </c>
    </row>
    <row r="53" spans="1:1" ht="19.5" customHeight="1" x14ac:dyDescent="0.4">
      <c r="A53" s="2">
        <f t="shared" si="2"/>
        <v>53</v>
      </c>
    </row>
    <row r="54" spans="1:1" ht="19.5" customHeight="1" x14ac:dyDescent="0.4">
      <c r="A54" s="2">
        <f t="shared" si="2"/>
        <v>54</v>
      </c>
    </row>
    <row r="55" spans="1:1" ht="19.5" customHeight="1" x14ac:dyDescent="0.4">
      <c r="A55" s="2">
        <f t="shared" si="2"/>
        <v>55</v>
      </c>
    </row>
    <row r="56" spans="1:1" ht="19.5" customHeight="1" x14ac:dyDescent="0.4">
      <c r="A56" s="2">
        <f t="shared" si="2"/>
        <v>56</v>
      </c>
    </row>
    <row r="57" spans="1:1" ht="19.5" customHeight="1" x14ac:dyDescent="0.4">
      <c r="A57" s="2">
        <f t="shared" si="2"/>
        <v>57</v>
      </c>
    </row>
    <row r="58" spans="1:1" ht="19.5" customHeight="1" x14ac:dyDescent="0.4">
      <c r="A58" s="2">
        <f t="shared" si="2"/>
        <v>58</v>
      </c>
    </row>
    <row r="59" spans="1:1" ht="19.5" customHeight="1" x14ac:dyDescent="0.4">
      <c r="A59" s="2">
        <f t="shared" si="2"/>
        <v>59</v>
      </c>
    </row>
    <row r="60" spans="1:1" ht="19.5" customHeight="1" x14ac:dyDescent="0.4">
      <c r="A60" s="2">
        <f t="shared" si="2"/>
        <v>60</v>
      </c>
    </row>
    <row r="61" spans="1:1" ht="19.5" customHeight="1" x14ac:dyDescent="0.4">
      <c r="A61" s="2">
        <f t="shared" si="2"/>
        <v>61</v>
      </c>
    </row>
    <row r="62" spans="1:1" ht="19.5" customHeight="1" x14ac:dyDescent="0.4">
      <c r="A62" s="2">
        <f t="shared" si="2"/>
        <v>62</v>
      </c>
    </row>
    <row r="63" spans="1:1" ht="19.5" customHeight="1" x14ac:dyDescent="0.4">
      <c r="A63" s="2">
        <f t="shared" si="2"/>
        <v>63</v>
      </c>
    </row>
    <row r="64" spans="1:1" ht="19.5" customHeight="1" x14ac:dyDescent="0.4">
      <c r="A64" s="2">
        <f t="shared" si="2"/>
        <v>64</v>
      </c>
    </row>
    <row r="65" spans="1:1" ht="19.5" customHeight="1" x14ac:dyDescent="0.4">
      <c r="A65" s="2">
        <f t="shared" si="2"/>
        <v>65</v>
      </c>
    </row>
    <row r="66" spans="1:1" ht="19.5" customHeight="1" x14ac:dyDescent="0.4">
      <c r="A66" s="2">
        <f t="shared" si="2"/>
        <v>66</v>
      </c>
    </row>
    <row r="67" spans="1:1" ht="19.5" customHeight="1" x14ac:dyDescent="0.4">
      <c r="A67" s="2">
        <f t="shared" si="2"/>
        <v>67</v>
      </c>
    </row>
    <row r="68" spans="1:1" ht="19.5" customHeight="1" x14ac:dyDescent="0.4">
      <c r="A68" s="2">
        <f t="shared" si="2"/>
        <v>68</v>
      </c>
    </row>
    <row r="69" spans="1:1" ht="19.5" customHeight="1" x14ac:dyDescent="0.4">
      <c r="A69" s="2">
        <f t="shared" si="2"/>
        <v>69</v>
      </c>
    </row>
    <row r="70" spans="1:1" ht="19.5" customHeight="1" x14ac:dyDescent="0.4">
      <c r="A70" s="2">
        <f t="shared" si="2"/>
        <v>70</v>
      </c>
    </row>
    <row r="71" spans="1:1" ht="19.5" customHeight="1" x14ac:dyDescent="0.4">
      <c r="A71" s="2">
        <f t="shared" ref="A71:A90" si="6">A70+1</f>
        <v>71</v>
      </c>
    </row>
    <row r="72" spans="1:1" ht="19.5" customHeight="1" x14ac:dyDescent="0.4">
      <c r="A72" s="2">
        <f t="shared" si="6"/>
        <v>72</v>
      </c>
    </row>
    <row r="73" spans="1:1" ht="19.5" customHeight="1" x14ac:dyDescent="0.4">
      <c r="A73" s="2">
        <f t="shared" si="6"/>
        <v>73</v>
      </c>
    </row>
    <row r="74" spans="1:1" ht="19.5" customHeight="1" x14ac:dyDescent="0.4">
      <c r="A74" s="2">
        <f t="shared" si="6"/>
        <v>74</v>
      </c>
    </row>
    <row r="75" spans="1:1" ht="19.5" customHeight="1" x14ac:dyDescent="0.4">
      <c r="A75" s="2">
        <f t="shared" si="6"/>
        <v>75</v>
      </c>
    </row>
    <row r="76" spans="1:1" ht="19.5" customHeight="1" x14ac:dyDescent="0.4">
      <c r="A76" s="2">
        <f t="shared" si="6"/>
        <v>76</v>
      </c>
    </row>
    <row r="77" spans="1:1" ht="19.5" customHeight="1" x14ac:dyDescent="0.4">
      <c r="A77" s="2">
        <f t="shared" si="6"/>
        <v>77</v>
      </c>
    </row>
    <row r="78" spans="1:1" ht="19.5" customHeight="1" x14ac:dyDescent="0.4">
      <c r="A78" s="2">
        <f t="shared" si="6"/>
        <v>78</v>
      </c>
    </row>
    <row r="79" spans="1:1" ht="19.5" customHeight="1" x14ac:dyDescent="0.4">
      <c r="A79" s="2">
        <f t="shared" si="6"/>
        <v>79</v>
      </c>
    </row>
    <row r="80" spans="1:1" ht="19.5" customHeight="1" x14ac:dyDescent="0.4">
      <c r="A80" s="2">
        <f t="shared" si="6"/>
        <v>80</v>
      </c>
    </row>
    <row r="81" spans="1:1" ht="19.5" customHeight="1" x14ac:dyDescent="0.4">
      <c r="A81" s="2">
        <f t="shared" si="6"/>
        <v>81</v>
      </c>
    </row>
    <row r="82" spans="1:1" ht="19.5" customHeight="1" x14ac:dyDescent="0.4">
      <c r="A82" s="2">
        <f t="shared" si="6"/>
        <v>82</v>
      </c>
    </row>
    <row r="83" spans="1:1" ht="19.5" customHeight="1" x14ac:dyDescent="0.4">
      <c r="A83" s="2">
        <f t="shared" si="6"/>
        <v>83</v>
      </c>
    </row>
    <row r="84" spans="1:1" ht="19.5" customHeight="1" x14ac:dyDescent="0.4">
      <c r="A84" s="2">
        <f t="shared" si="6"/>
        <v>84</v>
      </c>
    </row>
    <row r="85" spans="1:1" ht="19.5" customHeight="1" x14ac:dyDescent="0.4">
      <c r="A85" s="2">
        <f t="shared" si="6"/>
        <v>85</v>
      </c>
    </row>
    <row r="86" spans="1:1" ht="19.5" customHeight="1" x14ac:dyDescent="0.4">
      <c r="A86" s="2">
        <f t="shared" si="6"/>
        <v>86</v>
      </c>
    </row>
    <row r="87" spans="1:1" ht="19.5" customHeight="1" x14ac:dyDescent="0.4">
      <c r="A87" s="2">
        <f t="shared" si="6"/>
        <v>87</v>
      </c>
    </row>
    <row r="88" spans="1:1" ht="19.5" customHeight="1" x14ac:dyDescent="0.4">
      <c r="A88" s="2">
        <f t="shared" si="6"/>
        <v>88</v>
      </c>
    </row>
    <row r="89" spans="1:1" ht="19.5" customHeight="1" x14ac:dyDescent="0.4">
      <c r="A89" s="2">
        <f t="shared" si="6"/>
        <v>89</v>
      </c>
    </row>
    <row r="90" spans="1:1" ht="19.5" customHeight="1" x14ac:dyDescent="0.4">
      <c r="A90" s="2">
        <f t="shared" si="6"/>
        <v>90</v>
      </c>
    </row>
  </sheetData>
  <mergeCells count="47">
    <mergeCell ref="M28:N28"/>
    <mergeCell ref="O28:P28"/>
    <mergeCell ref="Q28:R28"/>
    <mergeCell ref="S28:T28"/>
    <mergeCell ref="M22:N22"/>
    <mergeCell ref="O22:P22"/>
    <mergeCell ref="M23:N23"/>
    <mergeCell ref="O23:P23"/>
    <mergeCell ref="M24:N24"/>
    <mergeCell ref="O24:P24"/>
    <mergeCell ref="O9:P9"/>
    <mergeCell ref="H8:I8"/>
    <mergeCell ref="M20:N20"/>
    <mergeCell ref="O20:P20"/>
    <mergeCell ref="B12:F12"/>
    <mergeCell ref="G12:H12"/>
    <mergeCell ref="I12:J12"/>
    <mergeCell ref="B13:D13"/>
    <mergeCell ref="E13:F14"/>
    <mergeCell ref="M16:N16"/>
    <mergeCell ref="O16:P16"/>
    <mergeCell ref="M18:N18"/>
    <mergeCell ref="O18:P18"/>
    <mergeCell ref="M19:N19"/>
    <mergeCell ref="O19:P19"/>
    <mergeCell ref="O8:P8"/>
    <mergeCell ref="O6:P6"/>
    <mergeCell ref="B7:C7"/>
    <mergeCell ref="D7:E7"/>
    <mergeCell ref="H7:I7"/>
    <mergeCell ref="J7:K7"/>
    <mergeCell ref="H6:I6"/>
    <mergeCell ref="L3:M3"/>
    <mergeCell ref="B5:C5"/>
    <mergeCell ref="D5:E5"/>
    <mergeCell ref="B6:C6"/>
    <mergeCell ref="D6:E6"/>
    <mergeCell ref="F6:G9"/>
    <mergeCell ref="B8:C8"/>
    <mergeCell ref="D8:E8"/>
    <mergeCell ref="J6:K6"/>
    <mergeCell ref="M6:N6"/>
    <mergeCell ref="J8:K8"/>
    <mergeCell ref="H9:I9"/>
    <mergeCell ref="J9:K9"/>
    <mergeCell ref="M9:N9"/>
    <mergeCell ref="M8:N8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Calc_RiskyBondPrice">
                <anchor moveWithCells="1" sizeWithCells="1">
                  <from>
                    <xdr:col>13</xdr:col>
                    <xdr:colOff>0</xdr:colOff>
                    <xdr:row>10</xdr:row>
                    <xdr:rowOff>106680</xdr:rowOff>
                  </from>
                  <to>
                    <xdr:col>13</xdr:col>
                    <xdr:colOff>1135380</xdr:colOff>
                    <xdr:row>13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RiskyBond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2022-01-18T00:29:12Z</dcterms:created>
  <dcterms:modified xsi:type="dcterms:W3CDTF">2023-12-17T13:43:27Z</dcterms:modified>
</cp:coreProperties>
</file>