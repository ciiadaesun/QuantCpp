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RiskyBon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B13" i="1" l="1"/>
  <c r="B14" i="1"/>
  <c r="F15" i="1"/>
  <c r="E15" i="1"/>
  <c r="D15" i="1"/>
  <c r="C15" i="1"/>
  <c r="B15" i="1"/>
  <c r="E13" i="1"/>
  <c r="B12" i="1"/>
  <c r="H9" i="1"/>
  <c r="H8" i="1"/>
  <c r="H7" i="1"/>
  <c r="H6" i="1"/>
  <c r="F6" i="1"/>
  <c r="H15" i="1" l="1"/>
  <c r="J19" i="1" l="1"/>
  <c r="J20" i="1" s="1"/>
  <c r="J21" i="1" s="1"/>
  <c r="J22" i="1" s="1"/>
  <c r="J23" i="1" s="1"/>
  <c r="B16" i="1"/>
  <c r="B17" i="1" s="1"/>
  <c r="H14" i="1"/>
  <c r="J13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B18" i="1" l="1"/>
  <c r="D17" i="1"/>
  <c r="D16" i="1"/>
  <c r="D18" i="1" l="1"/>
  <c r="B19" i="1"/>
  <c r="B20" i="1" l="1"/>
  <c r="D19" i="1"/>
  <c r="D20" i="1" l="1"/>
  <c r="B21" i="1"/>
  <c r="D21" i="1" l="1"/>
  <c r="B22" i="1"/>
  <c r="B23" i="1" l="1"/>
  <c r="D22" i="1"/>
  <c r="B24" i="1" l="1"/>
  <c r="D23" i="1"/>
  <c r="D24" i="1" l="1"/>
  <c r="B25" i="1"/>
  <c r="B26" i="1" l="1"/>
  <c r="D25" i="1"/>
  <c r="D26" i="1" l="1"/>
  <c r="B27" i="1"/>
  <c r="D27" i="1" l="1"/>
  <c r="C14" i="1"/>
</calcChain>
</file>

<file path=xl/comments1.xml><?xml version="1.0" encoding="utf-8"?>
<comments xmlns="http://schemas.openxmlformats.org/spreadsheetml/2006/main">
  <authors>
    <author>임 대선</author>
  </authors>
  <commentList>
    <comment ref="B8" authorId="0" shapeId="0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<sst xmlns="http://schemas.openxmlformats.org/spreadsheetml/2006/main" count="33" uniqueCount="26">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</sst>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10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 applyAlignment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 applyAlignment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 applyAlignment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0" fillId="2" borderId="40" xfId="0" applyFill="1" applyBorder="1">
      <alignment vertical="center"/>
    </xf>
    <xf numFmtId="178" fontId="0" fillId="2" borderId="40" xfId="0" applyNumberFormat="1" applyFill="1" applyBorder="1">
      <alignment vertical="center"/>
    </xf>
    <xf numFmtId="183" fontId="0" fillId="2" borderId="40" xfId="0" applyNumberFormat="1" applyFill="1" applyBorder="1">
      <alignment vertical="center"/>
    </xf>
    <xf numFmtId="182" fontId="0" fillId="2" borderId="40" xfId="0" applyNumberFormat="1" applyFill="1" applyBorder="1">
      <alignment vertical="center"/>
    </xf>
    <xf numFmtId="0" fontId="3" fillId="6" borderId="40" xfId="0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78" fontId="6" fillId="4" borderId="16" xfId="0" applyNumberFormat="1" applyFont="1" applyFill="1" applyBorder="1" applyAlignment="1">
      <alignment horizontal="center" vertical="center"/>
    </xf>
    <xf numFmtId="178" fontId="6" fillId="4" borderId="30" xfId="0" applyNumberFormat="1" applyFont="1" applyFill="1" applyBorder="1" applyAlignment="1">
      <alignment horizontal="center" vertical="center"/>
    </xf>
    <xf numFmtId="0" fontId="3" fillId="9" borderId="32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5" fillId="9" borderId="23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25" xfId="0" applyFont="1" applyFill="1" applyBorder="1" applyAlignment="1">
      <alignment horizontal="center" vertical="center"/>
    </xf>
    <xf numFmtId="0" fontId="5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3" fillId="9" borderId="37" xfId="0" applyFont="1" applyFill="1" applyBorder="1" applyAlignment="1">
      <alignment horizontal="center" vertical="center"/>
    </xf>
    <xf numFmtId="0" fontId="3" fillId="9" borderId="38" xfId="0" applyFont="1" applyFill="1" applyBorder="1" applyAlignment="1">
      <alignment horizontal="center" vertical="center"/>
    </xf>
    <xf numFmtId="184" fontId="6" fillId="4" borderId="2" xfId="0" applyNumberFormat="1" applyFont="1" applyFill="1" applyBorder="1" applyAlignment="1">
      <alignment horizontal="center" vertical="center"/>
    </xf>
    <xf numFmtId="184" fontId="6" fillId="4" borderId="38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106680</xdr:rowOff>
        </xdr:from>
        <xdr:to>
          <xdr:col>13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90"/>
  <sheetViews>
    <sheetView tabSelected="1" topLeftCell="G13" zoomScale="85" zoomScaleNormal="85" workbookViewId="0">
      <selection activeCell="K33" sqref="K33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5"/>
    <col min="5" max="6" width="15.59765625" style="2"/>
    <col min="7" max="10" width="15.59765625" style="5"/>
    <col min="11" max="12" width="15.59765625" style="2"/>
    <col min="13" max="13" width="15.59765625" style="23"/>
    <col min="14" max="14" width="15.59765625" style="24"/>
    <col min="15" max="15" width="15.59765625" style="23"/>
    <col min="16" max="16" width="15.59765625" style="24"/>
    <col min="17" max="17" width="15.59765625" style="23"/>
    <col min="18" max="18" width="15.59765625" style="25"/>
    <col min="19" max="19" width="15.59765625" style="23"/>
    <col min="20" max="20" width="15.59765625" style="26"/>
    <col min="21" max="16384" width="15.59765625" style="2"/>
  </cols>
  <sheetData>
    <row r="1" spans="1:29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C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</row>
    <row r="2" spans="1:29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M2" s="2"/>
      <c r="N2" s="2"/>
      <c r="O2" s="2"/>
      <c r="P2" s="2"/>
      <c r="Q2" s="2"/>
      <c r="R2" s="2"/>
      <c r="S2" s="2"/>
      <c r="T2" s="2"/>
    </row>
    <row r="3" spans="1:29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62"/>
      <c r="M3" s="62"/>
      <c r="N3" s="2"/>
      <c r="O3" s="2"/>
      <c r="P3" s="2"/>
      <c r="Q3" s="2"/>
      <c r="R3" s="2"/>
      <c r="S3" s="2"/>
      <c r="T3" s="2"/>
    </row>
    <row r="4" spans="1:29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M4" s="2"/>
      <c r="N4" s="2"/>
      <c r="O4" s="2"/>
      <c r="P4" s="2"/>
      <c r="Q4" s="2"/>
      <c r="R4" s="2"/>
      <c r="S4" s="2"/>
      <c r="T4" s="2"/>
    </row>
    <row r="5" spans="1:29" ht="19.5" customHeight="1" thickBot="1" x14ac:dyDescent="0.45">
      <c r="A5" s="2">
        <f>A4+1</f>
        <v>5</v>
      </c>
      <c r="B5" s="63" t="s">
        <v>0</v>
      </c>
      <c r="C5" s="64"/>
      <c r="D5" s="65">
        <v>43388</v>
      </c>
      <c r="E5" s="66"/>
      <c r="G5" s="2"/>
      <c r="H5" s="2"/>
      <c r="I5" s="2"/>
      <c r="J5" s="2"/>
      <c r="M5" s="2"/>
      <c r="N5" s="2"/>
      <c r="O5" s="2"/>
      <c r="P5" s="2"/>
      <c r="Q5" s="2"/>
      <c r="R5" s="2"/>
      <c r="S5" s="2"/>
      <c r="T5" s="2"/>
    </row>
    <row r="6" spans="1:29" ht="19.5" customHeight="1" thickTop="1" thickBot="1" x14ac:dyDescent="0.45">
      <c r="A6" s="7">
        <f>A5+1</f>
        <v>6</v>
      </c>
      <c r="B6" s="67" t="s">
        <v>1</v>
      </c>
      <c r="C6" s="68"/>
      <c r="D6" s="69">
        <v>1</v>
      </c>
      <c r="E6" s="70"/>
      <c r="F6" s="71" t="str">
        <f>IF(D6=0,"채권정보입력","")</f>
        <v/>
      </c>
      <c r="G6" s="72"/>
      <c r="H6" s="58" t="str">
        <f>IF(D6=0,"Coupon Rate","입력안함")</f>
        <v>입력안함</v>
      </c>
      <c r="I6" s="59"/>
      <c r="J6" s="81">
        <v>3.7999999999999999E-2</v>
      </c>
      <c r="K6" s="82"/>
      <c r="M6" s="83" t="s">
        <v>2</v>
      </c>
      <c r="N6" s="84"/>
      <c r="O6" s="52">
        <f>D5</f>
        <v>43388</v>
      </c>
      <c r="P6" s="53"/>
      <c r="Q6" s="2"/>
      <c r="R6" s="2"/>
      <c r="S6" s="2"/>
      <c r="T6" s="2"/>
    </row>
    <row r="7" spans="1:29" ht="19.5" customHeight="1" thickTop="1" x14ac:dyDescent="0.4">
      <c r="A7" s="2">
        <f t="shared" ref="A7:A70" si="2">A6+1</f>
        <v>7</v>
      </c>
      <c r="B7" s="54" t="s">
        <v>3</v>
      </c>
      <c r="C7" s="55"/>
      <c r="D7" s="56">
        <v>0.4</v>
      </c>
      <c r="E7" s="57"/>
      <c r="F7" s="73"/>
      <c r="G7" s="74"/>
      <c r="H7" s="58" t="str">
        <f>IF(D6=0,"연 이자지급횟수","입력안함")</f>
        <v>입력안함</v>
      </c>
      <c r="I7" s="59"/>
      <c r="J7" s="60">
        <v>2</v>
      </c>
      <c r="K7" s="61"/>
      <c r="M7" s="2"/>
      <c r="N7" s="2"/>
      <c r="O7" s="2"/>
      <c r="P7" s="2"/>
      <c r="Q7" s="2"/>
      <c r="R7" s="2"/>
      <c r="S7" s="2"/>
      <c r="T7" s="2"/>
    </row>
    <row r="8" spans="1:29" ht="19.5" customHeight="1" thickBot="1" x14ac:dyDescent="0.45">
      <c r="A8" s="2">
        <f t="shared" si="2"/>
        <v>8</v>
      </c>
      <c r="B8" s="77" t="s">
        <v>4</v>
      </c>
      <c r="C8" s="78"/>
      <c r="D8" s="79">
        <v>0</v>
      </c>
      <c r="E8" s="80"/>
      <c r="F8" s="73"/>
      <c r="G8" s="74"/>
      <c r="H8" s="35" t="str">
        <f>IF(D6=0,"액면금액","입력안함")</f>
        <v>입력안함</v>
      </c>
      <c r="I8" s="36"/>
      <c r="J8" s="85">
        <v>10000</v>
      </c>
      <c r="K8" s="86"/>
      <c r="M8" s="2"/>
      <c r="N8" s="2"/>
      <c r="O8" s="2"/>
      <c r="P8" s="2"/>
      <c r="Q8" s="2"/>
      <c r="R8" s="2"/>
      <c r="S8" s="2"/>
      <c r="T8" s="2"/>
    </row>
    <row r="9" spans="1:29" ht="19.5" customHeight="1" thickBot="1" x14ac:dyDescent="0.45">
      <c r="A9" s="2">
        <f t="shared" si="2"/>
        <v>9</v>
      </c>
      <c r="B9" s="2"/>
      <c r="C9" s="2"/>
      <c r="D9" s="2"/>
      <c r="E9" s="7"/>
      <c r="F9" s="75"/>
      <c r="G9" s="76"/>
      <c r="H9" s="87" t="str">
        <f>IF(D6=0,"만기(년)","입력안함")</f>
        <v>입력안함</v>
      </c>
      <c r="I9" s="88"/>
      <c r="J9" s="89">
        <v>5.8328767123287673</v>
      </c>
      <c r="K9" s="90"/>
      <c r="M9" s="83" t="s">
        <v>5</v>
      </c>
      <c r="N9" s="84"/>
      <c r="O9" s="33">
        <v>2</v>
      </c>
      <c r="P9" s="34"/>
      <c r="Q9" s="2"/>
      <c r="R9" s="2"/>
      <c r="S9" s="2"/>
      <c r="T9" s="2"/>
    </row>
    <row r="10" spans="1:29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M10" s="2"/>
      <c r="N10" s="2"/>
      <c r="O10" s="2"/>
      <c r="P10" s="2"/>
      <c r="Q10" s="2"/>
      <c r="R10" s="2"/>
      <c r="S10" s="2"/>
      <c r="T10" s="2"/>
    </row>
    <row r="11" spans="1:29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M11" s="2"/>
      <c r="N11" s="2"/>
      <c r="O11" s="2"/>
      <c r="P11" s="2"/>
      <c r="Q11" s="2"/>
      <c r="R11" s="2"/>
      <c r="S11" s="2"/>
      <c r="T11" s="2"/>
    </row>
    <row r="12" spans="1:29" ht="19.5" customHeight="1" thickTop="1" thickBot="1" x14ac:dyDescent="0.5">
      <c r="A12" s="2">
        <f t="shared" si="2"/>
        <v>12</v>
      </c>
      <c r="B12" s="37" t="str">
        <f>IF(D6=0,"사용하지않음","쿠폰입력Flag 1일 경우 입력")</f>
        <v>쿠폰입력Flag 1일 경우 입력</v>
      </c>
      <c r="C12" s="38"/>
      <c r="D12" s="38"/>
      <c r="E12" s="38"/>
      <c r="F12" s="39"/>
      <c r="G12" s="40" t="s">
        <v>6</v>
      </c>
      <c r="H12" s="41"/>
      <c r="I12" s="42" t="s">
        <v>7</v>
      </c>
      <c r="J12" s="42"/>
      <c r="M12" s="2"/>
      <c r="N12" s="2"/>
      <c r="O12" s="2"/>
      <c r="P12" s="2"/>
      <c r="Q12" s="2"/>
      <c r="R12" s="2"/>
      <c r="S12" s="2"/>
      <c r="T12" s="2"/>
    </row>
    <row r="13" spans="1:29" ht="19.5" customHeight="1" thickTop="1" x14ac:dyDescent="0.45">
      <c r="A13" s="2">
        <f t="shared" si="2"/>
        <v>13</v>
      </c>
      <c r="B13" s="43" t="str">
        <f>IF(D6=0,"사용하지않음","쿠폰스케줄")</f>
        <v>쿠폰스케줄</v>
      </c>
      <c r="C13" s="44"/>
      <c r="D13" s="45"/>
      <c r="E13" s="46" t="str">
        <f>IF(D6=0,"사용하지않음","원금 스케줄")</f>
        <v>원금 스케줄</v>
      </c>
      <c r="F13" s="47"/>
      <c r="G13" s="17" t="s">
        <v>8</v>
      </c>
      <c r="H13" s="16">
        <v>0</v>
      </c>
      <c r="I13" s="18" t="s">
        <v>9</v>
      </c>
      <c r="J13" s="16">
        <f>COUNT(I16:I1048576)</f>
        <v>8</v>
      </c>
      <c r="M13" s="2"/>
      <c r="N13" s="2"/>
      <c r="O13" s="2"/>
      <c r="P13" s="2"/>
      <c r="Q13" s="2"/>
      <c r="R13" s="2"/>
      <c r="S13" s="2"/>
      <c r="T13" s="2"/>
    </row>
    <row r="14" spans="1:29" ht="19.5" customHeight="1" x14ac:dyDescent="0.35">
      <c r="A14" s="2">
        <f t="shared" si="2"/>
        <v>14</v>
      </c>
      <c r="B14" s="14" t="str">
        <f>IF(D6=0,"사용하지않음","쿠폰개수")</f>
        <v>쿠폰개수</v>
      </c>
      <c r="C14" s="15">
        <f>COUNT(B16:B1048576)</f>
        <v>12</v>
      </c>
      <c r="D14" s="11"/>
      <c r="E14" s="48"/>
      <c r="F14" s="49"/>
      <c r="G14" s="17" t="s">
        <v>10</v>
      </c>
      <c r="H14" s="16">
        <f>COUNT(G16:G1048576)</f>
        <v>8</v>
      </c>
      <c r="I14" s="10"/>
      <c r="J14" s="10"/>
      <c r="M14" s="2"/>
      <c r="N14" s="2"/>
      <c r="O14" s="2"/>
      <c r="P14" s="2"/>
      <c r="Q14" s="2"/>
      <c r="R14" s="2"/>
      <c r="S14" s="2"/>
      <c r="T14" s="2"/>
    </row>
    <row r="15" spans="1:29" ht="19.5" customHeight="1" x14ac:dyDescent="0.4">
      <c r="A15" s="2">
        <f t="shared" si="2"/>
        <v>15</v>
      </c>
      <c r="B15" s="14" t="str">
        <f>IF(D6=0,"사용하지않음","쿠폰일")</f>
        <v>쿠폰일</v>
      </c>
      <c r="C15" s="14" t="str">
        <f>IF(D6=0,"사용하지않음","CouponRate")</f>
        <v>CouponRate</v>
      </c>
      <c r="D15" s="14" t="str">
        <f>IF(D6=0,"사용하지않음","쿠폰지급일")</f>
        <v>쿠폰지급일</v>
      </c>
      <c r="E15" s="14" t="str">
        <f>IF(D6=0,"사용하지않음","원금지급일")</f>
        <v>원금지급일</v>
      </c>
      <c r="F15" s="14" t="str">
        <f>IF(D6=0,"사용하지않음","원금")</f>
        <v>원금</v>
      </c>
      <c r="G15" s="17" t="s">
        <v>11</v>
      </c>
      <c r="H15" s="17" t="str">
        <f>IF(H13=0,"HazardRate/y", "CDS Spread")</f>
        <v>HazardRate/y</v>
      </c>
      <c r="I15" s="17" t="s">
        <v>11</v>
      </c>
      <c r="J15" s="17" t="s">
        <v>7</v>
      </c>
      <c r="M15" s="2"/>
      <c r="N15" s="2"/>
      <c r="O15" s="2"/>
      <c r="P15" s="2"/>
      <c r="Q15" s="2"/>
      <c r="R15" s="2"/>
      <c r="S15" s="2"/>
      <c r="T15" s="2"/>
    </row>
    <row r="16" spans="1:29" ht="19.5" customHeight="1" x14ac:dyDescent="0.35">
      <c r="A16" s="2">
        <f t="shared" si="2"/>
        <v>16</v>
      </c>
      <c r="B16" s="8">
        <f>EDATE($D$5,6)</f>
        <v>43570</v>
      </c>
      <c r="C16" s="9">
        <v>3.7999999999999999E-2</v>
      </c>
      <c r="D16" s="8">
        <f>B16+3</f>
        <v>43573</v>
      </c>
      <c r="E16" s="3">
        <v>45580</v>
      </c>
      <c r="F16" s="5">
        <v>10000</v>
      </c>
      <c r="G16" s="12">
        <v>0.25</v>
      </c>
      <c r="H16" s="13">
        <v>0</v>
      </c>
      <c r="I16" s="12">
        <v>0.25</v>
      </c>
      <c r="J16" s="13">
        <v>1.2500000000000001E-2</v>
      </c>
      <c r="K16" s="2">
        <v>9.9799920654296877E-3</v>
      </c>
      <c r="M16" s="29" t="s">
        <v>12</v>
      </c>
      <c r="N16" s="30"/>
      <c r="O16" s="50">
        <v>1</v>
      </c>
      <c r="P16" s="51"/>
      <c r="Q16" s="2"/>
      <c r="R16" s="2"/>
      <c r="S16" s="2"/>
      <c r="T16" s="2"/>
    </row>
    <row r="17" spans="1:20" ht="19.5" customHeight="1" x14ac:dyDescent="0.35">
      <c r="A17" s="2">
        <f t="shared" si="2"/>
        <v>17</v>
      </c>
      <c r="B17" s="3">
        <f>EDATE(B16,6)</f>
        <v>43753</v>
      </c>
      <c r="C17" s="4">
        <v>3.7999999999999999E-2</v>
      </c>
      <c r="D17" s="3">
        <f t="shared" ref="D17:D27" si="3">B17+3</f>
        <v>43756</v>
      </c>
      <c r="G17" s="6">
        <v>0.5</v>
      </c>
      <c r="H17" s="1">
        <v>0</v>
      </c>
      <c r="I17" s="6">
        <v>0.5</v>
      </c>
      <c r="J17" s="1">
        <v>1.4999999999999999E-2</v>
      </c>
      <c r="K17" s="2">
        <v>1.2004202575683593E-2</v>
      </c>
      <c r="M17" s="2"/>
      <c r="N17" s="2"/>
      <c r="O17" s="2"/>
      <c r="P17" s="2"/>
      <c r="Q17" s="2"/>
      <c r="R17" s="2"/>
      <c r="S17" s="2"/>
      <c r="T17" s="2"/>
    </row>
    <row r="18" spans="1:20" ht="19.5" customHeight="1" x14ac:dyDescent="0.35">
      <c r="A18" s="2">
        <f t="shared" si="2"/>
        <v>18</v>
      </c>
      <c r="B18" s="3">
        <f t="shared" ref="B18:B27" si="4">EDATE(B17,6)</f>
        <v>43936</v>
      </c>
      <c r="C18" s="4">
        <v>3.7999999999999999E-2</v>
      </c>
      <c r="D18" s="3">
        <f t="shared" si="3"/>
        <v>43939</v>
      </c>
      <c r="G18" s="6">
        <v>1</v>
      </c>
      <c r="H18" s="1">
        <v>0</v>
      </c>
      <c r="I18" s="6">
        <v>1</v>
      </c>
      <c r="J18" s="1">
        <v>1.7500000000000002E-2</v>
      </c>
      <c r="K18" s="2">
        <v>2.0010408325195312E-2</v>
      </c>
      <c r="M18" s="29" t="s">
        <v>13</v>
      </c>
      <c r="N18" s="30"/>
      <c r="O18" s="31">
        <v>10912.119569706487</v>
      </c>
      <c r="P18" s="32"/>
      <c r="Q18" s="2"/>
      <c r="R18" s="2"/>
      <c r="S18" s="2"/>
      <c r="T18" s="2"/>
    </row>
    <row r="19" spans="1:20" ht="19.5" customHeight="1" x14ac:dyDescent="0.35">
      <c r="A19" s="2">
        <f t="shared" si="2"/>
        <v>19</v>
      </c>
      <c r="B19" s="3">
        <f t="shared" si="4"/>
        <v>44119</v>
      </c>
      <c r="C19" s="4">
        <v>3.7999999999999999E-2</v>
      </c>
      <c r="D19" s="3">
        <f t="shared" si="3"/>
        <v>44122</v>
      </c>
      <c r="G19" s="6">
        <v>2</v>
      </c>
      <c r="H19" s="1">
        <v>0</v>
      </c>
      <c r="I19" s="6">
        <v>2</v>
      </c>
      <c r="J19" s="1">
        <f>J18+0.0012</f>
        <v>1.8700000000000001E-2</v>
      </c>
      <c r="K19" s="2">
        <v>2.2004406738281246E-2</v>
      </c>
      <c r="M19" s="29" t="s">
        <v>14</v>
      </c>
      <c r="N19" s="30"/>
      <c r="O19" s="31">
        <v>-9.7030421751554861E-260</v>
      </c>
      <c r="P19" s="32"/>
      <c r="Q19" s="2"/>
      <c r="R19" s="2"/>
      <c r="S19" s="2"/>
      <c r="T19" s="2"/>
    </row>
    <row r="20" spans="1:20" ht="19.5" customHeight="1" x14ac:dyDescent="0.35">
      <c r="A20" s="2">
        <f t="shared" si="2"/>
        <v>20</v>
      </c>
      <c r="B20" s="3">
        <f t="shared" si="4"/>
        <v>44301</v>
      </c>
      <c r="C20" s="4">
        <v>3.7999999999999999E-2</v>
      </c>
      <c r="D20" s="3">
        <f t="shared" si="3"/>
        <v>44304</v>
      </c>
      <c r="G20" s="6">
        <v>3</v>
      </c>
      <c r="H20" s="1">
        <v>0</v>
      </c>
      <c r="I20" s="6">
        <v>3</v>
      </c>
      <c r="J20" s="1">
        <f>J19+0.0012</f>
        <v>1.9900000000000001E-2</v>
      </c>
      <c r="K20" s="2">
        <v>2.3001405944824221E-2</v>
      </c>
      <c r="M20" s="29" t="s">
        <v>15</v>
      </c>
      <c r="N20" s="30"/>
      <c r="O20" s="31">
        <v>10912.119569706487</v>
      </c>
      <c r="P20" s="32"/>
      <c r="Q20" s="2"/>
      <c r="R20" s="2"/>
      <c r="S20" s="2"/>
      <c r="T20" s="2"/>
    </row>
    <row r="21" spans="1:20" ht="19.5" customHeight="1" x14ac:dyDescent="0.35">
      <c r="A21" s="2">
        <f t="shared" si="2"/>
        <v>21</v>
      </c>
      <c r="B21" s="3">
        <f t="shared" si="4"/>
        <v>44484</v>
      </c>
      <c r="C21" s="4">
        <v>3.7999999999999999E-2</v>
      </c>
      <c r="D21" s="3">
        <f t="shared" si="3"/>
        <v>44487</v>
      </c>
      <c r="G21" s="6">
        <v>5</v>
      </c>
      <c r="H21" s="1">
        <v>0</v>
      </c>
      <c r="I21" s="6">
        <v>5</v>
      </c>
      <c r="J21" s="1">
        <f>J20+0.0012</f>
        <v>2.1100000000000001E-2</v>
      </c>
      <c r="K21" s="2">
        <v>2.399840515136719E-2</v>
      </c>
      <c r="M21" s="2"/>
      <c r="N21" s="2"/>
      <c r="O21" s="2"/>
      <c r="P21" s="2"/>
      <c r="Q21" s="2"/>
      <c r="R21" s="2"/>
      <c r="S21" s="2"/>
      <c r="T21" s="2"/>
    </row>
    <row r="22" spans="1:20" ht="19.5" customHeight="1" x14ac:dyDescent="0.35">
      <c r="A22" s="2">
        <f t="shared" si="2"/>
        <v>22</v>
      </c>
      <c r="B22" s="3">
        <f t="shared" si="4"/>
        <v>44666</v>
      </c>
      <c r="C22" s="4">
        <v>3.7999999999999999E-2</v>
      </c>
      <c r="D22" s="3">
        <f t="shared" si="3"/>
        <v>44669</v>
      </c>
      <c r="G22" s="6">
        <v>7</v>
      </c>
      <c r="H22" s="1">
        <v>0</v>
      </c>
      <c r="I22" s="6">
        <v>7</v>
      </c>
      <c r="J22" s="1">
        <f>J21+0.0012</f>
        <v>2.23E-2</v>
      </c>
      <c r="K22" s="2">
        <v>2.501514980929239E-2</v>
      </c>
      <c r="M22" s="29" t="s">
        <v>16</v>
      </c>
      <c r="N22" s="30"/>
      <c r="O22" s="31">
        <v>5.9634724563011332</v>
      </c>
      <c r="P22" s="32"/>
      <c r="Q22" s="2"/>
      <c r="R22" s="2"/>
      <c r="S22" s="2"/>
      <c r="T22" s="2"/>
    </row>
    <row r="23" spans="1:20" ht="19.5" customHeight="1" x14ac:dyDescent="0.35">
      <c r="A23" s="2">
        <f t="shared" si="2"/>
        <v>23</v>
      </c>
      <c r="B23" s="3">
        <f t="shared" si="4"/>
        <v>44849</v>
      </c>
      <c r="C23" s="4">
        <v>3.7999999999999999E-2</v>
      </c>
      <c r="D23" s="3">
        <f t="shared" si="3"/>
        <v>44852</v>
      </c>
      <c r="G23" s="6">
        <v>10</v>
      </c>
      <c r="H23" s="1">
        <v>0</v>
      </c>
      <c r="I23" s="6">
        <v>10</v>
      </c>
      <c r="J23" s="1">
        <f>J22+0.0012</f>
        <v>2.35E-2</v>
      </c>
      <c r="K23" s="2">
        <v>2.6013442314263436E-2</v>
      </c>
      <c r="M23" s="29" t="s">
        <v>17</v>
      </c>
      <c r="N23" s="30"/>
      <c r="O23" s="31">
        <v>3.431309042560315</v>
      </c>
      <c r="P23" s="32"/>
      <c r="Q23" s="2"/>
      <c r="R23" s="2"/>
      <c r="S23" s="2"/>
      <c r="T23" s="2"/>
    </row>
    <row r="24" spans="1:20" ht="19.5" customHeight="1" x14ac:dyDescent="0.35">
      <c r="A24" s="2">
        <f t="shared" si="2"/>
        <v>24</v>
      </c>
      <c r="B24" s="3">
        <f t="shared" si="4"/>
        <v>45031</v>
      </c>
      <c r="C24" s="4">
        <v>3.7999999999999999E-2</v>
      </c>
      <c r="D24" s="3">
        <f t="shared" si="3"/>
        <v>45034</v>
      </c>
      <c r="G24" s="6"/>
      <c r="H24" s="1"/>
      <c r="I24" s="6"/>
      <c r="J24" s="1"/>
      <c r="M24" s="29" t="s">
        <v>18</v>
      </c>
      <c r="N24" s="30"/>
      <c r="O24" s="31">
        <v>0</v>
      </c>
      <c r="P24" s="32"/>
      <c r="Q24" s="2"/>
      <c r="R24" s="2"/>
      <c r="S24" s="2"/>
      <c r="T24" s="2"/>
    </row>
    <row r="25" spans="1:20" ht="19.5" customHeight="1" x14ac:dyDescent="0.4">
      <c r="A25" s="2">
        <f t="shared" si="2"/>
        <v>25</v>
      </c>
      <c r="B25" s="3">
        <f t="shared" si="4"/>
        <v>45214</v>
      </c>
      <c r="C25" s="4">
        <v>3.7999999999999999E-2</v>
      </c>
      <c r="D25" s="3">
        <f t="shared" si="3"/>
        <v>45217</v>
      </c>
      <c r="M25" s="2"/>
      <c r="N25" s="2"/>
      <c r="O25" s="2"/>
      <c r="P25" s="2"/>
      <c r="Q25" s="2"/>
      <c r="R25" s="2"/>
      <c r="S25" s="2"/>
      <c r="T25" s="2"/>
    </row>
    <row r="26" spans="1:20" ht="19.5" customHeight="1" x14ac:dyDescent="0.4">
      <c r="A26" s="2">
        <f t="shared" si="2"/>
        <v>26</v>
      </c>
      <c r="B26" s="3">
        <f t="shared" si="4"/>
        <v>45397</v>
      </c>
      <c r="C26" s="4">
        <v>3.7999999999999999E-2</v>
      </c>
      <c r="D26" s="3">
        <f t="shared" si="3"/>
        <v>45400</v>
      </c>
      <c r="M26" s="2"/>
      <c r="N26" s="2"/>
      <c r="O26" s="2"/>
      <c r="P26" s="2"/>
      <c r="Q26" s="2"/>
      <c r="R26" s="2"/>
      <c r="S26" s="2"/>
      <c r="T26" s="2"/>
    </row>
    <row r="27" spans="1:20" ht="19.5" customHeight="1" x14ac:dyDescent="0.4">
      <c r="A27" s="2">
        <f t="shared" si="2"/>
        <v>27</v>
      </c>
      <c r="B27" s="3">
        <f t="shared" si="4"/>
        <v>45580</v>
      </c>
      <c r="C27" s="4">
        <v>3.7999999999999999E-2</v>
      </c>
      <c r="D27" s="3">
        <f t="shared" si="3"/>
        <v>45583</v>
      </c>
      <c r="M27" s="2"/>
      <c r="N27" s="2"/>
      <c r="O27" s="2"/>
      <c r="P27" s="2"/>
      <c r="Q27" s="2"/>
      <c r="R27" s="2"/>
      <c r="S27" s="2"/>
      <c r="T27" s="2"/>
    </row>
    <row r="28" spans="1:20" ht="19.5" customHeight="1" x14ac:dyDescent="0.4">
      <c r="A28" s="2">
        <f t="shared" si="2"/>
        <v>28</v>
      </c>
      <c r="M28" s="28" t="s">
        <v>19</v>
      </c>
      <c r="N28" s="28"/>
      <c r="O28" s="28" t="s">
        <v>20</v>
      </c>
      <c r="P28" s="28"/>
      <c r="Q28" s="28" t="s">
        <v>21</v>
      </c>
      <c r="R28" s="28"/>
      <c r="S28" s="28" t="s">
        <v>22</v>
      </c>
      <c r="T28" s="28"/>
    </row>
    <row r="29" spans="1:20" ht="19.5" customHeight="1" x14ac:dyDescent="0.4">
      <c r="A29" s="2">
        <f t="shared" si="2"/>
        <v>29</v>
      </c>
      <c r="M29" s="27" t="s">
        <v>11</v>
      </c>
      <c r="N29" s="27" t="s">
        <v>16</v>
      </c>
      <c r="O29" s="27" t="s">
        <v>11</v>
      </c>
      <c r="P29" s="27" t="s">
        <v>23</v>
      </c>
      <c r="Q29" s="27" t="s">
        <v>11</v>
      </c>
      <c r="R29" s="27" t="s">
        <v>24</v>
      </c>
      <c r="S29" s="27" t="s">
        <v>11</v>
      </c>
      <c r="T29" s="27" t="s">
        <v>25</v>
      </c>
    </row>
    <row r="30" spans="1:20" ht="19.5" customHeight="1" x14ac:dyDescent="0.35">
      <c r="A30" s="2">
        <f t="shared" si="2"/>
        <v>30</v>
      </c>
      <c r="M30" s="19">
        <v>0.25</v>
      </c>
      <c r="N30" s="20">
        <v>7.5415300671011209E-9</v>
      </c>
      <c r="O30" s="19">
        <v>0.25</v>
      </c>
      <c r="P30" s="21">
        <v>1.4551915228366852E-11</v>
      </c>
      <c r="Q30" s="19">
        <v>0.25</v>
      </c>
      <c r="R30" s="22">
        <v>3.0694631277583539E-5</v>
      </c>
      <c r="S30" s="19">
        <v>0.25</v>
      </c>
      <c r="T30" s="21">
        <v>-3.041350282728672E-9</v>
      </c>
    </row>
    <row r="31" spans="1:20" ht="19.5" customHeight="1" x14ac:dyDescent="0.35">
      <c r="A31" s="2">
        <f t="shared" si="2"/>
        <v>31</v>
      </c>
      <c r="M31" s="19">
        <v>0.5</v>
      </c>
      <c r="N31" s="20">
        <v>9.3809239106121822E-3</v>
      </c>
      <c r="O31" s="19">
        <v>0.5</v>
      </c>
      <c r="P31" s="21">
        <v>4.5609340304508805E-7</v>
      </c>
      <c r="Q31" s="19">
        <v>0.5</v>
      </c>
      <c r="R31" s="22">
        <v>5.5710755359541508E-3</v>
      </c>
      <c r="S31" s="19">
        <v>0.5</v>
      </c>
      <c r="T31" s="21">
        <v>2.7344503905624151E-7</v>
      </c>
    </row>
    <row r="32" spans="1:20" ht="19.5" customHeight="1" x14ac:dyDescent="0.35">
      <c r="A32" s="2">
        <f t="shared" si="2"/>
        <v>32</v>
      </c>
      <c r="M32" s="19">
        <v>1</v>
      </c>
      <c r="N32" s="20">
        <v>3.2192515633141738E-2</v>
      </c>
      <c r="O32" s="19">
        <v>1</v>
      </c>
      <c r="P32" s="21">
        <v>2.1016858227085322E-6</v>
      </c>
      <c r="Q32" s="19">
        <v>1</v>
      </c>
      <c r="R32" s="22">
        <v>1.9395351807361294E-2</v>
      </c>
      <c r="S32" s="19">
        <v>1</v>
      </c>
      <c r="T32" s="21">
        <v>1.3230092008598149E-6</v>
      </c>
    </row>
    <row r="33" spans="1:20" ht="19.5" customHeight="1" x14ac:dyDescent="0.35">
      <c r="A33" s="2">
        <f t="shared" si="2"/>
        <v>33</v>
      </c>
      <c r="M33" s="19">
        <v>2</v>
      </c>
      <c r="N33" s="20">
        <v>7.2089782270268188E-2</v>
      </c>
      <c r="O33" s="19">
        <v>2</v>
      </c>
      <c r="P33" s="21">
        <v>8.8742126536089927E-6</v>
      </c>
      <c r="Q33" s="19">
        <v>2</v>
      </c>
      <c r="R33" s="22">
        <v>4.3286388146952959E-2</v>
      </c>
      <c r="S33" s="19">
        <v>2</v>
      </c>
      <c r="T33" s="21">
        <v>5.5605014495085925E-6</v>
      </c>
    </row>
    <row r="34" spans="1:20" ht="19.5" customHeight="1" x14ac:dyDescent="0.35">
      <c r="A34" s="2">
        <f t="shared" si="2"/>
        <v>34</v>
      </c>
      <c r="M34" s="19">
        <v>3</v>
      </c>
      <c r="N34" s="20">
        <v>0.17453639881114213</v>
      </c>
      <c r="O34" s="19">
        <v>3</v>
      </c>
      <c r="P34" s="21">
        <v>3.3327116398140788E-5</v>
      </c>
      <c r="Q34" s="19">
        <v>3</v>
      </c>
      <c r="R34" s="22">
        <v>0.10397668275618344</v>
      </c>
      <c r="S34" s="19">
        <v>3</v>
      </c>
      <c r="T34" s="21">
        <v>2.0599927665898576E-5</v>
      </c>
    </row>
    <row r="35" spans="1:20" ht="19.5" customHeight="1" x14ac:dyDescent="0.35">
      <c r="A35" s="2">
        <f t="shared" si="2"/>
        <v>35</v>
      </c>
      <c r="M35" s="19">
        <v>5</v>
      </c>
      <c r="N35" s="20">
        <v>2.9345882541365427</v>
      </c>
      <c r="O35" s="19">
        <v>5</v>
      </c>
      <c r="P35" s="21">
        <v>7.5328084130887873E-4</v>
      </c>
      <c r="Q35" s="19">
        <v>5</v>
      </c>
      <c r="R35" s="22">
        <v>1.6910341358616279</v>
      </c>
      <c r="S35" s="19">
        <v>5</v>
      </c>
      <c r="T35" s="21">
        <v>4.4404497384675778E-4</v>
      </c>
    </row>
    <row r="36" spans="1:20" ht="19.5" customHeight="1" x14ac:dyDescent="0.35">
      <c r="A36" s="2">
        <f t="shared" si="2"/>
        <v>36</v>
      </c>
      <c r="M36" s="19">
        <v>7</v>
      </c>
      <c r="N36" s="20">
        <v>2.7406842825093918</v>
      </c>
      <c r="O36" s="19">
        <v>7</v>
      </c>
      <c r="P36" s="21">
        <v>6.8360427030711435E-4</v>
      </c>
      <c r="Q36" s="19">
        <v>7</v>
      </c>
      <c r="R36" s="22">
        <v>1.5680145426731542</v>
      </c>
      <c r="S36" s="19">
        <v>7</v>
      </c>
      <c r="T36" s="21">
        <v>4.0033142431639135E-4</v>
      </c>
    </row>
    <row r="37" spans="1:20" ht="19.5" customHeight="1" x14ac:dyDescent="0.35">
      <c r="A37" s="2">
        <f t="shared" si="2"/>
        <v>37</v>
      </c>
      <c r="M37" s="19">
        <v>10</v>
      </c>
      <c r="N37" s="20">
        <v>0</v>
      </c>
      <c r="O37" s="19">
        <v>10</v>
      </c>
      <c r="P37" s="21">
        <v>0</v>
      </c>
      <c r="Q37" s="19">
        <v>10</v>
      </c>
      <c r="R37" s="22">
        <v>0</v>
      </c>
      <c r="S37" s="19">
        <v>10</v>
      </c>
      <c r="T37" s="21">
        <v>0</v>
      </c>
    </row>
    <row r="38" spans="1:20" ht="19.5" customHeight="1" x14ac:dyDescent="0.4">
      <c r="A38" s="2">
        <f t="shared" si="2"/>
        <v>38</v>
      </c>
    </row>
    <row r="39" spans="1:20" ht="19.5" customHeight="1" x14ac:dyDescent="0.4">
      <c r="A39" s="2">
        <f t="shared" si="2"/>
        <v>39</v>
      </c>
    </row>
    <row r="40" spans="1:20" ht="19.5" customHeight="1" x14ac:dyDescent="0.4">
      <c r="A40" s="2">
        <f t="shared" si="2"/>
        <v>40</v>
      </c>
    </row>
    <row r="41" spans="1:20" ht="19.5" customHeight="1" x14ac:dyDescent="0.4">
      <c r="A41" s="2">
        <f t="shared" si="2"/>
        <v>41</v>
      </c>
    </row>
    <row r="42" spans="1:20" ht="19.5" customHeight="1" x14ac:dyDescent="0.4">
      <c r="A42" s="2">
        <f t="shared" si="2"/>
        <v>42</v>
      </c>
    </row>
    <row r="43" spans="1:20" ht="19.5" customHeight="1" x14ac:dyDescent="0.4">
      <c r="A43" s="2">
        <f t="shared" si="2"/>
        <v>43</v>
      </c>
    </row>
    <row r="44" spans="1:20" ht="19.5" customHeight="1" x14ac:dyDescent="0.4">
      <c r="A44" s="2">
        <f t="shared" si="2"/>
        <v>44</v>
      </c>
    </row>
    <row r="45" spans="1:20" ht="19.5" customHeight="1" x14ac:dyDescent="0.4">
      <c r="A45" s="2">
        <f t="shared" si="2"/>
        <v>45</v>
      </c>
    </row>
    <row r="46" spans="1:20" ht="19.5" customHeight="1" x14ac:dyDescent="0.4">
      <c r="A46" s="2">
        <f t="shared" si="2"/>
        <v>46</v>
      </c>
    </row>
    <row r="47" spans="1:20" ht="19.5" customHeight="1" x14ac:dyDescent="0.4">
      <c r="A47" s="2">
        <f t="shared" si="2"/>
        <v>47</v>
      </c>
    </row>
    <row r="48" spans="1:20" ht="19.5" customHeight="1" x14ac:dyDescent="0.4">
      <c r="A48" s="2">
        <f t="shared" si="2"/>
        <v>48</v>
      </c>
    </row>
    <row r="49" spans="1:1" ht="19.5" customHeight="1" x14ac:dyDescent="0.4">
      <c r="A49" s="2">
        <f t="shared" si="2"/>
        <v>49</v>
      </c>
    </row>
    <row r="50" spans="1:1" ht="19.5" customHeight="1" x14ac:dyDescent="0.4">
      <c r="A50" s="2">
        <f t="shared" si="2"/>
        <v>50</v>
      </c>
    </row>
    <row r="51" spans="1:1" ht="19.5" customHeight="1" x14ac:dyDescent="0.4">
      <c r="A51" s="2">
        <f t="shared" si="2"/>
        <v>51</v>
      </c>
    </row>
    <row r="52" spans="1:1" ht="19.5" customHeight="1" x14ac:dyDescent="0.4">
      <c r="A52" s="2">
        <f t="shared" si="2"/>
        <v>52</v>
      </c>
    </row>
    <row r="53" spans="1:1" ht="19.5" customHeight="1" x14ac:dyDescent="0.4">
      <c r="A53" s="2">
        <f t="shared" si="2"/>
        <v>53</v>
      </c>
    </row>
    <row r="54" spans="1:1" ht="19.5" customHeight="1" x14ac:dyDescent="0.4">
      <c r="A54" s="2">
        <f t="shared" si="2"/>
        <v>54</v>
      </c>
    </row>
    <row r="55" spans="1:1" ht="19.5" customHeight="1" x14ac:dyDescent="0.4">
      <c r="A55" s="2">
        <f t="shared" si="2"/>
        <v>55</v>
      </c>
    </row>
    <row r="56" spans="1:1" ht="19.5" customHeight="1" x14ac:dyDescent="0.4">
      <c r="A56" s="2">
        <f t="shared" si="2"/>
        <v>56</v>
      </c>
    </row>
    <row r="57" spans="1:1" ht="19.5" customHeight="1" x14ac:dyDescent="0.4">
      <c r="A57" s="2">
        <f t="shared" si="2"/>
        <v>57</v>
      </c>
    </row>
    <row r="58" spans="1:1" ht="19.5" customHeight="1" x14ac:dyDescent="0.4">
      <c r="A58" s="2">
        <f t="shared" si="2"/>
        <v>58</v>
      </c>
    </row>
    <row r="59" spans="1:1" ht="19.5" customHeight="1" x14ac:dyDescent="0.4">
      <c r="A59" s="2">
        <f t="shared" si="2"/>
        <v>59</v>
      </c>
    </row>
    <row r="60" spans="1:1" ht="19.5" customHeight="1" x14ac:dyDescent="0.4">
      <c r="A60" s="2">
        <f t="shared" si="2"/>
        <v>60</v>
      </c>
    </row>
    <row r="61" spans="1:1" ht="19.5" customHeight="1" x14ac:dyDescent="0.4">
      <c r="A61" s="2">
        <f t="shared" si="2"/>
        <v>61</v>
      </c>
    </row>
    <row r="62" spans="1:1" ht="19.5" customHeight="1" x14ac:dyDescent="0.4">
      <c r="A62" s="2">
        <f t="shared" si="2"/>
        <v>62</v>
      </c>
    </row>
    <row r="63" spans="1:1" ht="19.5" customHeight="1" x14ac:dyDescent="0.4">
      <c r="A63" s="2">
        <f t="shared" si="2"/>
        <v>63</v>
      </c>
    </row>
    <row r="64" spans="1:1" ht="19.5" customHeight="1" x14ac:dyDescent="0.4">
      <c r="A64" s="2">
        <f t="shared" si="2"/>
        <v>64</v>
      </c>
    </row>
    <row r="65" spans="1:1" ht="19.5" customHeight="1" x14ac:dyDescent="0.4">
      <c r="A65" s="2">
        <f t="shared" si="2"/>
        <v>65</v>
      </c>
    </row>
    <row r="66" spans="1:1" ht="19.5" customHeight="1" x14ac:dyDescent="0.4">
      <c r="A66" s="2">
        <f t="shared" si="2"/>
        <v>66</v>
      </c>
    </row>
    <row r="67" spans="1:1" ht="19.5" customHeight="1" x14ac:dyDescent="0.4">
      <c r="A67" s="2">
        <f t="shared" si="2"/>
        <v>67</v>
      </c>
    </row>
    <row r="68" spans="1:1" ht="19.5" customHeight="1" x14ac:dyDescent="0.4">
      <c r="A68" s="2">
        <f t="shared" si="2"/>
        <v>68</v>
      </c>
    </row>
    <row r="69" spans="1:1" ht="19.5" customHeight="1" x14ac:dyDescent="0.4">
      <c r="A69" s="2">
        <f t="shared" si="2"/>
        <v>69</v>
      </c>
    </row>
    <row r="70" spans="1:1" ht="19.5" customHeight="1" x14ac:dyDescent="0.4">
      <c r="A70" s="2">
        <f t="shared" si="2"/>
        <v>70</v>
      </c>
    </row>
    <row r="71" spans="1:1" ht="19.5" customHeight="1" x14ac:dyDescent="0.4">
      <c r="A71" s="2">
        <f t="shared" ref="A71:A90" si="5">A70+1</f>
        <v>71</v>
      </c>
    </row>
    <row r="72" spans="1:1" ht="19.5" customHeight="1" x14ac:dyDescent="0.4">
      <c r="A72" s="2">
        <f t="shared" si="5"/>
        <v>72</v>
      </c>
    </row>
    <row r="73" spans="1:1" ht="19.5" customHeight="1" x14ac:dyDescent="0.4">
      <c r="A73" s="2">
        <f t="shared" si="5"/>
        <v>73</v>
      </c>
    </row>
    <row r="74" spans="1:1" ht="19.5" customHeight="1" x14ac:dyDescent="0.4">
      <c r="A74" s="2">
        <f t="shared" si="5"/>
        <v>74</v>
      </c>
    </row>
    <row r="75" spans="1:1" ht="19.5" customHeight="1" x14ac:dyDescent="0.4">
      <c r="A75" s="2">
        <f t="shared" si="5"/>
        <v>75</v>
      </c>
    </row>
    <row r="76" spans="1:1" ht="19.5" customHeight="1" x14ac:dyDescent="0.4">
      <c r="A76" s="2">
        <f t="shared" si="5"/>
        <v>76</v>
      </c>
    </row>
    <row r="77" spans="1:1" ht="19.5" customHeight="1" x14ac:dyDescent="0.4">
      <c r="A77" s="2">
        <f t="shared" si="5"/>
        <v>77</v>
      </c>
    </row>
    <row r="78" spans="1:1" ht="19.5" customHeight="1" x14ac:dyDescent="0.4">
      <c r="A78" s="2">
        <f t="shared" si="5"/>
        <v>78</v>
      </c>
    </row>
    <row r="79" spans="1:1" ht="19.5" customHeight="1" x14ac:dyDescent="0.4">
      <c r="A79" s="2">
        <f t="shared" si="5"/>
        <v>79</v>
      </c>
    </row>
    <row r="80" spans="1:1" ht="19.5" customHeight="1" x14ac:dyDescent="0.4">
      <c r="A80" s="2">
        <f t="shared" si="5"/>
        <v>80</v>
      </c>
    </row>
    <row r="81" spans="1:1" ht="19.5" customHeight="1" x14ac:dyDescent="0.4">
      <c r="A81" s="2">
        <f t="shared" si="5"/>
        <v>81</v>
      </c>
    </row>
    <row r="82" spans="1:1" ht="19.5" customHeight="1" x14ac:dyDescent="0.4">
      <c r="A82" s="2">
        <f t="shared" si="5"/>
        <v>82</v>
      </c>
    </row>
    <row r="83" spans="1:1" ht="19.5" customHeight="1" x14ac:dyDescent="0.4">
      <c r="A83" s="2">
        <f t="shared" si="5"/>
        <v>83</v>
      </c>
    </row>
    <row r="84" spans="1:1" ht="19.5" customHeight="1" x14ac:dyDescent="0.4">
      <c r="A84" s="2">
        <f t="shared" si="5"/>
        <v>84</v>
      </c>
    </row>
    <row r="85" spans="1:1" ht="19.5" customHeight="1" x14ac:dyDescent="0.4">
      <c r="A85" s="2">
        <f t="shared" si="5"/>
        <v>85</v>
      </c>
    </row>
    <row r="86" spans="1:1" ht="19.5" customHeight="1" x14ac:dyDescent="0.4">
      <c r="A86" s="2">
        <f t="shared" si="5"/>
        <v>86</v>
      </c>
    </row>
    <row r="87" spans="1:1" ht="19.5" customHeight="1" x14ac:dyDescent="0.4">
      <c r="A87" s="2">
        <f t="shared" si="5"/>
        <v>87</v>
      </c>
    </row>
    <row r="88" spans="1:1" ht="19.5" customHeight="1" x14ac:dyDescent="0.4">
      <c r="A88" s="2">
        <f t="shared" si="5"/>
        <v>88</v>
      </c>
    </row>
    <row r="89" spans="1:1" ht="19.5" customHeight="1" x14ac:dyDescent="0.4">
      <c r="A89" s="2">
        <f t="shared" si="5"/>
        <v>89</v>
      </c>
    </row>
    <row r="90" spans="1:1" ht="19.5" customHeight="1" x14ac:dyDescent="0.4">
      <c r="A90" s="2">
        <f t="shared" si="5"/>
        <v>90</v>
      </c>
    </row>
  </sheetData>
  <mergeCells count="45">
    <mergeCell ref="L3:M3"/>
    <mergeCell ref="B5:C5"/>
    <mergeCell ref="D5:E5"/>
    <mergeCell ref="B6:C6"/>
    <mergeCell ref="D6:E6"/>
    <mergeCell ref="F6:G9"/>
    <mergeCell ref="B8:C8"/>
    <mergeCell ref="D8:E8"/>
    <mergeCell ref="J6:K6"/>
    <mergeCell ref="M6:N6"/>
    <mergeCell ref="J8:K8"/>
    <mergeCell ref="H9:I9"/>
    <mergeCell ref="J9:K9"/>
    <mergeCell ref="M9:N9"/>
    <mergeCell ref="O6:P6"/>
    <mergeCell ref="B7:C7"/>
    <mergeCell ref="D7:E7"/>
    <mergeCell ref="H7:I7"/>
    <mergeCell ref="J7:K7"/>
    <mergeCell ref="H6:I6"/>
    <mergeCell ref="O9:P9"/>
    <mergeCell ref="H8:I8"/>
    <mergeCell ref="M20:N20"/>
    <mergeCell ref="O20:P20"/>
    <mergeCell ref="B12:F12"/>
    <mergeCell ref="G12:H12"/>
    <mergeCell ref="I12:J12"/>
    <mergeCell ref="B13:D13"/>
    <mergeCell ref="E13:F14"/>
    <mergeCell ref="M16:N16"/>
    <mergeCell ref="O16:P16"/>
    <mergeCell ref="M18:N18"/>
    <mergeCell ref="O18:P18"/>
    <mergeCell ref="M19:N19"/>
    <mergeCell ref="O19:P19"/>
    <mergeCell ref="M28:N28"/>
    <mergeCell ref="O28:P28"/>
    <mergeCell ref="Q28:R28"/>
    <mergeCell ref="S28:T28"/>
    <mergeCell ref="M22:N22"/>
    <mergeCell ref="O22:P22"/>
    <mergeCell ref="M23:N23"/>
    <mergeCell ref="O23:P23"/>
    <mergeCell ref="M24:N24"/>
    <mergeCell ref="O24:P2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13</xdr:col>
                    <xdr:colOff>0</xdr:colOff>
                    <xdr:row>10</xdr:row>
                    <xdr:rowOff>106680</xdr:rowOff>
                  </from>
                  <to>
                    <xdr:col>13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2022-01-18T00:29:12Z</dcterms:created>
  <dcterms:modified xsi:type="dcterms:W3CDTF">2023-05-04T02:03:42Z</dcterms:modified>
</cp:coreProperties>
</file>