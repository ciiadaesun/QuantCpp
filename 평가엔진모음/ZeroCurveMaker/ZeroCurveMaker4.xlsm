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<sst xmlns="http://schemas.openxmlformats.org/spreadsheetml/2006/main" count="21" uniqueCount="20">
  <si>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</si>
  <si>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</si>
  <si>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</si>
  <si>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</si>
  <si>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</si>
  <si>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</si>
  <si>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</si>
  <si>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</si>
  <si>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</si>
  <si>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</si>
  <si>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</si>
  <si>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</si>
  <si>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</si>
  <si>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</si>
  <si>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</si>
  <si>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</si>
  <si>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</si>
  <si>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</si>
  <si>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</si>
  <si>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TextDumpFlag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</si>
</sst>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0" fontId="3" fillId="3" borderId="0" xfId="1" applyNumberFormat="1" applyFont="1" applyFill="1" applyBorder="1">
      <alignment vertical="center"/>
    </xf>
    <xf numFmtId="10" fontId="3" fillId="2" borderId="0" xfId="1" applyNumberFormat="1" applyFont="1" applyFill="1" applyBorder="1">
      <alignment vertical="center"/>
    </xf>
    <xf numFmtId="10" fontId="3" fillId="2" borderId="8" xfId="1" applyNumberFormat="1" applyFont="1" applyFill="1" applyBorder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8.4541523742675762E-2</c:v>
                </c:pt>
                <c:pt idx="8">
                  <c:v>8.3706664929199232E-2</c:v>
                </c:pt>
                <c:pt idx="9">
                  <c:v>8.2836511230468757E-2</c:v>
                </c:pt>
                <c:pt idx="10">
                  <c:v>8.1901280212402353E-2</c:v>
                </c:pt>
                <c:pt idx="11">
                  <c:v>8.1993623352050793E-2</c:v>
                </c:pt>
                <c:pt idx="12">
                  <c:v>8.2204375122070322E-2</c:v>
                </c:pt>
                <c:pt idx="13">
                  <c:v>8.1275967407226563E-2</c:v>
                </c:pt>
                <c:pt idx="14">
                  <c:v>8.2438745117187517E-2</c:v>
                </c:pt>
                <c:pt idx="15">
                  <c:v>8.2803730444335921E-2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C3-489E-B5DC-9BE49E84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49024"/>
        <c:axId val="460549680"/>
      </c:scatterChart>
      <c:valAx>
        <c:axId val="46054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0549680"/>
        <c:crosses val="autoZero"/>
        <c:crossBetween val="midCat"/>
      </c:valAx>
      <c:valAx>
        <c:axId val="46054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0549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E1" zoomScale="115" zoomScaleNormal="115" workbookViewId="0">
      <selection activeCell="T27" sqref="T27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31"/>
    <col min="11" max="11" width="10.5" style="40"/>
    <col min="12" max="12" width="10.5" style="43"/>
    <col min="13" max="13" width="10.5" style="32"/>
    <col min="14" max="15" width="10.5" style="35"/>
    <col min="16" max="16" width="10.5" style="46"/>
    <col min="17" max="17" width="10.5" style="34"/>
    <col min="18" max="18" width="10.5" style="47" customWidth="1"/>
    <col min="19" max="19" width="10.5" style="20"/>
    <col min="20" max="20" width="10.5" style="8"/>
    <col min="21" max="21" width="10.5" style="18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2">
        <f t="shared" si="0"/>
        <v>9</v>
      </c>
      <c r="J1" s="32">
        <f t="shared" si="0"/>
        <v>10</v>
      </c>
      <c r="K1" s="32">
        <f t="shared" si="0"/>
        <v>11</v>
      </c>
      <c r="L1" s="32">
        <f t="shared" si="0"/>
        <v>12</v>
      </c>
      <c r="M1" s="32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2">
        <f t="shared" si="0"/>
        <v>17</v>
      </c>
      <c r="R1" s="32">
        <f t="shared" si="0"/>
        <v>18</v>
      </c>
      <c r="S1" s="32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2"/>
      <c r="J2" s="32"/>
      <c r="K2" s="32"/>
      <c r="L2" s="32"/>
      <c r="N2" s="1"/>
      <c r="O2" s="1"/>
      <c r="P2" s="1"/>
      <c r="Q2" s="32"/>
      <c r="R2" s="32"/>
      <c r="S2" s="32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2"/>
      <c r="J3" s="32"/>
      <c r="K3" s="32"/>
      <c r="L3" s="32"/>
      <c r="N3" s="1"/>
      <c r="O3" s="1"/>
      <c r="P3" s="1"/>
      <c r="Q3" s="32"/>
      <c r="R3" s="32"/>
      <c r="S3" s="32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2"/>
      <c r="J4" s="32"/>
      <c r="K4" s="32"/>
      <c r="L4" s="32"/>
      <c r="N4" s="1"/>
      <c r="O4" s="1"/>
      <c r="P4" s="1"/>
      <c r="Q4" s="32"/>
      <c r="R4" s="32"/>
      <c r="S4" s="32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55" t="s">
        <v>15</v>
      </c>
      <c r="J5" s="55"/>
      <c r="K5" s="28">
        <v>1</v>
      </c>
      <c r="L5" s="55" t="s">
        <v>19</v>
      </c>
      <c r="M5" s="55"/>
      <c r="N5" s="28">
        <v>1</v>
      </c>
      <c r="O5" s="1"/>
      <c r="P5" s="1"/>
      <c r="Q5" s="32"/>
      <c r="R5" s="32"/>
      <c r="S5" s="32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2"/>
      <c r="S6" s="32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2"/>
      <c r="J7" s="32"/>
      <c r="K7" s="32"/>
      <c r="L7" s="32"/>
      <c r="N7" s="32"/>
      <c r="O7" s="32"/>
      <c r="P7" s="32"/>
      <c r="Q7" s="32"/>
      <c r="R7" s="32"/>
      <c r="S7" s="32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7</v>
      </c>
      <c r="G9" s="5"/>
      <c r="I9" s="53" t="str">
        <f>IF(H5=0, "개수", "")</f>
        <v>개수</v>
      </c>
      <c r="J9" s="54"/>
      <c r="K9" s="21">
        <f>COUNT(I11:I100)</f>
        <v>0</v>
      </c>
      <c r="L9" s="21"/>
      <c r="M9" s="22"/>
      <c r="N9" s="54" t="s">
        <v>2</v>
      </c>
      <c r="O9" s="54"/>
      <c r="P9" s="21">
        <f>COUNT(N11:N1048576)</f>
        <v>9</v>
      </c>
      <c r="Q9" s="21"/>
      <c r="R9" s="22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23" t="str">
        <f>IF(H5=0, "Forward Start", "")</f>
        <v>Forward Start</v>
      </c>
      <c r="J10" s="24" t="str">
        <f>IF(H5=0, "Forward End", "")</f>
        <v>Forward End</v>
      </c>
      <c r="K10" s="24" t="str">
        <f>IF(H5=0, "PayDate", "")</f>
        <v>PayDate</v>
      </c>
      <c r="L10" s="24" t="str">
        <f>IF(H5=0, "Rate", "")</f>
        <v>Rate</v>
      </c>
      <c r="M10" s="25" t="str">
        <f>IF(H5=0, "1Y Convention", "")</f>
        <v>1Y Convention</v>
      </c>
      <c r="N10" s="24" t="str">
        <f>IF(H5=0,"스왑만기","채권만기")</f>
        <v>스왑만기</v>
      </c>
      <c r="O10" s="24" t="str">
        <f>IF(H5=0,"스왑지급일","채권지급일")</f>
        <v>스왑지급일</v>
      </c>
      <c r="P10" s="24" t="s">
        <v>18</v>
      </c>
      <c r="Q10" s="24" t="str">
        <f>IF(H5=0,"스왑금리","YTM")</f>
        <v>스왑금리</v>
      </c>
      <c r="R10" s="25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49">
        <v>8.2155394667057652E-2</v>
      </c>
      <c r="AB10" s="49"/>
    </row>
    <row r="11" spans="1:32" ht="14.25" customHeight="1" x14ac:dyDescent="0.4">
      <c r="A11" s="1">
        <f t="shared" si="5"/>
        <v>11</v>
      </c>
      <c r="E11" s="6">
        <v>44631</v>
      </c>
      <c r="F11" s="15">
        <v>3.8629999999999998E-2</v>
      </c>
      <c r="G11" s="3">
        <v>360</v>
      </c>
      <c r="I11" s="26"/>
      <c r="J11" s="27"/>
      <c r="K11" s="39"/>
      <c r="L11" s="42"/>
      <c r="M11" s="33"/>
      <c r="N11" s="35">
        <v>45361</v>
      </c>
      <c r="O11" s="35">
        <v>45361</v>
      </c>
      <c r="P11" s="45">
        <v>4</v>
      </c>
      <c r="Q11" s="34">
        <v>8.405E-2</v>
      </c>
      <c r="R11" s="47">
        <v>360</v>
      </c>
      <c r="S11" s="20">
        <v>3.8629999999999998E-2</v>
      </c>
      <c r="T11" s="8">
        <v>2.7397260273972603E-3</v>
      </c>
      <c r="U11" s="18">
        <v>3.916442653510576E-2</v>
      </c>
      <c r="V11" s="19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5">
        <v>4.3400000000000001E-2</v>
      </c>
      <c r="G12" s="3">
        <v>360</v>
      </c>
      <c r="I12" s="26"/>
      <c r="J12" s="27"/>
      <c r="K12" s="39"/>
      <c r="L12" s="42"/>
      <c r="M12" s="33"/>
      <c r="N12" s="35">
        <v>45726</v>
      </c>
      <c r="O12" s="35">
        <v>45726</v>
      </c>
      <c r="P12" s="45">
        <v>4</v>
      </c>
      <c r="Q12" s="34">
        <v>8.3349800000000002E-2</v>
      </c>
      <c r="R12" s="47">
        <v>360</v>
      </c>
      <c r="S12" s="20">
        <v>4.3400000000000001E-2</v>
      </c>
      <c r="T12" s="8">
        <v>9.5890410958904104E-2</v>
      </c>
      <c r="U12" s="18">
        <v>4.3910204453635346E-2</v>
      </c>
      <c r="V12" s="19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5">
        <v>5.9049999999999998E-2</v>
      </c>
      <c r="G13" s="3">
        <v>360</v>
      </c>
      <c r="I13" s="26"/>
      <c r="J13" s="27"/>
      <c r="K13" s="39"/>
      <c r="L13" s="42"/>
      <c r="M13" s="33"/>
      <c r="N13" s="35">
        <v>46091</v>
      </c>
      <c r="O13" s="35">
        <v>46091</v>
      </c>
      <c r="P13" s="45">
        <v>4</v>
      </c>
      <c r="Q13" s="34">
        <v>8.2600000000000007E-2</v>
      </c>
      <c r="R13" s="47">
        <v>360</v>
      </c>
      <c r="S13" s="20">
        <v>5.9049999999999998E-2</v>
      </c>
      <c r="T13" s="8">
        <v>0.25205479452054796</v>
      </c>
      <c r="U13" s="18">
        <v>5.9422895877575696E-2</v>
      </c>
      <c r="V13" s="19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5">
        <v>7.3050000000000004E-2</v>
      </c>
      <c r="G14" s="3">
        <v>360</v>
      </c>
      <c r="I14" s="26"/>
      <c r="J14" s="27"/>
      <c r="K14" s="39"/>
      <c r="L14" s="42"/>
      <c r="M14" s="33"/>
      <c r="N14" s="35">
        <v>46456</v>
      </c>
      <c r="O14" s="35">
        <v>46456</v>
      </c>
      <c r="P14" s="45">
        <v>4</v>
      </c>
      <c r="Q14" s="34">
        <v>8.1799999999999998E-2</v>
      </c>
      <c r="R14" s="47">
        <v>360</v>
      </c>
      <c r="S14" s="20">
        <v>7.3050000000000004E-2</v>
      </c>
      <c r="T14" s="8">
        <v>0.50410958904109593</v>
      </c>
      <c r="U14" s="18">
        <v>7.2715401189270987E-2</v>
      </c>
      <c r="V14" s="19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5">
        <v>8.0049999999999996E-2</v>
      </c>
      <c r="G15" s="3">
        <v>360</v>
      </c>
      <c r="I15" s="26"/>
      <c r="J15" s="27"/>
      <c r="K15" s="39"/>
      <c r="L15" s="42"/>
      <c r="M15" s="33"/>
      <c r="N15" s="35">
        <v>46822</v>
      </c>
      <c r="O15" s="35">
        <v>46822</v>
      </c>
      <c r="P15" s="45">
        <v>4</v>
      </c>
      <c r="Q15" s="34">
        <v>8.1850000000000006E-2</v>
      </c>
      <c r="R15" s="47">
        <v>360</v>
      </c>
      <c r="S15" s="20">
        <v>8.0049999999999996E-2</v>
      </c>
      <c r="T15" s="8">
        <v>0.75342465753424659</v>
      </c>
      <c r="U15" s="18">
        <v>7.8777049144192174E-2</v>
      </c>
      <c r="V15" s="19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5">
        <v>8.5349999999999995E-2</v>
      </c>
      <c r="G16" s="3">
        <v>360</v>
      </c>
      <c r="I16" s="26"/>
      <c r="J16" s="27"/>
      <c r="K16" s="39"/>
      <c r="L16" s="42"/>
      <c r="M16" s="33"/>
      <c r="N16" s="35">
        <v>47187</v>
      </c>
      <c r="O16" s="35">
        <v>47187</v>
      </c>
      <c r="P16" s="45">
        <v>4</v>
      </c>
      <c r="Q16" s="34">
        <v>8.1998000000000001E-2</v>
      </c>
      <c r="R16" s="47">
        <v>360</v>
      </c>
      <c r="S16" s="20">
        <v>8.5349999999999995E-2</v>
      </c>
      <c r="T16" s="8">
        <v>1</v>
      </c>
      <c r="U16" s="18">
        <v>8.299411720715931E-2</v>
      </c>
      <c r="V16" s="19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5">
        <v>8.8499999999999995E-2</v>
      </c>
      <c r="G17" s="3">
        <v>360</v>
      </c>
      <c r="I17" s="26"/>
      <c r="J17" s="27"/>
      <c r="K17" s="39"/>
      <c r="L17" s="42"/>
      <c r="M17" s="33"/>
      <c r="N17" s="35">
        <v>47552</v>
      </c>
      <c r="O17" s="35">
        <v>47552</v>
      </c>
      <c r="P17" s="45">
        <v>4</v>
      </c>
      <c r="Q17" s="34">
        <v>8.1299999999999997E-2</v>
      </c>
      <c r="R17" s="47">
        <v>360</v>
      </c>
      <c r="S17" s="20">
        <v>8.8499999999999995E-2</v>
      </c>
      <c r="T17" s="8">
        <v>1.5041095890410958</v>
      </c>
      <c r="U17" s="18">
        <v>8.4169140109450383E-2</v>
      </c>
      <c r="V17" s="19">
        <v>0.88108637950593072</v>
      </c>
    </row>
    <row r="18" spans="1:22" ht="14.25" customHeight="1" x14ac:dyDescent="0.4">
      <c r="A18" s="1">
        <f t="shared" si="5"/>
        <v>18</v>
      </c>
      <c r="I18" s="30"/>
      <c r="M18" s="29"/>
      <c r="N18" s="35">
        <v>47917</v>
      </c>
      <c r="O18" s="35">
        <v>47917</v>
      </c>
      <c r="P18" s="45">
        <v>4</v>
      </c>
      <c r="Q18" s="34">
        <v>8.2100000000000006E-2</v>
      </c>
      <c r="R18" s="47">
        <v>360</v>
      </c>
      <c r="S18" s="20">
        <v>8.405E-2</v>
      </c>
      <c r="T18" s="8">
        <v>2.0027397260273974</v>
      </c>
      <c r="U18" s="18">
        <v>8.4541523742675762E-2</v>
      </c>
      <c r="V18" s="19">
        <v>0.8442432051809371</v>
      </c>
    </row>
    <row r="19" spans="1:22" ht="14.25" customHeight="1" x14ac:dyDescent="0.4">
      <c r="A19" s="1">
        <f t="shared" si="5"/>
        <v>19</v>
      </c>
      <c r="I19" s="30"/>
      <c r="M19" s="29"/>
      <c r="N19" s="35">
        <v>48283</v>
      </c>
      <c r="O19" s="35">
        <v>48283</v>
      </c>
      <c r="P19" s="45">
        <v>4</v>
      </c>
      <c r="Q19" s="34">
        <v>8.2349400000000003E-2</v>
      </c>
      <c r="R19" s="47">
        <v>360</v>
      </c>
      <c r="S19" s="20">
        <v>8.3349800000000002E-2</v>
      </c>
      <c r="T19" s="8">
        <v>3.0027397260273974</v>
      </c>
      <c r="U19" s="18">
        <v>8.3706664929199232E-2</v>
      </c>
      <c r="V19" s="19">
        <v>0.77775063393512134</v>
      </c>
    </row>
    <row r="20" spans="1:22" ht="14.25" customHeight="1" x14ac:dyDescent="0.4">
      <c r="A20" s="1">
        <f t="shared" si="5"/>
        <v>20</v>
      </c>
      <c r="I20" s="30"/>
      <c r="M20" s="29"/>
      <c r="S20" s="20">
        <v>8.2600000000000007E-2</v>
      </c>
      <c r="T20" s="8">
        <v>4.0027397260273974</v>
      </c>
      <c r="U20" s="18">
        <v>8.2836511230468757E-2</v>
      </c>
      <c r="V20" s="19">
        <v>0.71779375947458668</v>
      </c>
    </row>
    <row r="21" spans="1:22" ht="14.25" customHeight="1" x14ac:dyDescent="0.4">
      <c r="A21" s="1">
        <f t="shared" si="5"/>
        <v>21</v>
      </c>
      <c r="I21" s="30"/>
      <c r="M21" s="29"/>
      <c r="S21" s="20">
        <v>8.1799999999999998E-2</v>
      </c>
      <c r="T21" s="8">
        <v>5.0027397260273974</v>
      </c>
      <c r="U21" s="18">
        <v>8.1901280212402353E-2</v>
      </c>
      <c r="V21" s="19">
        <v>0.66382893671165755</v>
      </c>
    </row>
    <row r="22" spans="1:22" ht="14.25" customHeight="1" x14ac:dyDescent="0.4">
      <c r="A22" s="1">
        <f t="shared" si="5"/>
        <v>22</v>
      </c>
      <c r="I22" s="30"/>
      <c r="M22" s="29"/>
      <c r="S22" s="20">
        <v>8.1850000000000006E-2</v>
      </c>
      <c r="T22" s="8">
        <v>6.0054794520547947</v>
      </c>
      <c r="U22" s="18">
        <v>8.1993623352050793E-2</v>
      </c>
      <c r="V22" s="19">
        <v>0.61115111872246874</v>
      </c>
    </row>
    <row r="23" spans="1:22" ht="14.25" customHeight="1" x14ac:dyDescent="0.4">
      <c r="A23" s="1">
        <f t="shared" si="5"/>
        <v>23</v>
      </c>
      <c r="I23" s="30"/>
      <c r="M23" s="29"/>
      <c r="S23" s="20">
        <v>8.1998000000000001E-2</v>
      </c>
      <c r="T23" s="8">
        <v>7.0054794520547947</v>
      </c>
      <c r="U23" s="18">
        <v>8.2204375122070322E-2</v>
      </c>
      <c r="V23" s="19">
        <v>0.56220930995337659</v>
      </c>
    </row>
    <row r="24" spans="1:22" ht="14.25" customHeight="1" x14ac:dyDescent="0.4">
      <c r="A24" s="1">
        <f t="shared" si="5"/>
        <v>24</v>
      </c>
      <c r="I24" s="30"/>
      <c r="M24" s="29"/>
      <c r="S24" s="20">
        <v>8.1299999999999997E-2</v>
      </c>
      <c r="T24" s="8">
        <v>8.0054794520547947</v>
      </c>
      <c r="U24" s="18">
        <v>8.1275967407226563E-2</v>
      </c>
      <c r="V24" s="19">
        <v>0.52170494674600076</v>
      </c>
    </row>
    <row r="25" spans="1:22" ht="14.25" customHeight="1" x14ac:dyDescent="0.4">
      <c r="A25" s="1">
        <f t="shared" si="5"/>
        <v>25</v>
      </c>
      <c r="I25" s="30"/>
      <c r="M25" s="29"/>
      <c r="S25" s="20">
        <v>8.2100000000000006E-2</v>
      </c>
      <c r="T25" s="8">
        <v>9.0054794520547947</v>
      </c>
      <c r="U25" s="18">
        <v>8.2438745117187517E-2</v>
      </c>
      <c r="V25" s="19">
        <v>0.47597001272789413</v>
      </c>
    </row>
    <row r="26" spans="1:22" ht="14.25" customHeight="1" x14ac:dyDescent="0.4">
      <c r="A26" s="1">
        <f t="shared" si="5"/>
        <v>26</v>
      </c>
      <c r="I26" s="30"/>
      <c r="M26" s="29"/>
      <c r="S26" s="20">
        <v>8.2349400000000003E-2</v>
      </c>
      <c r="T26" s="8">
        <v>10.008219178082191</v>
      </c>
      <c r="U26" s="18">
        <v>8.2803730444335921E-2</v>
      </c>
      <c r="V26" s="19">
        <v>0.43660871105000287</v>
      </c>
    </row>
    <row r="27" spans="1:22" ht="14.25" customHeight="1" x14ac:dyDescent="0.4">
      <c r="A27" s="1">
        <f t="shared" si="5"/>
        <v>27</v>
      </c>
      <c r="I27" s="30"/>
      <c r="M27" s="29"/>
      <c r="V27" s="19"/>
    </row>
    <row r="28" spans="1:22" ht="14.25" customHeight="1" x14ac:dyDescent="0.4">
      <c r="A28" s="1">
        <f t="shared" si="5"/>
        <v>28</v>
      </c>
      <c r="I28" s="30"/>
      <c r="M28" s="29"/>
      <c r="V28" s="19"/>
    </row>
    <row r="29" spans="1:22" ht="14.25" customHeight="1" x14ac:dyDescent="0.4">
      <c r="A29" s="1">
        <f t="shared" si="5"/>
        <v>29</v>
      </c>
      <c r="I29" s="30"/>
      <c r="M29" s="29"/>
      <c r="V29" s="19"/>
    </row>
    <row r="30" spans="1:22" ht="14.25" customHeight="1" x14ac:dyDescent="0.4">
      <c r="A30" s="1">
        <f t="shared" si="5"/>
        <v>30</v>
      </c>
      <c r="I30" s="30"/>
      <c r="M30" s="29"/>
      <c r="V30" s="19"/>
    </row>
    <row r="31" spans="1:22" ht="14.25" customHeight="1" x14ac:dyDescent="0.4">
      <c r="A31" s="1">
        <f t="shared" si="5"/>
        <v>31</v>
      </c>
      <c r="I31" s="30"/>
      <c r="M31" s="29"/>
      <c r="V31" s="19"/>
    </row>
    <row r="32" spans="1:22" ht="14.25" customHeight="1" x14ac:dyDescent="0.4">
      <c r="A32" s="1">
        <f t="shared" si="5"/>
        <v>32</v>
      </c>
      <c r="I32" s="30"/>
      <c r="M32" s="29"/>
      <c r="V32" s="19"/>
    </row>
    <row r="33" spans="1:22" ht="14.25" customHeight="1" x14ac:dyDescent="0.4">
      <c r="A33" s="1">
        <f t="shared" si="5"/>
        <v>33</v>
      </c>
      <c r="I33" s="30"/>
      <c r="M33" s="29"/>
      <c r="V33" s="19"/>
    </row>
    <row r="34" spans="1:22" ht="14.25" customHeight="1" x14ac:dyDescent="0.4">
      <c r="A34" s="1">
        <f t="shared" si="5"/>
        <v>34</v>
      </c>
      <c r="I34" s="30"/>
      <c r="M34" s="29"/>
      <c r="V34" s="19"/>
    </row>
    <row r="35" spans="1:22" ht="14.25" customHeight="1" x14ac:dyDescent="0.4">
      <c r="A35" s="1">
        <f t="shared" si="5"/>
        <v>35</v>
      </c>
      <c r="I35" s="30"/>
      <c r="M35" s="29"/>
      <c r="V35" s="19"/>
    </row>
    <row r="36" spans="1:22" ht="14.25" customHeight="1" x14ac:dyDescent="0.4">
      <c r="A36" s="1">
        <f t="shared" si="5"/>
        <v>36</v>
      </c>
      <c r="I36" s="30"/>
      <c r="M36" s="29"/>
      <c r="V36" s="19"/>
    </row>
    <row r="37" spans="1:22" ht="14.25" customHeight="1" x14ac:dyDescent="0.4">
      <c r="A37" s="1">
        <f t="shared" si="5"/>
        <v>37</v>
      </c>
      <c r="I37" s="30"/>
      <c r="M37" s="29"/>
      <c r="V37" s="19"/>
    </row>
    <row r="38" spans="1:22" ht="14.25" customHeight="1" x14ac:dyDescent="0.4">
      <c r="A38" s="1">
        <f t="shared" si="5"/>
        <v>38</v>
      </c>
      <c r="I38" s="30"/>
      <c r="M38" s="29"/>
      <c r="V38" s="19"/>
    </row>
    <row r="39" spans="1:22" ht="14.25" customHeight="1" x14ac:dyDescent="0.4">
      <c r="A39" s="1">
        <f t="shared" si="5"/>
        <v>39</v>
      </c>
      <c r="I39" s="30"/>
      <c r="M39" s="29"/>
      <c r="V39" s="19"/>
    </row>
    <row r="40" spans="1:22" ht="14.25" customHeight="1" x14ac:dyDescent="0.4">
      <c r="A40" s="1">
        <f t="shared" si="5"/>
        <v>40</v>
      </c>
      <c r="I40" s="30"/>
      <c r="M40" s="29"/>
      <c r="V40" s="19"/>
    </row>
    <row r="41" spans="1:22" ht="14.25" customHeight="1" x14ac:dyDescent="0.4">
      <c r="A41" s="1">
        <f t="shared" si="5"/>
        <v>41</v>
      </c>
      <c r="I41" s="30"/>
      <c r="M41" s="29"/>
      <c r="V41" s="19"/>
    </row>
    <row r="42" spans="1:22" ht="14.25" customHeight="1" x14ac:dyDescent="0.4">
      <c r="A42" s="1">
        <f t="shared" si="5"/>
        <v>42</v>
      </c>
      <c r="I42" s="30"/>
      <c r="M42" s="29"/>
      <c r="V42" s="19"/>
    </row>
    <row r="43" spans="1:22" ht="14.25" customHeight="1" x14ac:dyDescent="0.4">
      <c r="A43" s="1">
        <f t="shared" si="5"/>
        <v>43</v>
      </c>
      <c r="I43" s="30"/>
      <c r="M43" s="29"/>
      <c r="V43" s="19"/>
    </row>
    <row r="44" spans="1:22" ht="14.25" customHeight="1" x14ac:dyDescent="0.4">
      <c r="A44" s="1">
        <f t="shared" si="5"/>
        <v>44</v>
      </c>
      <c r="I44" s="30"/>
      <c r="M44" s="29"/>
      <c r="V44" s="19"/>
    </row>
    <row r="45" spans="1:22" ht="14.25" customHeight="1" x14ac:dyDescent="0.4">
      <c r="A45" s="1">
        <f t="shared" si="5"/>
        <v>45</v>
      </c>
      <c r="I45" s="30"/>
      <c r="M45" s="29"/>
      <c r="V45" s="19"/>
    </row>
    <row r="46" spans="1:22" ht="14.25" customHeight="1" x14ac:dyDescent="0.4">
      <c r="A46" s="1">
        <f t="shared" si="5"/>
        <v>46</v>
      </c>
      <c r="I46" s="30"/>
      <c r="M46" s="29"/>
      <c r="V46" s="19"/>
    </row>
    <row r="47" spans="1:22" ht="14.25" customHeight="1" x14ac:dyDescent="0.4">
      <c r="A47" s="1">
        <f t="shared" si="5"/>
        <v>47</v>
      </c>
      <c r="I47" s="30"/>
      <c r="M47" s="29"/>
      <c r="V47" s="19"/>
    </row>
    <row r="48" spans="1:22" ht="14.25" customHeight="1" x14ac:dyDescent="0.4">
      <c r="A48" s="1">
        <f t="shared" si="5"/>
        <v>48</v>
      </c>
      <c r="I48" s="30"/>
      <c r="M48" s="29"/>
      <c r="V48" s="19"/>
    </row>
    <row r="49" spans="1:22" ht="14.25" customHeight="1" x14ac:dyDescent="0.4">
      <c r="A49" s="1">
        <f t="shared" si="5"/>
        <v>49</v>
      </c>
      <c r="I49" s="30"/>
      <c r="M49" s="29"/>
      <c r="V49" s="19"/>
    </row>
    <row r="50" spans="1:22" ht="14.25" customHeight="1" x14ac:dyDescent="0.4">
      <c r="A50" s="1">
        <f t="shared" si="5"/>
        <v>50</v>
      </c>
      <c r="I50" s="30"/>
      <c r="M50" s="29"/>
      <c r="V50" s="19"/>
    </row>
    <row r="51" spans="1:22" ht="14.25" customHeight="1" x14ac:dyDescent="0.4">
      <c r="A51" s="1">
        <f t="shared" si="5"/>
        <v>51</v>
      </c>
      <c r="I51" s="30"/>
      <c r="M51" s="29"/>
      <c r="V51" s="19"/>
    </row>
    <row r="52" spans="1:22" ht="14.25" customHeight="1" x14ac:dyDescent="0.4">
      <c r="A52" s="1">
        <f t="shared" si="5"/>
        <v>52</v>
      </c>
      <c r="I52" s="30"/>
      <c r="M52" s="29"/>
      <c r="V52" s="19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9"/>
    </row>
    <row r="54" spans="1:22" ht="14.25" customHeight="1" x14ac:dyDescent="0.4">
      <c r="A54" s="1">
        <f t="shared" si="5"/>
        <v>54</v>
      </c>
      <c r="V54" s="19"/>
    </row>
    <row r="55" spans="1:22" ht="14.25" customHeight="1" x14ac:dyDescent="0.4">
      <c r="A55" s="1">
        <f t="shared" si="5"/>
        <v>55</v>
      </c>
      <c r="V55" s="19"/>
    </row>
    <row r="56" spans="1:22" ht="14.25" customHeight="1" x14ac:dyDescent="0.4">
      <c r="A56" s="1">
        <f t="shared" si="5"/>
        <v>56</v>
      </c>
      <c r="V56" s="19"/>
    </row>
    <row r="57" spans="1:22" ht="14.25" customHeight="1" x14ac:dyDescent="0.4">
      <c r="A57" s="1">
        <f t="shared" si="5"/>
        <v>57</v>
      </c>
      <c r="V57" s="19"/>
    </row>
    <row r="58" spans="1:22" ht="14.25" customHeight="1" x14ac:dyDescent="0.4">
      <c r="A58" s="1">
        <f t="shared" si="5"/>
        <v>58</v>
      </c>
      <c r="V58" s="19"/>
    </row>
    <row r="59" spans="1:22" ht="14.25" customHeight="1" x14ac:dyDescent="0.4">
      <c r="A59" s="1">
        <f t="shared" si="5"/>
        <v>59</v>
      </c>
      <c r="V59" s="19"/>
    </row>
    <row r="60" spans="1:22" ht="14.25" customHeight="1" x14ac:dyDescent="0.4">
      <c r="A60" s="1">
        <f t="shared" si="5"/>
        <v>60</v>
      </c>
      <c r="V60" s="19"/>
    </row>
    <row r="61" spans="1:22" ht="14.25" customHeight="1" x14ac:dyDescent="0.4">
      <c r="A61" s="1">
        <f t="shared" si="5"/>
        <v>61</v>
      </c>
      <c r="V61" s="19"/>
    </row>
    <row r="62" spans="1:22" ht="14.25" customHeight="1" x14ac:dyDescent="0.4">
      <c r="A62" s="1">
        <f t="shared" si="5"/>
        <v>62</v>
      </c>
      <c r="V62" s="19"/>
    </row>
    <row r="63" spans="1:22" ht="14.25" customHeight="1" x14ac:dyDescent="0.4">
      <c r="A63" s="1">
        <f t="shared" si="5"/>
        <v>63</v>
      </c>
      <c r="V63" s="19"/>
    </row>
    <row r="64" spans="1:22" ht="14.25" customHeight="1" x14ac:dyDescent="0.4">
      <c r="A64" s="1">
        <f t="shared" si="5"/>
        <v>64</v>
      </c>
      <c r="V64" s="19"/>
    </row>
    <row r="65" spans="1:22" ht="14.25" customHeight="1" x14ac:dyDescent="0.4">
      <c r="A65" s="1">
        <f t="shared" si="5"/>
        <v>65</v>
      </c>
      <c r="V65" s="19"/>
    </row>
    <row r="66" spans="1:22" ht="14.25" customHeight="1" x14ac:dyDescent="0.4">
      <c r="A66" s="1">
        <f t="shared" ref="A66:A129" si="6">A65+1</f>
        <v>66</v>
      </c>
      <c r="V66" s="19"/>
    </row>
    <row r="67" spans="1:22" ht="14.25" customHeight="1" x14ac:dyDescent="0.4">
      <c r="A67" s="1">
        <f t="shared" si="6"/>
        <v>67</v>
      </c>
      <c r="V67" s="19"/>
    </row>
    <row r="68" spans="1:22" ht="14.25" customHeight="1" x14ac:dyDescent="0.4">
      <c r="A68" s="1">
        <f t="shared" si="6"/>
        <v>68</v>
      </c>
      <c r="V68" s="19"/>
    </row>
    <row r="69" spans="1:22" ht="14.25" customHeight="1" x14ac:dyDescent="0.4">
      <c r="A69" s="1">
        <f t="shared" si="6"/>
        <v>69</v>
      </c>
      <c r="V69" s="19"/>
    </row>
    <row r="70" spans="1:22" ht="14.25" customHeight="1" x14ac:dyDescent="0.4">
      <c r="A70" s="1">
        <f t="shared" si="6"/>
        <v>70</v>
      </c>
      <c r="V70" s="19"/>
    </row>
    <row r="71" spans="1:22" ht="14.25" customHeight="1" x14ac:dyDescent="0.4">
      <c r="A71" s="1">
        <f t="shared" si="6"/>
        <v>71</v>
      </c>
      <c r="V71" s="19"/>
    </row>
    <row r="72" spans="1:22" ht="14.25" customHeight="1" x14ac:dyDescent="0.4">
      <c r="A72" s="1">
        <f t="shared" si="6"/>
        <v>72</v>
      </c>
      <c r="V72" s="19"/>
    </row>
    <row r="73" spans="1:22" ht="14.25" customHeight="1" x14ac:dyDescent="0.4">
      <c r="A73" s="1">
        <f t="shared" si="6"/>
        <v>73</v>
      </c>
      <c r="V73" s="19"/>
    </row>
    <row r="74" spans="1:22" ht="14.25" customHeight="1" x14ac:dyDescent="0.4">
      <c r="A74" s="1">
        <f t="shared" si="6"/>
        <v>74</v>
      </c>
      <c r="V74" s="19"/>
    </row>
    <row r="75" spans="1:22" ht="14.25" customHeight="1" x14ac:dyDescent="0.4">
      <c r="A75" s="1">
        <f t="shared" si="6"/>
        <v>75</v>
      </c>
      <c r="V75" s="19"/>
    </row>
    <row r="76" spans="1:22" ht="14.25" customHeight="1" x14ac:dyDescent="0.4">
      <c r="A76" s="1">
        <f t="shared" si="6"/>
        <v>76</v>
      </c>
      <c r="V76" s="19"/>
    </row>
    <row r="77" spans="1:22" ht="14.25" customHeight="1" x14ac:dyDescent="0.4">
      <c r="A77" s="1">
        <f t="shared" si="6"/>
        <v>77</v>
      </c>
      <c r="V77" s="19"/>
    </row>
    <row r="78" spans="1:22" ht="14.25" customHeight="1" x14ac:dyDescent="0.4">
      <c r="A78" s="1">
        <f t="shared" si="6"/>
        <v>78</v>
      </c>
      <c r="V78" s="19"/>
    </row>
    <row r="79" spans="1:22" ht="14.25" customHeight="1" x14ac:dyDescent="0.4">
      <c r="A79" s="1">
        <f t="shared" si="6"/>
        <v>79</v>
      </c>
      <c r="V79" s="19"/>
    </row>
    <row r="80" spans="1:22" ht="14.25" customHeight="1" x14ac:dyDescent="0.4">
      <c r="A80" s="1">
        <f t="shared" si="6"/>
        <v>80</v>
      </c>
      <c r="V80" s="19"/>
    </row>
    <row r="81" spans="1:22" ht="14.25" customHeight="1" x14ac:dyDescent="0.4">
      <c r="A81" s="1">
        <f t="shared" si="6"/>
        <v>81</v>
      </c>
      <c r="V81" s="19"/>
    </row>
    <row r="82" spans="1:22" ht="14.25" customHeight="1" x14ac:dyDescent="0.4">
      <c r="A82" s="1">
        <f t="shared" si="6"/>
        <v>82</v>
      </c>
      <c r="V82" s="19"/>
    </row>
    <row r="83" spans="1:22" ht="14.25" customHeight="1" x14ac:dyDescent="0.4">
      <c r="A83" s="1">
        <f t="shared" si="6"/>
        <v>83</v>
      </c>
      <c r="V83" s="19"/>
    </row>
    <row r="84" spans="1:22" ht="14.25" customHeight="1" x14ac:dyDescent="0.4">
      <c r="A84" s="1">
        <f t="shared" si="6"/>
        <v>84</v>
      </c>
      <c r="V84" s="19"/>
    </row>
    <row r="85" spans="1:22" ht="14.25" customHeight="1" x14ac:dyDescent="0.4">
      <c r="A85" s="1">
        <f t="shared" si="6"/>
        <v>85</v>
      </c>
      <c r="V85" s="19"/>
    </row>
    <row r="86" spans="1:22" ht="14.25" customHeight="1" x14ac:dyDescent="0.4">
      <c r="A86" s="1">
        <f t="shared" si="6"/>
        <v>86</v>
      </c>
      <c r="V86" s="19"/>
    </row>
    <row r="87" spans="1:22" ht="14.25" customHeight="1" x14ac:dyDescent="0.4">
      <c r="A87" s="1">
        <f t="shared" si="6"/>
        <v>87</v>
      </c>
      <c r="V87" s="19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3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  <mergeCell ref="L5:M5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2023-06-15T03:08:09Z</dcterms:modified>
</cp:coreProperties>
</file>