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<sst xmlns="http://schemas.openxmlformats.org/spreadsheetml/2006/main" count="21" uniqueCount="20">
  <si>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</si>
  <si>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</si>
  <si>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</si>
  <si>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</si>
  <si>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</si>
  <si>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</si>
  <si>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</si>
  <si>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</si>
  <si>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</si>
  <si>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</si>
  <si>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</si>
  <si>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</si>
  <si>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</si>
  <si>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</si>
  <si>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</si>
  <si>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</si>
  <si>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</si>
  <si>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</si>
  <si>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</si>
  <si>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TextDumpFlag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</si>
</sst>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8.4541523742675762E-2</c:v>
                </c:pt>
                <c:pt idx="8">
                  <c:v>8.3706664929199232E-2</c:v>
                </c:pt>
                <c:pt idx="9">
                  <c:v>8.2836511230468757E-2</c:v>
                </c:pt>
                <c:pt idx="10">
                  <c:v>8.1901280212402353E-2</c:v>
                </c:pt>
                <c:pt idx="11">
                  <c:v>8.1993623352050793E-2</c:v>
                </c:pt>
                <c:pt idx="12">
                  <c:v>8.2204375122070322E-2</c:v>
                </c:pt>
                <c:pt idx="13">
                  <c:v>8.1275967407226563E-2</c:v>
                </c:pt>
                <c:pt idx="14">
                  <c:v>8.2438745117187517E-2</c:v>
                </c:pt>
                <c:pt idx="15">
                  <c:v>8.2803730444335921E-2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D-42EE-92F1-6AFB14C17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63064"/>
        <c:axId val="464060112"/>
      </c:scatterChart>
      <c:valAx>
        <c:axId val="464063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4060112"/>
        <c:crosses val="autoZero"/>
        <c:crossBetween val="midCat"/>
      </c:valAx>
      <c:valAx>
        <c:axId val="46406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4063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M1" zoomScale="115" zoomScaleNormal="115" workbookViewId="0">
      <selection activeCell="V16" sqref="V16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0"/>
    <col min="12" max="12" width="10.5" style="43"/>
    <col min="13" max="13" width="10.5" style="32"/>
    <col min="14" max="15" width="10.5" style="35"/>
    <col min="16" max="16" width="10.5" style="46"/>
    <col min="17" max="17" width="10.5" style="34"/>
    <col min="18" max="18" width="10.5" style="47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5" t="s">
        <v>15</v>
      </c>
      <c r="J5" s="55"/>
      <c r="K5" s="28">
        <v>1</v>
      </c>
      <c r="L5" s="55" t="s">
        <v>19</v>
      </c>
      <c r="M5" s="55"/>
      <c r="N5" s="28">
        <v>1</v>
      </c>
      <c r="O5" s="1"/>
      <c r="P5" s="1"/>
      <c r="Q5" s="32"/>
      <c r="R5" s="32"/>
      <c r="S5" s="32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2"/>
      <c r="S6" s="32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7</v>
      </c>
      <c r="G9" s="5"/>
      <c r="I9" s="53" t="str">
        <f>IF(H5=0, "개수", "")</f>
        <v>개수</v>
      </c>
      <c r="J9" s="54"/>
      <c r="K9" s="21">
        <f>COUNT(I11:I100)</f>
        <v>0</v>
      </c>
      <c r="L9" s="21"/>
      <c r="M9" s="22"/>
      <c r="N9" s="54" t="s">
        <v>2</v>
      </c>
      <c r="O9" s="54"/>
      <c r="P9" s="21">
        <f>COUNT(N11:N1048576)</f>
        <v>9</v>
      </c>
      <c r="Q9" s="21"/>
      <c r="R9" s="22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tr">
        <f>IF(H5=0,"스왑지급일","채권지급일")</f>
        <v>스왑지급일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9">
        <v>8.3349758157289816E-2</v>
      </c>
      <c r="AB10" s="49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39"/>
      <c r="L11" s="42"/>
      <c r="M11" s="33"/>
      <c r="N11" s="35">
        <v>45361</v>
      </c>
      <c r="O11" s="35">
        <v>45361</v>
      </c>
      <c r="P11" s="45">
        <v>4</v>
      </c>
      <c r="Q11" s="34">
        <v>8.405E-2</v>
      </c>
      <c r="R11" s="47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39"/>
      <c r="L12" s="42"/>
      <c r="M12" s="33"/>
      <c r="N12" s="35">
        <v>45726</v>
      </c>
      <c r="O12" s="35">
        <v>45726</v>
      </c>
      <c r="P12" s="45">
        <v>4</v>
      </c>
      <c r="Q12" s="34">
        <v>8.3349800000000002E-2</v>
      </c>
      <c r="R12" s="47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39"/>
      <c r="L13" s="42"/>
      <c r="M13" s="33"/>
      <c r="N13" s="35">
        <v>46091</v>
      </c>
      <c r="O13" s="35">
        <v>46091</v>
      </c>
      <c r="P13" s="45">
        <v>4</v>
      </c>
      <c r="Q13" s="34">
        <v>8.2600000000000007E-2</v>
      </c>
      <c r="R13" s="47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39"/>
      <c r="L14" s="42"/>
      <c r="M14" s="33"/>
      <c r="N14" s="35">
        <v>46456</v>
      </c>
      <c r="O14" s="35">
        <v>46456</v>
      </c>
      <c r="P14" s="45">
        <v>4</v>
      </c>
      <c r="Q14" s="34">
        <v>8.1799999999999998E-2</v>
      </c>
      <c r="R14" s="47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39"/>
      <c r="L15" s="42"/>
      <c r="M15" s="33"/>
      <c r="N15" s="35">
        <v>46822</v>
      </c>
      <c r="O15" s="35">
        <v>46822</v>
      </c>
      <c r="P15" s="45">
        <v>4</v>
      </c>
      <c r="Q15" s="34">
        <v>8.1850000000000006E-2</v>
      </c>
      <c r="R15" s="47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39"/>
      <c r="L16" s="42"/>
      <c r="M16" s="33"/>
      <c r="N16" s="35">
        <v>47187</v>
      </c>
      <c r="O16" s="35">
        <v>47187</v>
      </c>
      <c r="P16" s="45">
        <v>4</v>
      </c>
      <c r="Q16" s="34">
        <v>8.1998000000000001E-2</v>
      </c>
      <c r="R16" s="47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39"/>
      <c r="L17" s="42"/>
      <c r="M17" s="33"/>
      <c r="N17" s="35">
        <v>47552</v>
      </c>
      <c r="O17" s="35">
        <v>47552</v>
      </c>
      <c r="P17" s="45">
        <v>4</v>
      </c>
      <c r="Q17" s="34">
        <v>8.1299999999999997E-2</v>
      </c>
      <c r="R17" s="47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5">
        <v>47917</v>
      </c>
      <c r="O18" s="35">
        <v>47917</v>
      </c>
      <c r="P18" s="45">
        <v>4</v>
      </c>
      <c r="Q18" s="34">
        <v>8.2100000000000006E-2</v>
      </c>
      <c r="R18" s="47">
        <v>360</v>
      </c>
      <c r="S18" s="20">
        <v>8.405E-2</v>
      </c>
      <c r="T18" s="8">
        <v>2.0027397260273974</v>
      </c>
      <c r="U18" s="18">
        <v>8.4541523742675762E-2</v>
      </c>
      <c r="V18" s="19">
        <v>0.8442432051809371</v>
      </c>
    </row>
    <row r="19" spans="1:22" ht="14.25" customHeight="1" x14ac:dyDescent="0.4">
      <c r="A19" s="1">
        <f t="shared" si="5"/>
        <v>19</v>
      </c>
      <c r="I19" s="30"/>
      <c r="M19" s="29"/>
      <c r="N19" s="35">
        <v>48283</v>
      </c>
      <c r="O19" s="35">
        <v>48283</v>
      </c>
      <c r="P19" s="45">
        <v>4</v>
      </c>
      <c r="Q19" s="34">
        <v>8.2349400000000003E-2</v>
      </c>
      <c r="R19" s="47">
        <v>360</v>
      </c>
      <c r="S19" s="20">
        <v>8.3349800000000002E-2</v>
      </c>
      <c r="T19" s="8">
        <v>3.0027397260273974</v>
      </c>
      <c r="U19" s="18">
        <v>8.3706664929199232E-2</v>
      </c>
      <c r="V19" s="19">
        <v>0.77775063393512134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8.2836511230468757E-2</v>
      </c>
      <c r="V20" s="19">
        <v>0.71779375947458668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8.1901280212402353E-2</v>
      </c>
      <c r="V21" s="19">
        <v>0.66382893671165755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8.1993623352050793E-2</v>
      </c>
      <c r="V22" s="19">
        <v>0.61115111872246874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8.2204375122070322E-2</v>
      </c>
      <c r="V23" s="19">
        <v>0.56220930995337659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8.1275967407226563E-2</v>
      </c>
      <c r="V24" s="19">
        <v>0.52170494674600076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8.2438745117187517E-2</v>
      </c>
      <c r="V25" s="19">
        <v>0.47597001272789413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8.2803730444335921E-2</v>
      </c>
      <c r="V26" s="19">
        <v>0.43660871105000287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3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  <mergeCell ref="L5:M5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2023-06-15T03:05:59Z</dcterms:modified>
</cp:coreProperties>
</file>