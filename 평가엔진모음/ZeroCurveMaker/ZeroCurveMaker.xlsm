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<sst xmlns="http://schemas.openxmlformats.org/spreadsheetml/2006/main" count="21" uniqueCount="20">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</sst>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8.4542906570434548E-2</c:v>
                </c:pt>
                <c:pt idx="8">
                  <c:v>8.370659340362549E-2</c:v>
                </c:pt>
                <c:pt idx="9">
                  <c:v>8.2836392021179206E-2</c:v>
                </c:pt>
                <c:pt idx="10">
                  <c:v>8.1901137161254897E-2</c:v>
                </c:pt>
                <c:pt idx="11">
                  <c:v>8.199357566833497E-2</c:v>
                </c:pt>
                <c:pt idx="12">
                  <c:v>8.2204923484802239E-2</c:v>
                </c:pt>
                <c:pt idx="13">
                  <c:v>8.1276110458374032E-2</c:v>
                </c:pt>
                <c:pt idx="14">
                  <c:v>8.2438697433471694E-2</c:v>
                </c:pt>
                <c:pt idx="15">
                  <c:v>8.2803682760620098E-2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E-4951-8328-3ED323787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61888"/>
        <c:axId val="450962216"/>
      </c:scatterChart>
      <c:valAx>
        <c:axId val="45096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0962216"/>
        <c:crosses val="autoZero"/>
        <c:crossBetween val="midCat"/>
      </c:valAx>
      <c:valAx>
        <c:axId val="45096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096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="115" zoomScaleNormal="115" workbookViewId="0">
      <selection activeCell="J20" sqref="J20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2"/>
    <col min="12" max="12" width="10.5" style="45"/>
    <col min="13" max="13" width="10.5" style="32"/>
    <col min="14" max="14" width="10.5" style="37"/>
    <col min="15" max="15" width="10.5" style="34"/>
    <col min="16" max="16" width="10.5" style="35"/>
    <col min="17" max="17" width="10.5" style="34"/>
    <col min="18" max="18" width="10.5" style="36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7"/>
      <c r="Y4" s="47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4" t="s">
        <v>15</v>
      </c>
      <c r="J5" s="54"/>
      <c r="K5" s="28">
        <v>1</v>
      </c>
      <c r="L5" s="32"/>
      <c r="N5" s="1"/>
      <c r="O5" s="1"/>
      <c r="P5" s="1"/>
      <c r="Q5" s="32"/>
      <c r="R5" s="32"/>
      <c r="S5" s="32"/>
      <c r="T5" s="1"/>
      <c r="U5" s="1"/>
      <c r="V5" s="1"/>
      <c r="W5" s="14"/>
      <c r="X5" s="47"/>
      <c r="Y5" s="47"/>
    </row>
    <row r="6" spans="1:32" ht="14.25" customHeight="1" x14ac:dyDescent="0.4">
      <c r="A6" s="1">
        <f t="shared" si="5"/>
        <v>6</v>
      </c>
      <c r="D6" s="50" t="str">
        <f>IF(H5=0, "MMF, IRForward, Swap Market", "Bond Market")</f>
        <v>MMF, IRForward, Swap Market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32"/>
      <c r="S6" s="32"/>
      <c r="T6" s="1"/>
      <c r="U6" s="1"/>
      <c r="V6" s="1"/>
      <c r="W6" s="14"/>
      <c r="X6" s="47"/>
      <c r="Y6" s="47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0" t="str">
        <f>IF(H5=0, "콜금리/CD", "CP/Short Term Bond")</f>
        <v>콜금리/CD</v>
      </c>
      <c r="E8" s="50"/>
      <c r="F8" s="50"/>
      <c r="G8" s="50"/>
      <c r="I8" s="57" t="str">
        <f>IF(H5=0, "IR Futures", "MarketData 1일 때 입력안함")</f>
        <v>IR Futures</v>
      </c>
      <c r="J8" s="58"/>
      <c r="K8" s="58"/>
      <c r="L8" s="58"/>
      <c r="M8" s="59"/>
      <c r="N8" s="57" t="str">
        <f>IF(H5=0, "IR Swap","Coupon Bond")</f>
        <v>IR Swap</v>
      </c>
      <c r="O8" s="58"/>
      <c r="P8" s="58"/>
      <c r="Q8" s="58"/>
      <c r="R8" s="59"/>
      <c r="S8" s="55" t="s">
        <v>9</v>
      </c>
      <c r="T8" s="56"/>
      <c r="U8" s="56"/>
      <c r="V8" s="56"/>
    </row>
    <row r="9" spans="1:32" ht="14.25" customHeight="1" x14ac:dyDescent="0.4">
      <c r="A9" s="1">
        <f t="shared" si="5"/>
        <v>9</v>
      </c>
      <c r="D9" s="51" t="s">
        <v>1</v>
      </c>
      <c r="E9" s="51"/>
      <c r="F9" s="4">
        <f>COUNT(E11:E100)</f>
        <v>7</v>
      </c>
      <c r="G9" s="5"/>
      <c r="I9" s="52" t="str">
        <f>IF(H5=0, "개수", "")</f>
        <v>개수</v>
      </c>
      <c r="J9" s="53"/>
      <c r="K9" s="21">
        <f>COUNT(I11:I100)</f>
        <v>0</v>
      </c>
      <c r="L9" s="21"/>
      <c r="M9" s="22"/>
      <c r="N9" s="53" t="s">
        <v>2</v>
      </c>
      <c r="O9" s="53"/>
      <c r="P9" s="21">
        <f>COUNT(N11:N1048576)</f>
        <v>9</v>
      </c>
      <c r="Q9" s="21"/>
      <c r="R9" s="22"/>
      <c r="S9" s="55"/>
      <c r="T9" s="56"/>
      <c r="U9" s="56"/>
      <c r="V9" s="56"/>
      <c r="X9" s="2" t="s">
        <v>6</v>
      </c>
      <c r="Y9" s="2" t="s">
        <v>0</v>
      </c>
      <c r="Z9" s="2" t="s">
        <v>5</v>
      </c>
      <c r="AA9" s="49" t="s">
        <v>8</v>
      </c>
      <c r="AB9" s="49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">
        <v>19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8">
        <v>8.3349802935949902E-2</v>
      </c>
      <c r="AB10" s="48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41"/>
      <c r="L11" s="44"/>
      <c r="M11" s="33"/>
      <c r="N11" s="37">
        <v>45361</v>
      </c>
      <c r="O11" s="37">
        <v>45361</v>
      </c>
      <c r="P11" s="34">
        <v>4</v>
      </c>
      <c r="Q11" s="35">
        <v>8.405E-2</v>
      </c>
      <c r="R11" s="36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41"/>
      <c r="L12" s="44"/>
      <c r="M12" s="33"/>
      <c r="N12" s="37">
        <v>45726</v>
      </c>
      <c r="O12" s="37">
        <v>45726</v>
      </c>
      <c r="P12" s="34">
        <v>4</v>
      </c>
      <c r="Q12" s="35">
        <v>8.3349800000000002E-2</v>
      </c>
      <c r="R12" s="36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41"/>
      <c r="L13" s="44"/>
      <c r="M13" s="33"/>
      <c r="N13" s="37">
        <v>46091</v>
      </c>
      <c r="O13" s="37">
        <v>46091</v>
      </c>
      <c r="P13" s="34">
        <v>4</v>
      </c>
      <c r="Q13" s="35">
        <v>8.2600000000000007E-2</v>
      </c>
      <c r="R13" s="36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41"/>
      <c r="L14" s="44"/>
      <c r="M14" s="33"/>
      <c r="N14" s="37">
        <v>46456</v>
      </c>
      <c r="O14" s="37">
        <v>46456</v>
      </c>
      <c r="P14" s="34">
        <v>4</v>
      </c>
      <c r="Q14" s="35">
        <v>8.1799999999999998E-2</v>
      </c>
      <c r="R14" s="36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41"/>
      <c r="L15" s="44"/>
      <c r="M15" s="33"/>
      <c r="N15" s="37">
        <v>46822</v>
      </c>
      <c r="O15" s="37">
        <v>46822</v>
      </c>
      <c r="P15" s="34">
        <v>4</v>
      </c>
      <c r="Q15" s="35">
        <v>8.1850000000000006E-2</v>
      </c>
      <c r="R15" s="36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41"/>
      <c r="L16" s="44"/>
      <c r="M16" s="33"/>
      <c r="N16" s="37">
        <v>47187</v>
      </c>
      <c r="O16" s="37">
        <v>47187</v>
      </c>
      <c r="P16" s="34">
        <v>4</v>
      </c>
      <c r="Q16" s="35">
        <v>8.1998000000000001E-2</v>
      </c>
      <c r="R16" s="36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41"/>
      <c r="L17" s="44"/>
      <c r="M17" s="33"/>
      <c r="N17" s="37">
        <v>47552</v>
      </c>
      <c r="O17" s="37">
        <v>47552</v>
      </c>
      <c r="P17" s="34">
        <v>4</v>
      </c>
      <c r="Q17" s="35">
        <v>8.1299999999999997E-2</v>
      </c>
      <c r="R17" s="36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7">
        <v>47917</v>
      </c>
      <c r="O18" s="37">
        <v>47917</v>
      </c>
      <c r="P18" s="34">
        <v>4</v>
      </c>
      <c r="Q18" s="35">
        <v>8.2100000000000006E-2</v>
      </c>
      <c r="R18" s="36">
        <v>360</v>
      </c>
      <c r="S18" s="20">
        <v>8.405E-2</v>
      </c>
      <c r="T18" s="8">
        <v>2.0027397260273974</v>
      </c>
      <c r="U18" s="18">
        <v>8.4542906570434548E-2</v>
      </c>
      <c r="V18" s="19">
        <v>0.84424086709982227</v>
      </c>
    </row>
    <row r="19" spans="1:22" ht="14.25" customHeight="1" x14ac:dyDescent="0.4">
      <c r="A19" s="1">
        <f t="shared" si="5"/>
        <v>19</v>
      </c>
      <c r="I19" s="30"/>
      <c r="M19" s="29"/>
      <c r="N19" s="37">
        <v>48283</v>
      </c>
      <c r="O19" s="37">
        <v>48283</v>
      </c>
      <c r="P19" s="34">
        <v>4</v>
      </c>
      <c r="Q19" s="35">
        <v>8.2349400000000003E-2</v>
      </c>
      <c r="R19" s="36">
        <v>360</v>
      </c>
      <c r="S19" s="20">
        <v>8.3349800000000002E-2</v>
      </c>
      <c r="T19" s="8">
        <v>3.0027397260273974</v>
      </c>
      <c r="U19" s="18">
        <v>8.370659340362549E-2</v>
      </c>
      <c r="V19" s="19">
        <v>0.7777508009747286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8.2836392021179206E-2</v>
      </c>
      <c r="V20" s="19">
        <v>0.71779410197983684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8.1901137161254897E-2</v>
      </c>
      <c r="V21" s="19">
        <v>0.66382941177945154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8.199357566833497E-2</v>
      </c>
      <c r="V22" s="19">
        <v>0.61115129373391341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8.2204923484802239E-2</v>
      </c>
      <c r="V23" s="19">
        <v>0.56220715020580758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8.1276110458374032E-2</v>
      </c>
      <c r="V24" s="19">
        <v>0.52170434929347853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8.2438697433471694E-2</v>
      </c>
      <c r="V25" s="19">
        <v>0.4759702171164692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8.2803682760620098E-2</v>
      </c>
      <c r="V26" s="19">
        <v>0.43660891941242569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8"/>
      <c r="J53" s="39"/>
      <c r="K53" s="43"/>
      <c r="L53" s="46"/>
      <c r="M53" s="40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2023-05-21T13:47:29Z</dcterms:modified>
</cp:coreProperties>
</file>