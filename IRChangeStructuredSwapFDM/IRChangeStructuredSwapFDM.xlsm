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<sst xmlns="http://schemas.openxmlformats.org/spreadsheetml/2006/main" count="121" uniqueCount="85">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</sst>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4" workbookViewId="0">
      <selection activeCell="E19" sqref="E19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45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8" t="s">
        <v>2</v>
      </c>
      <c r="H5" s="60" t="s">
        <v>46</v>
      </c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9"/>
      <c r="H6" s="61" t="s">
        <v>4</v>
      </c>
      <c r="I6" s="62"/>
      <c r="L6" s="55" t="s">
        <v>5</v>
      </c>
      <c r="M6" s="55"/>
      <c r="N6" s="55"/>
      <c r="Q6" s="55" t="s">
        <v>6</v>
      </c>
      <c r="R6" s="55"/>
      <c r="S6" s="55"/>
      <c r="V6" s="55" t="s">
        <v>7</v>
      </c>
      <c r="W6" s="55"/>
      <c r="X6" s="55"/>
    </row>
    <row r="7" spans="1:45" x14ac:dyDescent="0.4">
      <c r="A7" s="1">
        <f t="shared" si="1"/>
        <v>7</v>
      </c>
      <c r="B7" s="51" t="s">
        <v>8</v>
      </c>
      <c r="C7" s="51"/>
      <c r="D7" s="52">
        <v>0</v>
      </c>
      <c r="E7" s="52"/>
      <c r="G7" s="59"/>
      <c r="H7" s="63"/>
      <c r="I7" s="64"/>
      <c r="L7" s="55"/>
      <c r="M7" s="55"/>
      <c r="N7" s="55"/>
      <c r="Q7" s="55"/>
      <c r="R7" s="55"/>
      <c r="S7" s="55"/>
      <c r="V7" s="55"/>
      <c r="W7" s="55"/>
      <c r="X7" s="55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9"/>
      <c r="I8" s="2" t="s">
        <v>10</v>
      </c>
      <c r="V8" s="55" t="s">
        <v>11</v>
      </c>
      <c r="W8" s="55"/>
      <c r="X8" s="3">
        <v>3</v>
      </c>
    </row>
    <row r="9" spans="1:45" x14ac:dyDescent="0.4">
      <c r="A9" s="1">
        <f t="shared" si="1"/>
        <v>9</v>
      </c>
      <c r="G9" s="59"/>
      <c r="H9" s="2" t="s">
        <v>12</v>
      </c>
      <c r="I9" s="4">
        <v>2.0072916735082918E-2</v>
      </c>
      <c r="Q9" s="55" t="s">
        <v>13</v>
      </c>
      <c r="R9" s="55"/>
      <c r="S9" s="3">
        <v>3</v>
      </c>
      <c r="V9" s="56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9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9"/>
      <c r="H11" s="10">
        <v>1</v>
      </c>
      <c r="I11" s="11">
        <v>1.3932820675580663E-2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9"/>
      <c r="H12" s="10">
        <v>2</v>
      </c>
      <c r="I12" s="11">
        <v>1.2315639755888222E-2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3" t="s">
        <v>23</v>
      </c>
      <c r="E13" s="53"/>
      <c r="G13" s="59"/>
      <c r="H13" s="10">
        <v>3</v>
      </c>
      <c r="I13" s="11">
        <v>1.3144480963603338E-2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3"/>
      <c r="E14" s="53"/>
      <c r="G14" s="59"/>
      <c r="H14" s="10">
        <v>4</v>
      </c>
      <c r="I14" s="11">
        <v>1.2104833350620903E-2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3"/>
      <c r="E15" s="53"/>
      <c r="G15" s="59"/>
      <c r="H15" s="10">
        <v>5</v>
      </c>
      <c r="I15" s="11">
        <v>1.3419779680556951E-2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9"/>
      <c r="H16" s="10">
        <v>7</v>
      </c>
      <c r="I16" s="11">
        <v>1.2523802742582746E-2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4">
        <v>45202.836388888885</v>
      </c>
      <c r="E17" s="54"/>
      <c r="G17" s="59"/>
      <c r="H17" s="10">
        <v>10</v>
      </c>
      <c r="I17" s="11">
        <v>1.1582553022910298E-2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4">
        <v>45202.836388888885</v>
      </c>
      <c r="E18" s="54"/>
      <c r="G18" s="59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9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9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9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9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1" t="s">
        <v>83</v>
      </c>
      <c r="C23" s="51"/>
      <c r="D23" s="52">
        <v>0</v>
      </c>
      <c r="E23" s="52"/>
      <c r="G23" s="59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9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9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9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9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9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9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9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9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9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9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9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9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9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9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9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9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9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8" t="s">
        <v>25</v>
      </c>
      <c r="H55" s="60" t="s">
        <v>47</v>
      </c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9"/>
      <c r="H56" s="61" t="s">
        <v>26</v>
      </c>
      <c r="I56" s="62"/>
      <c r="L56" s="55" t="s">
        <v>27</v>
      </c>
      <c r="M56" s="55"/>
      <c r="N56" s="55"/>
      <c r="Q56" s="55" t="s">
        <v>6</v>
      </c>
      <c r="R56" s="55"/>
      <c r="S56" s="55"/>
      <c r="V56" s="55" t="s">
        <v>28</v>
      </c>
      <c r="W56" s="55"/>
      <c r="X56" s="55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9"/>
      <c r="H57" s="63"/>
      <c r="I57" s="64"/>
      <c r="L57" s="55"/>
      <c r="M57" s="55"/>
      <c r="N57" s="55"/>
      <c r="Q57" s="55"/>
      <c r="R57" s="55"/>
      <c r="S57" s="55"/>
      <c r="V57" s="55"/>
      <c r="W57" s="55"/>
      <c r="X57" s="55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9"/>
      <c r="I58" s="2" t="s">
        <v>10</v>
      </c>
      <c r="V58" s="55" t="s">
        <v>11</v>
      </c>
      <c r="W58" s="55"/>
      <c r="X58" s="3">
        <v>3</v>
      </c>
    </row>
    <row r="59" spans="1:40" x14ac:dyDescent="0.4">
      <c r="A59" s="1">
        <f t="shared" si="1"/>
        <v>59</v>
      </c>
      <c r="G59" s="59"/>
      <c r="H59" s="2" t="s">
        <v>12</v>
      </c>
      <c r="I59" s="4">
        <v>0.01</v>
      </c>
      <c r="Q59" s="55" t="s">
        <v>30</v>
      </c>
      <c r="R59" s="55"/>
      <c r="S59" s="3">
        <v>3</v>
      </c>
      <c r="V59" s="56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9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7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9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9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3" t="s">
        <v>23</v>
      </c>
      <c r="E63" s="53"/>
      <c r="G63" s="59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3"/>
      <c r="E64" s="53"/>
      <c r="G64" s="59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3"/>
      <c r="E65" s="53"/>
      <c r="G65" s="59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9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4">
        <v>45202.836388888885</v>
      </c>
      <c r="E67" s="54"/>
      <c r="G67" s="59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4">
        <v>45202.836388888885</v>
      </c>
      <c r="E68" s="54"/>
      <c r="G68" s="59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9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9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9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9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1" t="s">
        <v>84</v>
      </c>
      <c r="C73" s="51"/>
      <c r="D73" s="52">
        <v>0</v>
      </c>
      <c r="E73" s="52"/>
      <c r="G73" s="59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9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9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9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9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9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9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9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9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9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9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9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9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9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9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9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9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9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J14" sqref="J14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4" t="s">
        <v>40</v>
      </c>
      <c r="C3" s="84"/>
      <c r="D3" s="85">
        <v>44848</v>
      </c>
      <c r="E3" s="86"/>
      <c r="F3" s="84" t="s">
        <v>41</v>
      </c>
      <c r="G3" s="84"/>
      <c r="H3" s="87">
        <v>0</v>
      </c>
      <c r="I3" s="87"/>
      <c r="J3" s="84" t="s">
        <v>42</v>
      </c>
      <c r="K3" s="84"/>
      <c r="L3" s="76">
        <v>0</v>
      </c>
      <c r="M3" s="7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9" t="s">
        <v>65</v>
      </c>
      <c r="C4" s="79"/>
      <c r="D4" s="79"/>
      <c r="E4" s="79"/>
      <c r="F4" s="79"/>
      <c r="G4" s="79"/>
      <c r="H4" s="79"/>
      <c r="I4" s="79"/>
      <c r="J4" s="79"/>
      <c r="K4" s="79"/>
      <c r="L4" s="29"/>
      <c r="M4" s="79" t="s">
        <v>66</v>
      </c>
      <c r="N4" s="79"/>
      <c r="O4" s="79"/>
      <c r="P4" s="79"/>
      <c r="Q4" s="79"/>
      <c r="R4" s="79"/>
      <c r="S4" s="79"/>
      <c r="T4" s="79"/>
      <c r="U4" s="79"/>
      <c r="V4" s="79"/>
      <c r="Z4" s="29"/>
      <c r="AA4" s="29"/>
      <c r="AC4" s="29"/>
      <c r="AD4" s="29"/>
    </row>
    <row r="5" spans="1:30" x14ac:dyDescent="0.4">
      <c r="A5" s="29">
        <f t="shared" si="3"/>
        <v>5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29"/>
      <c r="M5" s="79"/>
      <c r="N5" s="79"/>
      <c r="O5" s="79"/>
      <c r="P5" s="79"/>
      <c r="Q5" s="79"/>
      <c r="R5" s="79"/>
      <c r="S5" s="79"/>
      <c r="T5" s="79"/>
      <c r="U5" s="79"/>
      <c r="V5" s="79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80"/>
      <c r="D6" s="76">
        <v>1</v>
      </c>
      <c r="E6" s="76"/>
      <c r="F6" s="51" t="s">
        <v>67</v>
      </c>
      <c r="G6" s="51"/>
      <c r="H6" s="51" t="s">
        <v>44</v>
      </c>
      <c r="I6" s="80"/>
      <c r="J6" s="76">
        <v>4</v>
      </c>
      <c r="K6" s="76"/>
      <c r="L6" s="29"/>
      <c r="M6" s="51" t="s">
        <v>43</v>
      </c>
      <c r="N6" s="80"/>
      <c r="O6" s="76">
        <v>1</v>
      </c>
      <c r="P6" s="76"/>
      <c r="Q6" s="51" t="s">
        <v>67</v>
      </c>
      <c r="R6" s="51"/>
      <c r="S6" s="51" t="s">
        <v>44</v>
      </c>
      <c r="T6" s="80"/>
      <c r="U6" s="76">
        <v>4</v>
      </c>
      <c r="V6" s="7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1"/>
      <c r="G7" s="51"/>
      <c r="H7" s="51" t="s">
        <v>45</v>
      </c>
      <c r="I7" s="80"/>
      <c r="J7" s="76">
        <v>0.25</v>
      </c>
      <c r="K7" s="76"/>
      <c r="L7" s="29"/>
      <c r="M7" s="29"/>
      <c r="N7" s="29"/>
      <c r="O7" s="29"/>
      <c r="P7" s="29"/>
      <c r="Q7" s="51"/>
      <c r="R7" s="51"/>
      <c r="S7" s="51" t="s">
        <v>45</v>
      </c>
      <c r="T7" s="80"/>
      <c r="U7" s="76">
        <v>0.25</v>
      </c>
      <c r="V7" s="7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80"/>
      <c r="D9" s="82">
        <v>0</v>
      </c>
      <c r="E9" s="82"/>
      <c r="F9" s="51" t="s">
        <v>69</v>
      </c>
      <c r="G9" s="80"/>
      <c r="H9" s="81">
        <v>1</v>
      </c>
      <c r="I9" s="81"/>
      <c r="J9" s="51" t="s">
        <v>70</v>
      </c>
      <c r="K9" s="80"/>
      <c r="L9" s="81">
        <v>0</v>
      </c>
      <c r="M9" s="81"/>
      <c r="N9" s="77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7"/>
      <c r="P9" s="77"/>
      <c r="Q9" s="77"/>
      <c r="R9" s="29"/>
      <c r="S9" s="29"/>
      <c r="T9" s="29"/>
      <c r="V9" s="32" t="s">
        <v>61</v>
      </c>
      <c r="W9" s="76">
        <v>1</v>
      </c>
      <c r="X9" s="76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80"/>
      <c r="D10" s="82">
        <v>-0.12</v>
      </c>
      <c r="E10" s="82"/>
      <c r="F10" s="51" t="s">
        <v>68</v>
      </c>
      <c r="G10" s="80"/>
      <c r="H10" s="81">
        <v>200</v>
      </c>
      <c r="I10" s="81"/>
      <c r="J10" s="29"/>
      <c r="K10" s="29"/>
      <c r="L10" s="29"/>
      <c r="M10" s="29"/>
      <c r="N10" s="77"/>
      <c r="O10" s="77"/>
      <c r="P10" s="77"/>
      <c r="Q10" s="77"/>
      <c r="R10" s="29"/>
      <c r="S10" s="29"/>
      <c r="T10" s="29"/>
      <c r="V10" s="32" t="s">
        <v>62</v>
      </c>
      <c r="W10" s="76">
        <v>0</v>
      </c>
      <c r="X10" s="7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7"/>
      <c r="O11" s="77"/>
      <c r="P11" s="77"/>
      <c r="Q11" s="77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80"/>
      <c r="E12" s="83" t="s">
        <v>54</v>
      </c>
      <c r="F12" s="83"/>
      <c r="G12" s="83"/>
      <c r="H12" s="8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8" t="str">
        <f>IF(D3&gt;E15, "확정된 기초금리 입력", "")</f>
        <v>확정된 기초금리 입력</v>
      </c>
      <c r="T12" s="78"/>
      <c r="V12" s="33" t="s">
        <v>64</v>
      </c>
      <c r="Z12" s="66" t="s">
        <v>71</v>
      </c>
      <c r="AA12" s="66"/>
      <c r="AB12" s="66"/>
      <c r="AC12" s="66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5" t="s">
        <v>55</v>
      </c>
      <c r="F13" s="75" t="s">
        <v>49</v>
      </c>
      <c r="G13" s="75" t="s">
        <v>50</v>
      </c>
      <c r="H13" s="75"/>
      <c r="I13" s="75" t="s">
        <v>53</v>
      </c>
      <c r="J13" s="75"/>
      <c r="K13" s="75" t="s">
        <v>58</v>
      </c>
      <c r="L13" s="75"/>
      <c r="M13" s="75" t="s">
        <v>59</v>
      </c>
      <c r="N13" s="75"/>
      <c r="O13" s="75" t="s">
        <v>56</v>
      </c>
      <c r="P13" s="75"/>
      <c r="Q13" s="75" t="s">
        <v>57</v>
      </c>
      <c r="R13" s="75"/>
      <c r="S13" s="75" t="s">
        <v>60</v>
      </c>
      <c r="T13" s="75"/>
      <c r="V13" s="75" t="s">
        <v>63</v>
      </c>
      <c r="Z13" s="72" t="s">
        <v>72</v>
      </c>
      <c r="AA13" s="73"/>
      <c r="AB13" s="74"/>
      <c r="AC13" s="74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5"/>
      <c r="F14" s="75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5"/>
      <c r="Z14" s="72" t="s">
        <v>73</v>
      </c>
      <c r="AA14" s="73"/>
      <c r="AB14" s="70">
        <v>2027.0704181700221</v>
      </c>
      <c r="AC14" s="70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71" t="s">
        <v>74</v>
      </c>
      <c r="AA15" s="71"/>
      <c r="AB15" s="70">
        <v>-2261.4193285053689</v>
      </c>
      <c r="AC15" s="70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71" t="s">
        <v>76</v>
      </c>
      <c r="AA16" s="71"/>
      <c r="AB16" s="70">
        <v>258.31599034680562</v>
      </c>
      <c r="AC16" s="70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71" t="s">
        <v>75</v>
      </c>
      <c r="AA17" s="71"/>
      <c r="AB17" s="70">
        <v>492.66490068215239</v>
      </c>
      <c r="AC17" s="70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67" t="s">
        <v>77</v>
      </c>
      <c r="AA19" s="67"/>
      <c r="AC19" s="67" t="s">
        <v>77</v>
      </c>
      <c r="AD19" s="67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68"/>
      <c r="AA20" s="68"/>
      <c r="AC20" s="68"/>
      <c r="AD20" s="68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69" t="s">
        <v>80</v>
      </c>
      <c r="AA23" s="69"/>
      <c r="AC23" s="69" t="s">
        <v>80</v>
      </c>
      <c r="AD23" s="69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2025-01-27T08:02:30Z</dcterms:modified>
</cp:coreProperties>
</file>