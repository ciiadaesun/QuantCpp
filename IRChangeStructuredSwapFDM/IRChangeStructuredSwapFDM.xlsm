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FDM\"/>
    </mc:Choice>
  </mc:AlternateContent>
  <bookViews>
    <workbookView xWindow="0" yWindow="0" windowWidth="11496" windowHeight="9084" activeTab="1"/>
  </bookViews>
  <sheets>
    <sheet name="커브정보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0" i="1" l="1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S12" i="2" l="1"/>
  <c r="N9" i="2" l="1"/>
  <c r="H15" i="2" l="1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<sst xmlns="http://schemas.openxmlformats.org/spreadsheetml/2006/main" count="119" uniqueCount="83">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</sst>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 applyAlignment="1" applyProtection="1">
      <alignment vertical="center"/>
    </xf>
    <xf numFmtId="0" fontId="7" fillId="10" borderId="8" xfId="0" applyFont="1" applyFill="1" applyBorder="1" applyAlignment="1" applyProtection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 applyAlignment="1">
      <alignment vertical="center"/>
    </xf>
    <xf numFmtId="177" fontId="10" fillId="11" borderId="12" xfId="0" applyNumberFormat="1" applyFont="1" applyFill="1" applyBorder="1" applyAlignment="1" applyProtection="1">
      <alignment vertical="center"/>
    </xf>
    <xf numFmtId="177" fontId="9" fillId="12" borderId="12" xfId="0" applyNumberFormat="1" applyFont="1" applyFill="1" applyBorder="1" applyAlignment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 applyAlignment="1">
      <alignment vertical="center"/>
    </xf>
    <xf numFmtId="177" fontId="7" fillId="13" borderId="12" xfId="0" applyNumberFormat="1" applyFont="1" applyFill="1" applyBorder="1" applyAlignment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 applyProtection="1"/>
    <xf numFmtId="177" fontId="9" fillId="12" borderId="3" xfId="0" applyNumberFormat="1" applyFont="1" applyFill="1" applyBorder="1" applyAlignment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 applyBorder="1" applyAlignment="1" applyProtection="1">
      <alignment vertical="center"/>
    </xf>
    <xf numFmtId="10" fontId="8" fillId="15" borderId="0" xfId="0" applyNumberFormat="1" applyFont="1" applyFill="1" applyBorder="1" applyAlignment="1" applyProtection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 applyAlignment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 applyAlignment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 applyAlignment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49" fontId="10" fillId="8" borderId="0" xfId="0" applyNumberFormat="1" applyFont="1" applyFill="1" applyBorder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 applyProtection="1">
      <alignment horizontal="center" vertical="center" wrapText="1"/>
    </xf>
    <xf numFmtId="0" fontId="7" fillId="10" borderId="11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Border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6" fillId="17" borderId="0" xfId="0" applyNumberFormat="1" applyFont="1" applyFill="1" applyAlignment="1">
      <alignment horizontal="center" vertical="center"/>
    </xf>
    <xf numFmtId="14" fontId="6" fillId="17" borderId="0" xfId="0" applyNumberFormat="1" applyFont="1" applyFill="1" applyAlignment="1" applyProtection="1">
      <alignment horizontal="center" vertical="center"/>
      <protection locked="0"/>
    </xf>
    <xf numFmtId="0" fontId="6" fillId="17" borderId="0" xfId="0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3"/>
  <sheetViews>
    <sheetView workbookViewId="0">
      <selection activeCell="G5" sqref="G5:G40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</row>
    <row r="3" spans="1:45" x14ac:dyDescent="0.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</row>
    <row r="4" spans="1:45" x14ac:dyDescent="0.4">
      <c r="A4" s="1">
        <f>4</f>
        <v>4</v>
      </c>
      <c r="B4" s="52" t="s">
        <v>1</v>
      </c>
      <c r="C4" s="52"/>
      <c r="D4" s="53">
        <v>2</v>
      </c>
      <c r="E4" s="53"/>
    </row>
    <row r="5" spans="1:45" x14ac:dyDescent="0.4">
      <c r="A5" s="1">
        <f>A4+1</f>
        <v>5</v>
      </c>
      <c r="G5" s="57" t="s">
        <v>2</v>
      </c>
      <c r="H5" s="59" t="s">
        <v>46</v>
      </c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45" x14ac:dyDescent="0.4">
      <c r="A6" s="1">
        <f t="shared" ref="A6:A69" si="1">A5+1</f>
        <v>6</v>
      </c>
      <c r="B6" s="52" t="s">
        <v>3</v>
      </c>
      <c r="C6" s="52"/>
      <c r="D6" s="53">
        <v>1</v>
      </c>
      <c r="E6" s="53"/>
      <c r="G6" s="58"/>
      <c r="H6" s="60" t="s">
        <v>4</v>
      </c>
      <c r="I6" s="61"/>
      <c r="L6" s="54" t="s">
        <v>5</v>
      </c>
      <c r="M6" s="54"/>
      <c r="N6" s="54"/>
      <c r="Q6" s="54" t="s">
        <v>6</v>
      </c>
      <c r="R6" s="54"/>
      <c r="S6" s="54"/>
      <c r="V6" s="54" t="s">
        <v>7</v>
      </c>
      <c r="W6" s="54"/>
      <c r="X6" s="54"/>
    </row>
    <row r="7" spans="1:45" x14ac:dyDescent="0.4">
      <c r="A7" s="1">
        <f t="shared" si="1"/>
        <v>7</v>
      </c>
      <c r="B7" s="52" t="s">
        <v>8</v>
      </c>
      <c r="C7" s="52"/>
      <c r="D7" s="53">
        <v>1</v>
      </c>
      <c r="E7" s="53"/>
      <c r="G7" s="58"/>
      <c r="H7" s="62"/>
      <c r="I7" s="63"/>
      <c r="L7" s="54"/>
      <c r="M7" s="54"/>
      <c r="N7" s="54"/>
      <c r="Q7" s="54"/>
      <c r="R7" s="54"/>
      <c r="S7" s="54"/>
      <c r="V7" s="54"/>
      <c r="W7" s="54"/>
      <c r="X7" s="54"/>
    </row>
    <row r="8" spans="1:45" x14ac:dyDescent="0.4">
      <c r="A8" s="1">
        <f t="shared" si="1"/>
        <v>8</v>
      </c>
      <c r="B8" s="52" t="s">
        <v>9</v>
      </c>
      <c r="C8" s="52"/>
      <c r="D8" s="53">
        <v>0.01</v>
      </c>
      <c r="E8" s="53"/>
      <c r="G8" s="58"/>
      <c r="I8" s="2" t="s">
        <v>10</v>
      </c>
      <c r="V8" s="54" t="s">
        <v>11</v>
      </c>
      <c r="W8" s="54"/>
      <c r="X8" s="3">
        <v>3</v>
      </c>
    </row>
    <row r="9" spans="1:45" x14ac:dyDescent="0.4">
      <c r="A9" s="1">
        <f t="shared" si="1"/>
        <v>9</v>
      </c>
      <c r="G9" s="58"/>
      <c r="H9" s="2" t="s">
        <v>12</v>
      </c>
      <c r="I9" s="4">
        <v>0.01</v>
      </c>
      <c r="Q9" s="54" t="s">
        <v>13</v>
      </c>
      <c r="R9" s="54"/>
      <c r="S9" s="3">
        <v>3</v>
      </c>
      <c r="V9" s="55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8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56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8"/>
      <c r="H11" s="10">
        <v>1</v>
      </c>
      <c r="I11" s="11">
        <v>1.3407782430569219E-2</v>
      </c>
      <c r="L11" s="12">
        <v>1</v>
      </c>
      <c r="M11" s="13">
        <v>2.7397260273972603E-3</v>
      </c>
      <c r="N11" s="14">
        <v>3.1519999999999992E-2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0.29711575189940853</v>
      </c>
      <c r="X11" s="16">
        <v>0.30223277511673557</v>
      </c>
      <c r="Y11" s="16">
        <v>0.29785690951842136</v>
      </c>
      <c r="Z11" s="16">
        <v>0.29726033440788158</v>
      </c>
      <c r="AA11" s="16">
        <v>0.29908018972630812</v>
      </c>
      <c r="AB11" s="16">
        <v>0.29519944176614205</v>
      </c>
      <c r="AC11" s="16">
        <v>0.29289439984735399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8"/>
      <c r="H12" s="10">
        <v>2</v>
      </c>
      <c r="I12" s="11">
        <v>1.1750883187845299E-2</v>
      </c>
      <c r="L12" s="12">
        <f>L11+1</f>
        <v>2</v>
      </c>
      <c r="M12" s="13">
        <v>0.25</v>
      </c>
      <c r="N12" s="14">
        <v>3.261E-2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0.29731816815825485</v>
      </c>
      <c r="X12" s="16">
        <v>0.29715000560759469</v>
      </c>
      <c r="Y12" s="16">
        <v>0.29644310169676802</v>
      </c>
      <c r="Z12" s="16">
        <v>0.29438544513377152</v>
      </c>
      <c r="AA12" s="16">
        <v>0.29541479871739407</v>
      </c>
      <c r="AB12" s="16">
        <v>0.28717613046935253</v>
      </c>
      <c r="AC12" s="16">
        <v>0.28649021678069087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50" t="s">
        <v>23</v>
      </c>
      <c r="E13" s="50"/>
      <c r="G13" s="58"/>
      <c r="H13" s="10">
        <v>3</v>
      </c>
      <c r="I13" s="11">
        <v>1.2510628997503095E-2</v>
      </c>
      <c r="L13" s="12">
        <f t="shared" ref="L13:L53" si="2">L12+1</f>
        <v>3</v>
      </c>
      <c r="M13" s="13">
        <v>0.5</v>
      </c>
      <c r="N13" s="14">
        <v>3.3500000000000002E-2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0.29724033204370953</v>
      </c>
      <c r="X13" s="16">
        <v>0.29716249592916422</v>
      </c>
      <c r="Y13" s="16">
        <v>0.29717498625073369</v>
      </c>
      <c r="Z13" s="16">
        <v>0.28937257030241842</v>
      </c>
      <c r="AA13" s="16">
        <v>0.29040069342335539</v>
      </c>
      <c r="AB13" s="16">
        <v>0.28492963240514568</v>
      </c>
      <c r="AC13" s="16">
        <v>0.28240863276377215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50"/>
      <c r="E14" s="50"/>
      <c r="G14" s="58"/>
      <c r="H14" s="10">
        <v>4</v>
      </c>
      <c r="I14" s="11">
        <v>1.1353112416772919E-2</v>
      </c>
      <c r="L14" s="12">
        <f t="shared" si="2"/>
        <v>4</v>
      </c>
      <c r="M14" s="13">
        <v>1</v>
      </c>
      <c r="N14" s="14">
        <v>3.4509999999999999E-2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0.29598553031924729</v>
      </c>
      <c r="X14" s="16">
        <v>0.29473072859478505</v>
      </c>
      <c r="Y14" s="16">
        <v>0.29229896126040589</v>
      </c>
      <c r="Z14" s="16">
        <v>0.28636830666588853</v>
      </c>
      <c r="AA14" s="16">
        <v>0.2849370904526739</v>
      </c>
      <c r="AB14" s="16">
        <v>0.28379388192157057</v>
      </c>
      <c r="AC14" s="16">
        <v>0.2798070663699882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50"/>
      <c r="E15" s="50"/>
      <c r="G15" s="58"/>
      <c r="H15" s="10">
        <v>5</v>
      </c>
      <c r="I15" s="11">
        <v>1.268017356247831E-2</v>
      </c>
      <c r="L15" s="12">
        <f t="shared" si="2"/>
        <v>5</v>
      </c>
      <c r="M15" s="13">
        <v>1.5</v>
      </c>
      <c r="N15" s="14">
        <v>3.9999999999999994E-2</v>
      </c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0.29504729567195132</v>
      </c>
      <c r="X15" s="16">
        <v>0.29410906102465528</v>
      </c>
      <c r="Y15" s="16">
        <v>0.29348739345452551</v>
      </c>
      <c r="Z15" s="16">
        <v>0.29064634905996189</v>
      </c>
      <c r="AA15" s="16">
        <v>0.28762985175765876</v>
      </c>
      <c r="AB15" s="16">
        <v>0.2824484379257759</v>
      </c>
      <c r="AC15" s="16">
        <v>0.28044120852128707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2.8299999999999999E-2</v>
      </c>
      <c r="G16" s="58"/>
      <c r="H16" s="10">
        <v>7</v>
      </c>
      <c r="I16" s="11">
        <v>1.1655130280878735E-2</v>
      </c>
      <c r="L16" s="12">
        <f t="shared" si="2"/>
        <v>6</v>
      </c>
      <c r="M16" s="13">
        <v>2</v>
      </c>
      <c r="N16" s="14">
        <v>4.222999999999999E-2</v>
      </c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0.29334100811282815</v>
      </c>
      <c r="X16" s="16">
        <v>0.29163472055370498</v>
      </c>
      <c r="Y16" s="16">
        <v>0.28916038008275469</v>
      </c>
      <c r="Z16" s="16">
        <v>0.28763947086819353</v>
      </c>
      <c r="AA16" s="16">
        <v>0.28099732722068071</v>
      </c>
      <c r="AB16" s="16">
        <v>0.28156800987879538</v>
      </c>
      <c r="AC16" s="16">
        <v>0.27650085643237637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51">
        <v>45016.367997685185</v>
      </c>
      <c r="E17" s="51"/>
      <c r="G17" s="58"/>
      <c r="H17" s="10">
        <v>10</v>
      </c>
      <c r="I17" s="11">
        <v>1.0407980775703736E-2</v>
      </c>
      <c r="L17" s="12">
        <f t="shared" si="2"/>
        <v>7</v>
      </c>
      <c r="M17" s="13">
        <v>2</v>
      </c>
      <c r="N17" s="14">
        <v>4.222999999999999E-2</v>
      </c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0.29168249543038094</v>
      </c>
      <c r="X17" s="16">
        <v>0.29002398274793367</v>
      </c>
      <c r="Y17" s="16">
        <v>0.28841324494216236</v>
      </c>
      <c r="Z17" s="16">
        <v>0.28657200821606188</v>
      </c>
      <c r="AA17" s="16">
        <v>0.28293319162819597</v>
      </c>
      <c r="AB17" s="16">
        <v>0.27733549492199805</v>
      </c>
      <c r="AC17" s="16">
        <v>0.27242134733632339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51">
        <v>45016.367997685185</v>
      </c>
      <c r="E18" s="51"/>
      <c r="G18" s="58"/>
      <c r="H18" s="10"/>
      <c r="I18" s="11"/>
      <c r="L18" s="12">
        <f t="shared" si="2"/>
        <v>8</v>
      </c>
      <c r="M18" s="13">
        <v>3</v>
      </c>
      <c r="N18" s="14">
        <v>4.2499999999999996E-2</v>
      </c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8"/>
      <c r="H19" s="10"/>
      <c r="I19" s="11"/>
      <c r="L19" s="12">
        <f t="shared" si="2"/>
        <v>9</v>
      </c>
      <c r="M19" s="13">
        <v>4</v>
      </c>
      <c r="N19" s="14">
        <v>4.3450000000000003E-2</v>
      </c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8"/>
      <c r="H20" s="10"/>
      <c r="I20" s="11"/>
      <c r="L20" s="12">
        <f t="shared" si="2"/>
        <v>10</v>
      </c>
      <c r="M20" s="13">
        <v>5</v>
      </c>
      <c r="N20" s="14">
        <v>4.2889999999999998E-2</v>
      </c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8"/>
      <c r="H21" s="10"/>
      <c r="I21" s="11"/>
      <c r="L21" s="12">
        <f t="shared" si="2"/>
        <v>11</v>
      </c>
      <c r="M21" s="13">
        <v>10</v>
      </c>
      <c r="N21" s="14">
        <v>4.274E-2</v>
      </c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8"/>
      <c r="H22" s="10"/>
      <c r="I22" s="11"/>
      <c r="L22" s="12">
        <f t="shared" si="2"/>
        <v>12</v>
      </c>
      <c r="M22" s="13">
        <v>20</v>
      </c>
      <c r="N22" s="14">
        <v>4.1399999999999992E-2</v>
      </c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G23" s="58"/>
      <c r="H23" s="10"/>
      <c r="I23" s="11"/>
      <c r="L23" s="12">
        <f t="shared" si="2"/>
        <v>13</v>
      </c>
      <c r="M23" s="13">
        <v>30</v>
      </c>
      <c r="N23" s="14">
        <v>4.0489999999999998E-2</v>
      </c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8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8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8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8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8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8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8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8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8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8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8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8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8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8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8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8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8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7" t="s">
        <v>25</v>
      </c>
      <c r="H55" s="59" t="s">
        <v>47</v>
      </c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</row>
    <row r="56" spans="1:40" x14ac:dyDescent="0.4">
      <c r="A56" s="1">
        <f t="shared" si="1"/>
        <v>56</v>
      </c>
      <c r="B56" s="52" t="s">
        <v>3</v>
      </c>
      <c r="C56" s="52"/>
      <c r="D56" s="53">
        <v>1</v>
      </c>
      <c r="E56" s="53"/>
      <c r="G56" s="58"/>
      <c r="H56" s="60" t="s">
        <v>26</v>
      </c>
      <c r="I56" s="61"/>
      <c r="L56" s="54" t="s">
        <v>27</v>
      </c>
      <c r="M56" s="54"/>
      <c r="N56" s="54"/>
      <c r="Q56" s="54" t="s">
        <v>6</v>
      </c>
      <c r="R56" s="54"/>
      <c r="S56" s="54"/>
      <c r="V56" s="54" t="s">
        <v>28</v>
      </c>
      <c r="W56" s="54"/>
      <c r="X56" s="54"/>
    </row>
    <row r="57" spans="1:40" x14ac:dyDescent="0.4">
      <c r="A57" s="1">
        <f t="shared" si="1"/>
        <v>57</v>
      </c>
      <c r="B57" s="52" t="s">
        <v>29</v>
      </c>
      <c r="C57" s="52"/>
      <c r="D57" s="53">
        <v>1</v>
      </c>
      <c r="E57" s="53"/>
      <c r="G57" s="58"/>
      <c r="H57" s="62"/>
      <c r="I57" s="63"/>
      <c r="L57" s="54"/>
      <c r="M57" s="54"/>
      <c r="N57" s="54"/>
      <c r="Q57" s="54"/>
      <c r="R57" s="54"/>
      <c r="S57" s="54"/>
      <c r="V57" s="54"/>
      <c r="W57" s="54"/>
      <c r="X57" s="54"/>
    </row>
    <row r="58" spans="1:40" x14ac:dyDescent="0.4">
      <c r="A58" s="1">
        <f t="shared" si="1"/>
        <v>58</v>
      </c>
      <c r="B58" s="52" t="s">
        <v>9</v>
      </c>
      <c r="C58" s="52"/>
      <c r="D58" s="53">
        <v>0.01</v>
      </c>
      <c r="E58" s="53"/>
      <c r="G58" s="58"/>
      <c r="I58" s="2" t="s">
        <v>10</v>
      </c>
      <c r="V58" s="54" t="s">
        <v>11</v>
      </c>
      <c r="W58" s="54"/>
      <c r="X58" s="3">
        <v>3</v>
      </c>
    </row>
    <row r="59" spans="1:40" x14ac:dyDescent="0.4">
      <c r="A59" s="1">
        <f t="shared" si="1"/>
        <v>59</v>
      </c>
      <c r="G59" s="58"/>
      <c r="H59" s="2" t="s">
        <v>12</v>
      </c>
      <c r="I59" s="4">
        <v>0.01</v>
      </c>
      <c r="Q59" s="54" t="s">
        <v>30</v>
      </c>
      <c r="R59" s="54"/>
      <c r="S59" s="3">
        <v>3</v>
      </c>
      <c r="V59" s="55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8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56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8"/>
      <c r="H61" s="10">
        <v>1</v>
      </c>
      <c r="I61" s="11">
        <v>1.3179794086105324E-2</v>
      </c>
      <c r="L61" s="12">
        <v>1</v>
      </c>
      <c r="M61" s="13">
        <v>0.25</v>
      </c>
      <c r="N61" s="14">
        <v>4.2140000000000004E-2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0.29711575189940853</v>
      </c>
      <c r="X61" s="16">
        <v>0.30223277511673557</v>
      </c>
      <c r="Y61" s="16">
        <v>0.29785690951842136</v>
      </c>
      <c r="Z61" s="16">
        <v>0.29726033440788158</v>
      </c>
      <c r="AA61" s="16">
        <v>0.29908018972630812</v>
      </c>
      <c r="AB61" s="16">
        <v>0.29519944176614205</v>
      </c>
      <c r="AC61" s="16">
        <v>0.29289439984735399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8"/>
      <c r="H62" s="10">
        <v>2</v>
      </c>
      <c r="I62" s="11">
        <v>1.2003347093782295E-2</v>
      </c>
      <c r="L62" s="12">
        <f>L61+1</f>
        <v>2</v>
      </c>
      <c r="M62" s="13">
        <v>0.5</v>
      </c>
      <c r="N62" s="14">
        <v>4.5100000000000001E-2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0.29731816815825485</v>
      </c>
      <c r="X62" s="16">
        <v>0.29715000560759469</v>
      </c>
      <c r="Y62" s="16">
        <v>0.29644310169676802</v>
      </c>
      <c r="Z62" s="16">
        <v>0.29438544513377152</v>
      </c>
      <c r="AA62" s="16">
        <v>0.29541479871739407</v>
      </c>
      <c r="AB62" s="16">
        <v>0.28717613046935253</v>
      </c>
      <c r="AC62" s="16">
        <v>0.28649021678069087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50" t="s">
        <v>23</v>
      </c>
      <c r="E63" s="50"/>
      <c r="G63" s="58"/>
      <c r="H63" s="10">
        <v>3</v>
      </c>
      <c r="I63" s="11">
        <v>1.1763422778972145E-2</v>
      </c>
      <c r="L63" s="12">
        <f t="shared" ref="L63:L103" si="4">L62+1</f>
        <v>3</v>
      </c>
      <c r="M63" s="13">
        <v>1</v>
      </c>
      <c r="N63" s="14">
        <v>4.8210000000000003E-2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0.29724033204370953</v>
      </c>
      <c r="X63" s="16">
        <v>0.29716249592916422</v>
      </c>
      <c r="Y63" s="16">
        <v>0.29717498625073369</v>
      </c>
      <c r="Z63" s="16">
        <v>0.28937257030241842</v>
      </c>
      <c r="AA63" s="16">
        <v>0.29040069342335539</v>
      </c>
      <c r="AB63" s="16">
        <v>0.28492963240514568</v>
      </c>
      <c r="AC63" s="16">
        <v>0.28240863276377215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50"/>
      <c r="E64" s="50"/>
      <c r="G64" s="58"/>
      <c r="H64" s="10">
        <v>4</v>
      </c>
      <c r="I64" s="11">
        <v>1.2245700586857295E-2</v>
      </c>
      <c r="L64" s="12">
        <f t="shared" si="4"/>
        <v>4</v>
      </c>
      <c r="M64" s="13">
        <v>2</v>
      </c>
      <c r="N64" s="14">
        <v>4.7410000000000001E-2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0.29598553031924729</v>
      </c>
      <c r="X64" s="16">
        <v>0.29473072859478505</v>
      </c>
      <c r="Y64" s="16">
        <v>0.29229896126040589</v>
      </c>
      <c r="Z64" s="16">
        <v>0.28636830666588853</v>
      </c>
      <c r="AA64" s="16">
        <v>0.2849370904526739</v>
      </c>
      <c r="AB64" s="16">
        <v>0.28379388192157057</v>
      </c>
      <c r="AC64" s="16">
        <v>0.2798070663699882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50"/>
      <c r="E65" s="50"/>
      <c r="G65" s="58"/>
      <c r="H65" s="10">
        <v>5</v>
      </c>
      <c r="I65" s="11">
        <v>1.2995777704928289E-2</v>
      </c>
      <c r="L65" s="12">
        <f t="shared" si="4"/>
        <v>5</v>
      </c>
      <c r="M65" s="13">
        <v>3</v>
      </c>
      <c r="N65" s="14">
        <v>4.727E-2</v>
      </c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0.29504729567195132</v>
      </c>
      <c r="X65" s="16">
        <v>0.29410906102465528</v>
      </c>
      <c r="Y65" s="16">
        <v>0.29348739345452551</v>
      </c>
      <c r="Z65" s="16">
        <v>0.29064634905996189</v>
      </c>
      <c r="AA65" s="16">
        <v>0.28762985175765876</v>
      </c>
      <c r="AB65" s="16">
        <v>0.2824484379257759</v>
      </c>
      <c r="AC65" s="16">
        <v>0.28044120852128707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3.3799999999999997E-2</v>
      </c>
      <c r="G66" s="58"/>
      <c r="H66" s="10">
        <v>7</v>
      </c>
      <c r="I66" s="11">
        <v>1.3388249104174767E-2</v>
      </c>
      <c r="L66" s="12">
        <f t="shared" si="4"/>
        <v>6</v>
      </c>
      <c r="M66" s="13">
        <v>5</v>
      </c>
      <c r="N66" s="14">
        <v>4.5089999999999998E-2</v>
      </c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0.29334100811282815</v>
      </c>
      <c r="X66" s="16">
        <v>0.29163472055370498</v>
      </c>
      <c r="Y66" s="16">
        <v>0.28916038008275469</v>
      </c>
      <c r="Z66" s="16">
        <v>0.28763947086819353</v>
      </c>
      <c r="AA66" s="16">
        <v>0.28099732722068071</v>
      </c>
      <c r="AB66" s="16">
        <v>0.28156800987879538</v>
      </c>
      <c r="AC66" s="16">
        <v>0.27650085643237637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51">
        <v>45016.367997685185</v>
      </c>
      <c r="E67" s="51"/>
      <c r="G67" s="58"/>
      <c r="H67" s="10">
        <v>10</v>
      </c>
      <c r="I67" s="11">
        <v>1.5966173861409756E-2</v>
      </c>
      <c r="L67" s="12">
        <f t="shared" si="4"/>
        <v>7</v>
      </c>
      <c r="M67" s="13">
        <v>7</v>
      </c>
      <c r="N67" s="14">
        <v>4.4120000000000006E-2</v>
      </c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0.29168249543038094</v>
      </c>
      <c r="X67" s="16">
        <v>0.29002398274793367</v>
      </c>
      <c r="Y67" s="16">
        <v>0.28841324494216236</v>
      </c>
      <c r="Z67" s="16">
        <v>0.28657200821606188</v>
      </c>
      <c r="AA67" s="16">
        <v>0.28293319162819597</v>
      </c>
      <c r="AB67" s="16">
        <v>0.27733549492199805</v>
      </c>
      <c r="AC67" s="16">
        <v>0.27242134733632339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51">
        <v>45016.367997685185</v>
      </c>
      <c r="E68" s="51"/>
      <c r="G68" s="58"/>
      <c r="H68" s="10"/>
      <c r="I68" s="11"/>
      <c r="L68" s="12">
        <f t="shared" si="4"/>
        <v>8</v>
      </c>
      <c r="M68" s="13">
        <v>10</v>
      </c>
      <c r="N68" s="14">
        <v>4.2840000000000003E-2</v>
      </c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8"/>
      <c r="H69" s="10"/>
      <c r="I69" s="11"/>
      <c r="L69" s="12">
        <f t="shared" si="4"/>
        <v>9</v>
      </c>
      <c r="M69" s="13">
        <v>20</v>
      </c>
      <c r="N69" s="14">
        <v>4.5839999999999999E-2</v>
      </c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8"/>
      <c r="H70" s="10"/>
      <c r="I70" s="11"/>
      <c r="L70" s="12">
        <f t="shared" si="4"/>
        <v>10</v>
      </c>
      <c r="M70" s="13">
        <v>30</v>
      </c>
      <c r="N70" s="14">
        <f>N69+0.001</f>
        <v>4.684E-2</v>
      </c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8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8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G73" s="58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8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8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8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8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8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8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8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8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8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8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8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8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8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8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8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8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8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39"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  <mergeCell ref="Q9:R9"/>
    <mergeCell ref="V9:V10"/>
    <mergeCell ref="D13:E15"/>
    <mergeCell ref="D17:E17"/>
    <mergeCell ref="D18:E18"/>
    <mergeCell ref="B56:C56"/>
    <mergeCell ref="D56:E56"/>
    <mergeCell ref="H56:I57"/>
    <mergeCell ref="L56:N57"/>
    <mergeCell ref="Q56:S57"/>
    <mergeCell ref="B57:C57"/>
    <mergeCell ref="D57:E57"/>
    <mergeCell ref="V58:W58"/>
    <mergeCell ref="Q59:R59"/>
    <mergeCell ref="V59:V60"/>
    <mergeCell ref="G55:G90"/>
    <mergeCell ref="H55:X55"/>
    <mergeCell ref="V56:X57"/>
    <mergeCell ref="D63:E65"/>
    <mergeCell ref="D67:E67"/>
    <mergeCell ref="D68:E68"/>
    <mergeCell ref="B58:C58"/>
    <mergeCell ref="D58:E5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84"/>
  <sheetViews>
    <sheetView tabSelected="1" topLeftCell="M1" zoomScale="85" zoomScaleNormal="85" workbookViewId="0"/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83" t="s">
        <v>40</v>
      </c>
      <c r="C3" s="83"/>
      <c r="D3" s="85">
        <v>44846</v>
      </c>
      <c r="E3" s="86"/>
      <c r="F3" s="83" t="s">
        <v>41</v>
      </c>
      <c r="G3" s="83"/>
      <c r="H3" s="84">
        <v>0</v>
      </c>
      <c r="I3" s="84"/>
      <c r="J3" s="83" t="s">
        <v>42</v>
      </c>
      <c r="K3" s="83"/>
      <c r="L3" s="75">
        <v>0</v>
      </c>
      <c r="M3" s="75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8" t="s">
        <v>65</v>
      </c>
      <c r="C4" s="78"/>
      <c r="D4" s="78"/>
      <c r="E4" s="78"/>
      <c r="F4" s="78"/>
      <c r="G4" s="78"/>
      <c r="H4" s="78"/>
      <c r="I4" s="78"/>
      <c r="J4" s="78"/>
      <c r="K4" s="78"/>
      <c r="L4" s="29"/>
      <c r="M4" s="78" t="s">
        <v>66</v>
      </c>
      <c r="N4" s="78"/>
      <c r="O4" s="78"/>
      <c r="P4" s="78"/>
      <c r="Q4" s="78"/>
      <c r="R4" s="78"/>
      <c r="S4" s="78"/>
      <c r="T4" s="78"/>
      <c r="U4" s="78"/>
      <c r="V4" s="78"/>
      <c r="Z4" s="29"/>
      <c r="AA4" s="29"/>
      <c r="AC4" s="29"/>
      <c r="AD4" s="29"/>
    </row>
    <row r="5" spans="1:30" x14ac:dyDescent="0.4">
      <c r="A5" s="29">
        <f t="shared" si="3"/>
        <v>5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29"/>
      <c r="M5" s="78"/>
      <c r="N5" s="78"/>
      <c r="O5" s="78"/>
      <c r="P5" s="78"/>
      <c r="Q5" s="78"/>
      <c r="R5" s="78"/>
      <c r="S5" s="78"/>
      <c r="T5" s="78"/>
      <c r="U5" s="78"/>
      <c r="V5" s="78"/>
      <c r="Z5" s="29"/>
      <c r="AA5" s="29"/>
      <c r="AC5" s="29"/>
      <c r="AD5" s="29"/>
    </row>
    <row r="6" spans="1:30" x14ac:dyDescent="0.4">
      <c r="A6" s="29">
        <f t="shared" si="3"/>
        <v>6</v>
      </c>
      <c r="B6" s="52" t="s">
        <v>43</v>
      </c>
      <c r="C6" s="79"/>
      <c r="D6" s="75">
        <v>1</v>
      </c>
      <c r="E6" s="75"/>
      <c r="F6" s="52" t="s">
        <v>67</v>
      </c>
      <c r="G6" s="52"/>
      <c r="H6" s="52" t="s">
        <v>44</v>
      </c>
      <c r="I6" s="79"/>
      <c r="J6" s="75">
        <v>4</v>
      </c>
      <c r="K6" s="75"/>
      <c r="L6" s="29"/>
      <c r="M6" s="52" t="s">
        <v>43</v>
      </c>
      <c r="N6" s="79"/>
      <c r="O6" s="75">
        <v>1</v>
      </c>
      <c r="P6" s="75"/>
      <c r="Q6" s="52" t="s">
        <v>67</v>
      </c>
      <c r="R6" s="52"/>
      <c r="S6" s="52" t="s">
        <v>44</v>
      </c>
      <c r="T6" s="79"/>
      <c r="U6" s="75">
        <v>4</v>
      </c>
      <c r="V6" s="75"/>
      <c r="Z6" s="29"/>
      <c r="AA6" s="29"/>
      <c r="AC6" s="29"/>
      <c r="AD6" s="29"/>
    </row>
    <row r="7" spans="1:30" x14ac:dyDescent="0.4">
      <c r="A7" s="29">
        <f t="shared" si="3"/>
        <v>7</v>
      </c>
      <c r="E7" s="29"/>
      <c r="F7" s="52"/>
      <c r="G7" s="52"/>
      <c r="H7" s="52" t="s">
        <v>45</v>
      </c>
      <c r="I7" s="79"/>
      <c r="J7" s="75">
        <v>0.25</v>
      </c>
      <c r="K7" s="75"/>
      <c r="L7" s="29"/>
      <c r="M7" s="29"/>
      <c r="N7" s="29"/>
      <c r="O7" s="29"/>
      <c r="P7" s="29"/>
      <c r="Q7" s="52"/>
      <c r="R7" s="52"/>
      <c r="S7" s="52" t="s">
        <v>45</v>
      </c>
      <c r="T7" s="79"/>
      <c r="U7" s="75">
        <v>0.25</v>
      </c>
      <c r="V7" s="75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2" t="s">
        <v>82</v>
      </c>
      <c r="C9" s="79"/>
      <c r="D9" s="81">
        <v>0</v>
      </c>
      <c r="E9" s="81"/>
      <c r="F9" s="52" t="s">
        <v>69</v>
      </c>
      <c r="G9" s="79"/>
      <c r="H9" s="80">
        <v>0</v>
      </c>
      <c r="I9" s="80"/>
      <c r="J9" s="52" t="s">
        <v>70</v>
      </c>
      <c r="K9" s="79"/>
      <c r="L9" s="80">
        <v>0</v>
      </c>
      <c r="M9" s="80"/>
      <c r="N9" s="76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6"/>
      <c r="P9" s="76"/>
      <c r="Q9" s="76"/>
      <c r="R9" s="29"/>
      <c r="S9" s="29"/>
      <c r="T9" s="29"/>
      <c r="V9" s="32" t="s">
        <v>61</v>
      </c>
      <c r="W9" s="75">
        <v>1</v>
      </c>
      <c r="X9" s="75"/>
      <c r="Z9" s="29"/>
      <c r="AA9" s="29"/>
      <c r="AC9" s="29"/>
      <c r="AD9" s="29"/>
    </row>
    <row r="10" spans="1:30" x14ac:dyDescent="0.4">
      <c r="A10" s="29">
        <f t="shared" si="3"/>
        <v>10</v>
      </c>
      <c r="B10" s="52" t="s">
        <v>81</v>
      </c>
      <c r="C10" s="79"/>
      <c r="D10" s="81">
        <v>0</v>
      </c>
      <c r="E10" s="81"/>
      <c r="F10" s="52" t="s">
        <v>68</v>
      </c>
      <c r="G10" s="79"/>
      <c r="H10" s="80">
        <v>200</v>
      </c>
      <c r="I10" s="80"/>
      <c r="J10" s="29"/>
      <c r="K10" s="29"/>
      <c r="L10" s="29"/>
      <c r="M10" s="29"/>
      <c r="N10" s="76"/>
      <c r="O10" s="76"/>
      <c r="P10" s="76"/>
      <c r="Q10" s="76"/>
      <c r="R10" s="29"/>
      <c r="S10" s="29"/>
      <c r="T10" s="29"/>
      <c r="V10" s="32" t="s">
        <v>62</v>
      </c>
      <c r="W10" s="75">
        <v>0</v>
      </c>
      <c r="X10" s="75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6"/>
      <c r="O11" s="76"/>
      <c r="P11" s="76"/>
      <c r="Q11" s="76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2" t="s">
        <v>48</v>
      </c>
      <c r="C12" s="79"/>
      <c r="E12" s="82" t="s">
        <v>54</v>
      </c>
      <c r="F12" s="82"/>
      <c r="G12" s="82"/>
      <c r="H12" s="82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7" t="str">
        <f>IF(D3&gt;E15, "확정된 기초금리 입력", "")</f>
        <v>확정된 기초금리 입력</v>
      </c>
      <c r="T12" s="77"/>
      <c r="V12" s="33" t="s">
        <v>64</v>
      </c>
      <c r="Z12" s="65" t="s">
        <v>71</v>
      </c>
      <c r="AA12" s="65"/>
      <c r="AB12" s="65"/>
      <c r="AC12" s="65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4" t="s">
        <v>55</v>
      </c>
      <c r="F13" s="74" t="s">
        <v>49</v>
      </c>
      <c r="G13" s="74" t="s">
        <v>50</v>
      </c>
      <c r="H13" s="74"/>
      <c r="I13" s="74" t="s">
        <v>53</v>
      </c>
      <c r="J13" s="74"/>
      <c r="K13" s="74" t="s">
        <v>58</v>
      </c>
      <c r="L13" s="74"/>
      <c r="M13" s="74" t="s">
        <v>59</v>
      </c>
      <c r="N13" s="74"/>
      <c r="O13" s="74" t="s">
        <v>56</v>
      </c>
      <c r="P13" s="74"/>
      <c r="Q13" s="74" t="s">
        <v>57</v>
      </c>
      <c r="R13" s="74"/>
      <c r="S13" s="74" t="s">
        <v>60</v>
      </c>
      <c r="T13" s="74"/>
      <c r="V13" s="74" t="s">
        <v>63</v>
      </c>
      <c r="Z13" s="71" t="s">
        <v>72</v>
      </c>
      <c r="AA13" s="72"/>
      <c r="AB13" s="73"/>
      <c r="AC13" s="73"/>
      <c r="AD13" s="29"/>
    </row>
    <row r="14" spans="1:30" x14ac:dyDescent="0.4">
      <c r="A14" s="29">
        <f t="shared" si="3"/>
        <v>14</v>
      </c>
      <c r="B14" s="30">
        <v>0.5</v>
      </c>
      <c r="C14" s="31">
        <v>0.1</v>
      </c>
      <c r="E14" s="74"/>
      <c r="F14" s="74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4"/>
      <c r="Z14" s="71" t="s">
        <v>73</v>
      </c>
      <c r="AA14" s="72"/>
      <c r="AB14" s="69">
        <v>2002.9487078992452</v>
      </c>
      <c r="AC14" s="69"/>
      <c r="AD14" s="29"/>
    </row>
    <row r="15" spans="1:30" x14ac:dyDescent="0.4">
      <c r="A15" s="29">
        <f t="shared" si="3"/>
        <v>15</v>
      </c>
      <c r="B15" s="30">
        <v>1</v>
      </c>
      <c r="C15" s="31">
        <v>0.1</v>
      </c>
      <c r="E15" s="35">
        <v>43109</v>
      </c>
      <c r="F15" s="35">
        <v>43199</v>
      </c>
      <c r="G15" s="35">
        <f>F15+2</f>
        <v>43201</v>
      </c>
      <c r="H15" s="35">
        <f>F15+3</f>
        <v>43202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2E-3</v>
      </c>
      <c r="S15" s="37">
        <v>3.04E-2</v>
      </c>
      <c r="T15" s="37">
        <v>4.2139999999999997E-2</v>
      </c>
      <c r="V15" s="35">
        <v>43187</v>
      </c>
      <c r="W15" s="39"/>
      <c r="Z15" s="70" t="s">
        <v>74</v>
      </c>
      <c r="AA15" s="70"/>
      <c r="AB15" s="69">
        <v>-2192.8275005425317</v>
      </c>
      <c r="AC15" s="69"/>
      <c r="AD15" s="29"/>
    </row>
    <row r="16" spans="1:30" x14ac:dyDescent="0.4">
      <c r="A16" s="29">
        <f t="shared" si="3"/>
        <v>16</v>
      </c>
      <c r="B16" s="30">
        <v>1.5</v>
      </c>
      <c r="C16" s="31">
        <v>0.1</v>
      </c>
      <c r="E16" s="35">
        <v>43199</v>
      </c>
      <c r="F16" s="35">
        <v>43290</v>
      </c>
      <c r="G16" s="35">
        <f t="shared" ref="G16:G54" si="4">F16+2</f>
        <v>43292</v>
      </c>
      <c r="H16" s="35">
        <f t="shared" ref="H16:H54" si="5">F16+3</f>
        <v>43293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2E-3</v>
      </c>
      <c r="S16" s="37">
        <v>3.04E-2</v>
      </c>
      <c r="T16" s="37">
        <v>4.2139999999999997E-2</v>
      </c>
      <c r="V16" s="35">
        <v>43278</v>
      </c>
      <c r="W16" s="39"/>
      <c r="Z16" s="70" t="s">
        <v>76</v>
      </c>
      <c r="AA16" s="70"/>
      <c r="AB16" s="69">
        <v>234.34778632434612</v>
      </c>
      <c r="AC16" s="69"/>
      <c r="AD16" s="29"/>
    </row>
    <row r="17" spans="1:30" x14ac:dyDescent="0.4">
      <c r="A17" s="29">
        <f t="shared" si="3"/>
        <v>17</v>
      </c>
      <c r="B17" s="30">
        <v>2</v>
      </c>
      <c r="C17" s="31">
        <v>0.1</v>
      </c>
      <c r="E17" s="35">
        <v>43290</v>
      </c>
      <c r="F17" s="35">
        <v>43382</v>
      </c>
      <c r="G17" s="35">
        <f t="shared" si="4"/>
        <v>43384</v>
      </c>
      <c r="H17" s="35">
        <f t="shared" si="5"/>
        <v>43385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2E-3</v>
      </c>
      <c r="S17" s="37">
        <v>3.04E-2</v>
      </c>
      <c r="T17" s="37">
        <v>4.2139999999999997E-2</v>
      </c>
      <c r="V17" s="35">
        <v>43370</v>
      </c>
      <c r="W17" s="39"/>
      <c r="Z17" s="70" t="s">
        <v>75</v>
      </c>
      <c r="AA17" s="70"/>
      <c r="AB17" s="69">
        <v>424.22657896763258</v>
      </c>
      <c r="AC17" s="69"/>
      <c r="AD17" s="29"/>
    </row>
    <row r="18" spans="1:30" x14ac:dyDescent="0.4">
      <c r="A18" s="29">
        <f t="shared" si="3"/>
        <v>18</v>
      </c>
      <c r="B18" s="30">
        <v>3</v>
      </c>
      <c r="C18" s="31">
        <v>0.1</v>
      </c>
      <c r="E18" s="35">
        <v>43382</v>
      </c>
      <c r="F18" s="35">
        <v>43474</v>
      </c>
      <c r="G18" s="35">
        <f t="shared" si="4"/>
        <v>43476</v>
      </c>
      <c r="H18" s="35">
        <f t="shared" si="5"/>
        <v>43477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2E-3</v>
      </c>
      <c r="S18" s="37">
        <v>3.04E-2</v>
      </c>
      <c r="T18" s="37">
        <v>4.2139999999999997E-2</v>
      </c>
      <c r="V18" s="35">
        <v>43462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0.1</v>
      </c>
      <c r="E19" s="35">
        <v>43474</v>
      </c>
      <c r="F19" s="35">
        <v>43564</v>
      </c>
      <c r="G19" s="35">
        <f t="shared" si="4"/>
        <v>43566</v>
      </c>
      <c r="H19" s="35">
        <f t="shared" si="5"/>
        <v>43567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2E-3</v>
      </c>
      <c r="S19" s="37">
        <v>3.04E-2</v>
      </c>
      <c r="T19" s="37">
        <v>4.2139999999999997E-2</v>
      </c>
      <c r="V19" s="35">
        <v>43552</v>
      </c>
      <c r="Z19" s="66" t="s">
        <v>77</v>
      </c>
      <c r="AA19" s="66"/>
      <c r="AC19" s="66" t="s">
        <v>77</v>
      </c>
      <c r="AD19" s="66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43564</v>
      </c>
      <c r="F20" s="35">
        <v>43655</v>
      </c>
      <c r="G20" s="35">
        <f t="shared" si="4"/>
        <v>43657</v>
      </c>
      <c r="H20" s="35">
        <f t="shared" si="5"/>
        <v>43658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2E-3</v>
      </c>
      <c r="S20" s="37">
        <v>3.04E-2</v>
      </c>
      <c r="T20" s="37">
        <v>4.2139999999999997E-2</v>
      </c>
      <c r="V20" s="35">
        <v>43643</v>
      </c>
      <c r="Z20" s="67"/>
      <c r="AA20" s="67"/>
      <c r="AC20" s="67"/>
      <c r="AD20" s="67"/>
    </row>
    <row r="21" spans="1:30" ht="18" customHeight="1" x14ac:dyDescent="0.4">
      <c r="A21" s="29">
        <f t="shared" si="3"/>
        <v>21</v>
      </c>
      <c r="B21" s="34"/>
      <c r="C21" s="34"/>
      <c r="E21" s="35">
        <v>43655</v>
      </c>
      <c r="F21" s="35">
        <v>43747</v>
      </c>
      <c r="G21" s="35">
        <f t="shared" si="4"/>
        <v>43749</v>
      </c>
      <c r="H21" s="35">
        <f t="shared" si="5"/>
        <v>43750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2E-3</v>
      </c>
      <c r="S21" s="37">
        <v>3.04E-2</v>
      </c>
      <c r="T21" s="37">
        <v>4.2139999999999997E-2</v>
      </c>
      <c r="V21" s="35">
        <v>43735</v>
      </c>
      <c r="Z21" s="40" t="s">
        <v>78</v>
      </c>
      <c r="AA21" s="49"/>
      <c r="AC21" s="40" t="s">
        <v>78</v>
      </c>
      <c r="AD21" s="49"/>
    </row>
    <row r="22" spans="1:30" ht="18" thickBot="1" x14ac:dyDescent="0.45">
      <c r="A22" s="29">
        <f t="shared" si="3"/>
        <v>22</v>
      </c>
      <c r="B22" s="34"/>
      <c r="C22" s="34"/>
      <c r="E22" s="35">
        <v>43747</v>
      </c>
      <c r="F22" s="35">
        <v>43839</v>
      </c>
      <c r="G22" s="35">
        <f t="shared" si="4"/>
        <v>43841</v>
      </c>
      <c r="H22" s="35">
        <f t="shared" si="5"/>
        <v>43842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2E-3</v>
      </c>
      <c r="S22" s="37">
        <v>3.04E-2</v>
      </c>
      <c r="T22" s="37">
        <v>4.2139999999999997E-2</v>
      </c>
      <c r="V22" s="35">
        <v>43827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43839</v>
      </c>
      <c r="F23" s="35">
        <v>43930</v>
      </c>
      <c r="G23" s="35">
        <f t="shared" si="4"/>
        <v>43932</v>
      </c>
      <c r="H23" s="35">
        <f t="shared" si="5"/>
        <v>43933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2E-3</v>
      </c>
      <c r="S23" s="37">
        <v>3.04E-2</v>
      </c>
      <c r="T23" s="37">
        <v>4.2139999999999997E-2</v>
      </c>
      <c r="V23" s="35">
        <v>43918</v>
      </c>
      <c r="Z23" s="68" t="s">
        <v>80</v>
      </c>
      <c r="AA23" s="68"/>
      <c r="AC23" s="68" t="s">
        <v>80</v>
      </c>
      <c r="AD23" s="68"/>
    </row>
    <row r="24" spans="1:30" x14ac:dyDescent="0.4">
      <c r="A24" s="29">
        <f t="shared" si="3"/>
        <v>24</v>
      </c>
      <c r="B24" s="34"/>
      <c r="C24" s="34"/>
      <c r="E24" s="35">
        <v>43930</v>
      </c>
      <c r="F24" s="35">
        <v>44021</v>
      </c>
      <c r="G24" s="35">
        <f t="shared" si="4"/>
        <v>44023</v>
      </c>
      <c r="H24" s="35">
        <f t="shared" si="5"/>
        <v>44024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2E-3</v>
      </c>
      <c r="S24" s="37">
        <v>3.04E-2</v>
      </c>
      <c r="T24" s="37">
        <v>4.2139999999999997E-2</v>
      </c>
      <c r="V24" s="35">
        <v>44009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44021</v>
      </c>
      <c r="F25" s="35">
        <v>44113</v>
      </c>
      <c r="G25" s="35">
        <f t="shared" si="4"/>
        <v>44115</v>
      </c>
      <c r="H25" s="35">
        <f t="shared" si="5"/>
        <v>44116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2E-3</v>
      </c>
      <c r="S25" s="37">
        <v>3.04E-2</v>
      </c>
      <c r="T25" s="37">
        <v>4.2139999999999997E-2</v>
      </c>
      <c r="V25" s="35">
        <v>44101</v>
      </c>
      <c r="Z25" s="40"/>
      <c r="AA25" s="41"/>
      <c r="AC25" s="40"/>
      <c r="AD25" s="41"/>
    </row>
    <row r="26" spans="1:30" x14ac:dyDescent="0.4">
      <c r="A26" s="29">
        <f t="shared" si="3"/>
        <v>26</v>
      </c>
      <c r="B26" s="34"/>
      <c r="C26" s="34"/>
      <c r="D26" s="48"/>
      <c r="E26" s="35">
        <v>44113</v>
      </c>
      <c r="F26" s="35">
        <v>44205</v>
      </c>
      <c r="G26" s="35">
        <f t="shared" si="4"/>
        <v>44207</v>
      </c>
      <c r="H26" s="35">
        <f t="shared" si="5"/>
        <v>44208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2E-3</v>
      </c>
      <c r="S26" s="37">
        <v>3.04E-2</v>
      </c>
      <c r="T26" s="37">
        <v>4.2139999999999997E-2</v>
      </c>
      <c r="V26" s="35">
        <v>44193</v>
      </c>
      <c r="Z26" s="40"/>
      <c r="AA26" s="41"/>
      <c r="AC26" s="40"/>
      <c r="AD26" s="41"/>
    </row>
    <row r="27" spans="1:30" x14ac:dyDescent="0.4">
      <c r="A27" s="29">
        <f t="shared" si="3"/>
        <v>27</v>
      </c>
      <c r="B27" s="34"/>
      <c r="C27" s="34"/>
      <c r="E27" s="35">
        <v>44205</v>
      </c>
      <c r="F27" s="35">
        <v>44295</v>
      </c>
      <c r="G27" s="35">
        <f t="shared" si="4"/>
        <v>44297</v>
      </c>
      <c r="H27" s="35">
        <f t="shared" si="5"/>
        <v>44298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2E-3</v>
      </c>
      <c r="S27" s="37">
        <v>3.04E-2</v>
      </c>
      <c r="T27" s="37">
        <v>4.2139999999999997E-2</v>
      </c>
      <c r="V27" s="35">
        <v>44283</v>
      </c>
      <c r="Z27" s="40"/>
      <c r="AA27" s="41"/>
      <c r="AC27" s="40"/>
      <c r="AD27" s="41"/>
    </row>
    <row r="28" spans="1:30" x14ac:dyDescent="0.4">
      <c r="A28" s="29">
        <f t="shared" si="3"/>
        <v>28</v>
      </c>
      <c r="B28" s="34"/>
      <c r="C28" s="34"/>
      <c r="E28" s="35">
        <v>44295</v>
      </c>
      <c r="F28" s="35">
        <v>44386</v>
      </c>
      <c r="G28" s="35">
        <f t="shared" si="4"/>
        <v>44388</v>
      </c>
      <c r="H28" s="35">
        <f t="shared" si="5"/>
        <v>44389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2E-3</v>
      </c>
      <c r="S28" s="37">
        <v>3.04E-2</v>
      </c>
      <c r="T28" s="37">
        <v>4.2139999999999997E-2</v>
      </c>
      <c r="V28" s="35">
        <v>44374</v>
      </c>
      <c r="Z28" s="40"/>
      <c r="AA28" s="41"/>
      <c r="AC28" s="40"/>
      <c r="AD28" s="41"/>
    </row>
    <row r="29" spans="1:30" x14ac:dyDescent="0.4">
      <c r="A29" s="29">
        <f t="shared" si="3"/>
        <v>29</v>
      </c>
      <c r="B29" s="34"/>
      <c r="C29" s="34"/>
      <c r="E29" s="35">
        <v>44386</v>
      </c>
      <c r="F29" s="35">
        <v>44478</v>
      </c>
      <c r="G29" s="35">
        <f t="shared" si="4"/>
        <v>44480</v>
      </c>
      <c r="H29" s="35">
        <f t="shared" si="5"/>
        <v>44481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2E-3</v>
      </c>
      <c r="S29" s="37">
        <v>3.04E-2</v>
      </c>
      <c r="T29" s="37">
        <v>4.2139999999999997E-2</v>
      </c>
      <c r="V29" s="35">
        <v>44466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44478</v>
      </c>
      <c r="F30" s="35">
        <v>44570</v>
      </c>
      <c r="G30" s="35">
        <f t="shared" si="4"/>
        <v>44572</v>
      </c>
      <c r="H30" s="35">
        <f t="shared" si="5"/>
        <v>44573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2E-3</v>
      </c>
      <c r="S30" s="37">
        <v>3.04E-2</v>
      </c>
      <c r="T30" s="37">
        <v>4.2139999999999997E-2</v>
      </c>
      <c r="V30" s="35">
        <v>44558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44570</v>
      </c>
      <c r="F31" s="35">
        <v>44660</v>
      </c>
      <c r="G31" s="35">
        <f t="shared" si="4"/>
        <v>44662</v>
      </c>
      <c r="H31" s="35">
        <f t="shared" si="5"/>
        <v>44663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2E-3</v>
      </c>
      <c r="S31" s="37">
        <v>3.04E-2</v>
      </c>
      <c r="T31" s="37">
        <v>4.2139999999999997E-2</v>
      </c>
      <c r="V31" s="35">
        <v>44648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44660</v>
      </c>
      <c r="F32" s="35">
        <v>44751</v>
      </c>
      <c r="G32" s="35">
        <f t="shared" si="4"/>
        <v>44753</v>
      </c>
      <c r="H32" s="35">
        <f t="shared" si="5"/>
        <v>44754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2E-3</v>
      </c>
      <c r="S32" s="37">
        <v>3.04E-2</v>
      </c>
      <c r="T32" s="37">
        <v>4.2139999999999997E-2</v>
      </c>
      <c r="V32" s="35">
        <v>44739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44751</v>
      </c>
      <c r="F33" s="35">
        <v>44843</v>
      </c>
      <c r="G33" s="35">
        <f t="shared" si="4"/>
        <v>44845</v>
      </c>
      <c r="H33" s="35">
        <f t="shared" si="5"/>
        <v>44846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2E-3</v>
      </c>
      <c r="S33" s="37">
        <v>3.04E-2</v>
      </c>
      <c r="T33" s="37">
        <v>4.2139999999999997E-2</v>
      </c>
      <c r="V33" s="35">
        <v>44831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44843</v>
      </c>
      <c r="F34" s="35">
        <v>44935</v>
      </c>
      <c r="G34" s="35">
        <f t="shared" si="4"/>
        <v>44937</v>
      </c>
      <c r="H34" s="35">
        <f t="shared" si="5"/>
        <v>44938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2E-3</v>
      </c>
      <c r="S34" s="37">
        <v>3.04E-2</v>
      </c>
      <c r="T34" s="37">
        <v>4.2139999999999997E-2</v>
      </c>
      <c r="V34" s="35">
        <v>44923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E35" s="35">
        <v>44935</v>
      </c>
      <c r="F35" s="35">
        <v>45025</v>
      </c>
      <c r="G35" s="35">
        <f t="shared" si="4"/>
        <v>45027</v>
      </c>
      <c r="H35" s="35">
        <f t="shared" si="5"/>
        <v>45028</v>
      </c>
      <c r="I35" s="36">
        <v>1</v>
      </c>
      <c r="J35" s="36">
        <v>1</v>
      </c>
      <c r="K35" s="37">
        <v>-1</v>
      </c>
      <c r="L35" s="37">
        <v>-1</v>
      </c>
      <c r="M35" s="37">
        <v>2</v>
      </c>
      <c r="N35" s="37">
        <v>2</v>
      </c>
      <c r="O35" s="37">
        <v>0</v>
      </c>
      <c r="P35" s="37">
        <v>0</v>
      </c>
      <c r="Q35" s="37">
        <v>0</v>
      </c>
      <c r="R35" s="37">
        <v>2E-3</v>
      </c>
      <c r="S35" s="37">
        <v>0</v>
      </c>
      <c r="T35" s="37">
        <v>0</v>
      </c>
      <c r="V35" s="35">
        <v>45013</v>
      </c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E36" s="35">
        <v>45025</v>
      </c>
      <c r="F36" s="35">
        <v>45116</v>
      </c>
      <c r="G36" s="35">
        <f t="shared" si="4"/>
        <v>45118</v>
      </c>
      <c r="H36" s="35">
        <f t="shared" si="5"/>
        <v>45119</v>
      </c>
      <c r="I36" s="36">
        <v>1</v>
      </c>
      <c r="J36" s="36">
        <v>1</v>
      </c>
      <c r="K36" s="37">
        <v>-1</v>
      </c>
      <c r="L36" s="37">
        <v>-1</v>
      </c>
      <c r="M36" s="37">
        <v>2</v>
      </c>
      <c r="N36" s="37">
        <v>2</v>
      </c>
      <c r="O36" s="37">
        <v>0</v>
      </c>
      <c r="P36" s="37">
        <v>0</v>
      </c>
      <c r="Q36" s="37">
        <v>0</v>
      </c>
      <c r="R36" s="37">
        <v>2E-3</v>
      </c>
      <c r="S36" s="37">
        <v>0</v>
      </c>
      <c r="T36" s="37">
        <v>0</v>
      </c>
      <c r="V36" s="35">
        <v>45104</v>
      </c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E37" s="35">
        <v>45116</v>
      </c>
      <c r="F37" s="35">
        <v>45208</v>
      </c>
      <c r="G37" s="35">
        <f t="shared" si="4"/>
        <v>45210</v>
      </c>
      <c r="H37" s="35">
        <f t="shared" si="5"/>
        <v>45211</v>
      </c>
      <c r="I37" s="36">
        <v>1</v>
      </c>
      <c r="J37" s="36">
        <v>1</v>
      </c>
      <c r="K37" s="37">
        <v>-1</v>
      </c>
      <c r="L37" s="37">
        <v>-1</v>
      </c>
      <c r="M37" s="37">
        <v>2</v>
      </c>
      <c r="N37" s="37">
        <v>2</v>
      </c>
      <c r="O37" s="37">
        <v>0</v>
      </c>
      <c r="P37" s="37">
        <v>0</v>
      </c>
      <c r="Q37" s="37">
        <v>0</v>
      </c>
      <c r="R37" s="37">
        <v>2E-3</v>
      </c>
      <c r="S37" s="37">
        <v>0</v>
      </c>
      <c r="T37" s="37">
        <v>0</v>
      </c>
      <c r="V37" s="35">
        <v>45196</v>
      </c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E38" s="35">
        <v>45208</v>
      </c>
      <c r="F38" s="35">
        <v>45300</v>
      </c>
      <c r="G38" s="35">
        <f t="shared" si="4"/>
        <v>45302</v>
      </c>
      <c r="H38" s="35">
        <f t="shared" si="5"/>
        <v>45303</v>
      </c>
      <c r="I38" s="36">
        <v>1</v>
      </c>
      <c r="J38" s="36">
        <v>1</v>
      </c>
      <c r="K38" s="37">
        <v>-1</v>
      </c>
      <c r="L38" s="37">
        <v>-1</v>
      </c>
      <c r="M38" s="37">
        <v>2</v>
      </c>
      <c r="N38" s="37">
        <v>2</v>
      </c>
      <c r="O38" s="37">
        <v>0</v>
      </c>
      <c r="P38" s="37">
        <v>0</v>
      </c>
      <c r="Q38" s="37">
        <v>0</v>
      </c>
      <c r="R38" s="37">
        <v>2E-3</v>
      </c>
      <c r="S38" s="37">
        <v>0</v>
      </c>
      <c r="T38" s="37">
        <v>0</v>
      </c>
      <c r="V38" s="35">
        <v>45288</v>
      </c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E39" s="35">
        <v>45300</v>
      </c>
      <c r="F39" s="35">
        <v>45391</v>
      </c>
      <c r="G39" s="35">
        <f t="shared" si="4"/>
        <v>45393</v>
      </c>
      <c r="H39" s="35">
        <f t="shared" si="5"/>
        <v>45394</v>
      </c>
      <c r="I39" s="36">
        <v>1</v>
      </c>
      <c r="J39" s="36">
        <v>1</v>
      </c>
      <c r="K39" s="37">
        <v>-1</v>
      </c>
      <c r="L39" s="37">
        <v>-1</v>
      </c>
      <c r="M39" s="37">
        <v>2</v>
      </c>
      <c r="N39" s="37">
        <v>2</v>
      </c>
      <c r="O39" s="37">
        <v>0</v>
      </c>
      <c r="P39" s="37">
        <v>0</v>
      </c>
      <c r="Q39" s="37">
        <v>0</v>
      </c>
      <c r="R39" s="37">
        <v>2E-3</v>
      </c>
      <c r="S39" s="37">
        <v>0</v>
      </c>
      <c r="T39" s="37">
        <v>0</v>
      </c>
      <c r="V39" s="35">
        <v>45379</v>
      </c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E40" s="35">
        <v>45391</v>
      </c>
      <c r="F40" s="35">
        <v>45482</v>
      </c>
      <c r="G40" s="35">
        <f t="shared" si="4"/>
        <v>45484</v>
      </c>
      <c r="H40" s="35">
        <f t="shared" si="5"/>
        <v>45485</v>
      </c>
      <c r="I40" s="36">
        <v>1</v>
      </c>
      <c r="J40" s="36">
        <v>1</v>
      </c>
      <c r="K40" s="37">
        <v>-1</v>
      </c>
      <c r="L40" s="37">
        <v>-1</v>
      </c>
      <c r="M40" s="37">
        <v>2</v>
      </c>
      <c r="N40" s="37">
        <v>2</v>
      </c>
      <c r="O40" s="37">
        <v>0</v>
      </c>
      <c r="P40" s="37">
        <v>0</v>
      </c>
      <c r="Q40" s="37">
        <v>0</v>
      </c>
      <c r="R40" s="37">
        <v>2E-3</v>
      </c>
      <c r="S40" s="37">
        <v>0</v>
      </c>
      <c r="T40" s="37">
        <v>0</v>
      </c>
      <c r="V40" s="35">
        <v>45470</v>
      </c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E41" s="35">
        <v>45482</v>
      </c>
      <c r="F41" s="35">
        <v>45574</v>
      </c>
      <c r="G41" s="35">
        <f t="shared" si="4"/>
        <v>45576</v>
      </c>
      <c r="H41" s="35">
        <f t="shared" si="5"/>
        <v>45577</v>
      </c>
      <c r="I41" s="36">
        <v>1</v>
      </c>
      <c r="J41" s="36">
        <v>1</v>
      </c>
      <c r="K41" s="37">
        <v>-1</v>
      </c>
      <c r="L41" s="37">
        <v>-1</v>
      </c>
      <c r="M41" s="37">
        <v>2</v>
      </c>
      <c r="N41" s="37">
        <v>2</v>
      </c>
      <c r="O41" s="37">
        <v>0</v>
      </c>
      <c r="P41" s="37">
        <v>0</v>
      </c>
      <c r="Q41" s="37">
        <v>0</v>
      </c>
      <c r="R41" s="37">
        <v>2E-3</v>
      </c>
      <c r="S41" s="37">
        <v>0</v>
      </c>
      <c r="T41" s="37">
        <v>0</v>
      </c>
      <c r="V41" s="35">
        <v>45562</v>
      </c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E42" s="35">
        <v>45574</v>
      </c>
      <c r="F42" s="35">
        <v>45666</v>
      </c>
      <c r="G42" s="35">
        <f t="shared" si="4"/>
        <v>45668</v>
      </c>
      <c r="H42" s="35">
        <f t="shared" si="5"/>
        <v>45669</v>
      </c>
      <c r="I42" s="36">
        <v>1</v>
      </c>
      <c r="J42" s="36">
        <v>1</v>
      </c>
      <c r="K42" s="37">
        <v>-1</v>
      </c>
      <c r="L42" s="37">
        <v>-1</v>
      </c>
      <c r="M42" s="37">
        <v>2</v>
      </c>
      <c r="N42" s="37">
        <v>2</v>
      </c>
      <c r="O42" s="37">
        <v>0</v>
      </c>
      <c r="P42" s="37">
        <v>0</v>
      </c>
      <c r="Q42" s="37">
        <v>0</v>
      </c>
      <c r="R42" s="37">
        <v>2E-3</v>
      </c>
      <c r="S42" s="37">
        <v>0</v>
      </c>
      <c r="T42" s="37">
        <v>0</v>
      </c>
      <c r="V42" s="35">
        <v>45654</v>
      </c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E43" s="35">
        <v>45666</v>
      </c>
      <c r="F43" s="35">
        <v>45756</v>
      </c>
      <c r="G43" s="35">
        <f t="shared" si="4"/>
        <v>45758</v>
      </c>
      <c r="H43" s="35">
        <f t="shared" si="5"/>
        <v>45759</v>
      </c>
      <c r="I43" s="36">
        <v>1</v>
      </c>
      <c r="J43" s="36">
        <v>1</v>
      </c>
      <c r="K43" s="37">
        <v>-1</v>
      </c>
      <c r="L43" s="37">
        <v>-1</v>
      </c>
      <c r="M43" s="37">
        <v>2</v>
      </c>
      <c r="N43" s="37">
        <v>2</v>
      </c>
      <c r="O43" s="37">
        <v>0</v>
      </c>
      <c r="P43" s="37">
        <v>0</v>
      </c>
      <c r="Q43" s="37">
        <v>0</v>
      </c>
      <c r="R43" s="37">
        <v>2E-3</v>
      </c>
      <c r="S43" s="37">
        <v>0</v>
      </c>
      <c r="T43" s="37">
        <v>0</v>
      </c>
      <c r="V43" s="35">
        <v>45744</v>
      </c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E44" s="35">
        <v>45756</v>
      </c>
      <c r="F44" s="35">
        <v>45847</v>
      </c>
      <c r="G44" s="35">
        <f t="shared" si="4"/>
        <v>45849</v>
      </c>
      <c r="H44" s="35">
        <f t="shared" si="5"/>
        <v>45850</v>
      </c>
      <c r="I44" s="36">
        <v>1</v>
      </c>
      <c r="J44" s="36">
        <v>1</v>
      </c>
      <c r="K44" s="37">
        <v>-1</v>
      </c>
      <c r="L44" s="37">
        <v>-1</v>
      </c>
      <c r="M44" s="37">
        <v>2</v>
      </c>
      <c r="N44" s="37">
        <v>2</v>
      </c>
      <c r="O44" s="37">
        <v>0</v>
      </c>
      <c r="P44" s="37">
        <v>0</v>
      </c>
      <c r="Q44" s="37">
        <v>0</v>
      </c>
      <c r="R44" s="37">
        <v>2E-3</v>
      </c>
      <c r="S44" s="37">
        <v>0</v>
      </c>
      <c r="T44" s="37">
        <v>0</v>
      </c>
      <c r="V44" s="35">
        <v>45835</v>
      </c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E45" s="35">
        <v>45847</v>
      </c>
      <c r="F45" s="35">
        <v>45939</v>
      </c>
      <c r="G45" s="35">
        <f t="shared" si="4"/>
        <v>45941</v>
      </c>
      <c r="H45" s="35">
        <f t="shared" si="5"/>
        <v>45942</v>
      </c>
      <c r="I45" s="36">
        <v>1</v>
      </c>
      <c r="J45" s="36">
        <v>1</v>
      </c>
      <c r="K45" s="37">
        <v>-1</v>
      </c>
      <c r="L45" s="37">
        <v>-1</v>
      </c>
      <c r="M45" s="37">
        <v>2</v>
      </c>
      <c r="N45" s="37">
        <v>2</v>
      </c>
      <c r="O45" s="37">
        <v>0</v>
      </c>
      <c r="P45" s="37">
        <v>0</v>
      </c>
      <c r="Q45" s="37">
        <v>0</v>
      </c>
      <c r="R45" s="37">
        <v>2E-3</v>
      </c>
      <c r="S45" s="37">
        <v>0</v>
      </c>
      <c r="T45" s="37">
        <v>0</v>
      </c>
      <c r="V45" s="35">
        <v>45927</v>
      </c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E46" s="35">
        <v>45939</v>
      </c>
      <c r="F46" s="35">
        <v>46031</v>
      </c>
      <c r="G46" s="35">
        <f t="shared" si="4"/>
        <v>46033</v>
      </c>
      <c r="H46" s="35">
        <f t="shared" si="5"/>
        <v>46034</v>
      </c>
      <c r="I46" s="36">
        <v>1</v>
      </c>
      <c r="J46" s="36">
        <v>1</v>
      </c>
      <c r="K46" s="37">
        <v>-1</v>
      </c>
      <c r="L46" s="37">
        <v>-1</v>
      </c>
      <c r="M46" s="37">
        <v>2</v>
      </c>
      <c r="N46" s="37">
        <v>2</v>
      </c>
      <c r="O46" s="37">
        <v>0</v>
      </c>
      <c r="P46" s="37">
        <v>0</v>
      </c>
      <c r="Q46" s="37">
        <v>0</v>
      </c>
      <c r="R46" s="37">
        <v>2E-3</v>
      </c>
      <c r="S46" s="37">
        <v>0</v>
      </c>
      <c r="T46" s="37">
        <v>0</v>
      </c>
      <c r="V46" s="35">
        <v>46019</v>
      </c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E47" s="35">
        <v>46031</v>
      </c>
      <c r="F47" s="35">
        <v>46121</v>
      </c>
      <c r="G47" s="35">
        <f t="shared" si="4"/>
        <v>46123</v>
      </c>
      <c r="H47" s="35">
        <f t="shared" si="5"/>
        <v>46124</v>
      </c>
      <c r="I47" s="36">
        <v>1</v>
      </c>
      <c r="J47" s="36">
        <v>1</v>
      </c>
      <c r="K47" s="37">
        <v>-1</v>
      </c>
      <c r="L47" s="37">
        <v>-1</v>
      </c>
      <c r="M47" s="37">
        <v>2</v>
      </c>
      <c r="N47" s="37">
        <v>2</v>
      </c>
      <c r="O47" s="37">
        <v>0</v>
      </c>
      <c r="P47" s="37">
        <v>0</v>
      </c>
      <c r="Q47" s="37">
        <v>0</v>
      </c>
      <c r="R47" s="37">
        <v>2E-3</v>
      </c>
      <c r="S47" s="37">
        <v>0</v>
      </c>
      <c r="T47" s="37">
        <v>0</v>
      </c>
      <c r="V47" s="35">
        <v>46109</v>
      </c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E48" s="35">
        <v>46121</v>
      </c>
      <c r="F48" s="35">
        <v>46212</v>
      </c>
      <c r="G48" s="35">
        <f t="shared" si="4"/>
        <v>46214</v>
      </c>
      <c r="H48" s="35">
        <f t="shared" si="5"/>
        <v>46215</v>
      </c>
      <c r="I48" s="36">
        <v>1</v>
      </c>
      <c r="J48" s="36">
        <v>1</v>
      </c>
      <c r="K48" s="37">
        <v>-1</v>
      </c>
      <c r="L48" s="37">
        <v>-1</v>
      </c>
      <c r="M48" s="37">
        <v>2</v>
      </c>
      <c r="N48" s="37">
        <v>2</v>
      </c>
      <c r="O48" s="37">
        <v>0</v>
      </c>
      <c r="P48" s="37">
        <v>0</v>
      </c>
      <c r="Q48" s="37">
        <v>0</v>
      </c>
      <c r="R48" s="37">
        <v>2E-3</v>
      </c>
      <c r="S48" s="37">
        <v>0</v>
      </c>
      <c r="T48" s="37">
        <v>0</v>
      </c>
      <c r="V48" s="35">
        <v>46200</v>
      </c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E49" s="35">
        <v>46212</v>
      </c>
      <c r="F49" s="35">
        <v>46304</v>
      </c>
      <c r="G49" s="35">
        <f t="shared" si="4"/>
        <v>46306</v>
      </c>
      <c r="H49" s="35">
        <f t="shared" si="5"/>
        <v>46307</v>
      </c>
      <c r="I49" s="36">
        <v>1</v>
      </c>
      <c r="J49" s="36">
        <v>1</v>
      </c>
      <c r="K49" s="37">
        <v>-1</v>
      </c>
      <c r="L49" s="37">
        <v>-1</v>
      </c>
      <c r="M49" s="37">
        <v>2</v>
      </c>
      <c r="N49" s="37">
        <v>2</v>
      </c>
      <c r="O49" s="37">
        <v>0</v>
      </c>
      <c r="P49" s="37">
        <v>0</v>
      </c>
      <c r="Q49" s="37">
        <v>0</v>
      </c>
      <c r="R49" s="37">
        <v>2E-3</v>
      </c>
      <c r="S49" s="37">
        <v>0</v>
      </c>
      <c r="T49" s="37">
        <v>0</v>
      </c>
      <c r="V49" s="35">
        <v>46292</v>
      </c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E50" s="35">
        <v>46304</v>
      </c>
      <c r="F50" s="35">
        <v>46396</v>
      </c>
      <c r="G50" s="35">
        <f t="shared" si="4"/>
        <v>46398</v>
      </c>
      <c r="H50" s="35">
        <f t="shared" si="5"/>
        <v>46399</v>
      </c>
      <c r="I50" s="36">
        <v>1</v>
      </c>
      <c r="J50" s="36">
        <v>1</v>
      </c>
      <c r="K50" s="37">
        <v>-1</v>
      </c>
      <c r="L50" s="37">
        <v>-1</v>
      </c>
      <c r="M50" s="37">
        <v>2</v>
      </c>
      <c r="N50" s="37">
        <v>2</v>
      </c>
      <c r="O50" s="37">
        <v>0</v>
      </c>
      <c r="P50" s="37">
        <v>0</v>
      </c>
      <c r="Q50" s="37">
        <v>0</v>
      </c>
      <c r="R50" s="37">
        <v>2E-3</v>
      </c>
      <c r="S50" s="37">
        <v>0</v>
      </c>
      <c r="T50" s="37">
        <v>0</v>
      </c>
      <c r="V50" s="35">
        <v>46384</v>
      </c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E51" s="35">
        <v>46396</v>
      </c>
      <c r="F51" s="35">
        <v>46486</v>
      </c>
      <c r="G51" s="35">
        <f t="shared" si="4"/>
        <v>46488</v>
      </c>
      <c r="H51" s="35">
        <f t="shared" si="5"/>
        <v>46489</v>
      </c>
      <c r="I51" s="36">
        <v>1</v>
      </c>
      <c r="J51" s="36">
        <v>1</v>
      </c>
      <c r="K51" s="37">
        <v>-1</v>
      </c>
      <c r="L51" s="37">
        <v>-1</v>
      </c>
      <c r="M51" s="37">
        <v>2</v>
      </c>
      <c r="N51" s="37">
        <v>2</v>
      </c>
      <c r="O51" s="37">
        <v>0</v>
      </c>
      <c r="P51" s="37">
        <v>0</v>
      </c>
      <c r="Q51" s="37">
        <v>0</v>
      </c>
      <c r="R51" s="37">
        <v>2E-3</v>
      </c>
      <c r="S51" s="37">
        <v>0</v>
      </c>
      <c r="T51" s="37">
        <v>0</v>
      </c>
      <c r="V51" s="35">
        <v>46474</v>
      </c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E52" s="35">
        <v>46486</v>
      </c>
      <c r="F52" s="35">
        <v>46577</v>
      </c>
      <c r="G52" s="35">
        <f t="shared" si="4"/>
        <v>46579</v>
      </c>
      <c r="H52" s="35">
        <f t="shared" si="5"/>
        <v>46580</v>
      </c>
      <c r="I52" s="36">
        <v>1</v>
      </c>
      <c r="J52" s="36">
        <v>1</v>
      </c>
      <c r="K52" s="37">
        <v>-1</v>
      </c>
      <c r="L52" s="37">
        <v>-1</v>
      </c>
      <c r="M52" s="37">
        <v>2</v>
      </c>
      <c r="N52" s="37">
        <v>2</v>
      </c>
      <c r="O52" s="37">
        <v>0</v>
      </c>
      <c r="P52" s="37">
        <v>0</v>
      </c>
      <c r="Q52" s="37">
        <v>0</v>
      </c>
      <c r="R52" s="37">
        <v>2E-3</v>
      </c>
      <c r="S52" s="37">
        <v>0</v>
      </c>
      <c r="T52" s="37">
        <v>0</v>
      </c>
      <c r="V52" s="35">
        <v>46565</v>
      </c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E53" s="35">
        <v>46577</v>
      </c>
      <c r="F53" s="35">
        <v>46669</v>
      </c>
      <c r="G53" s="35">
        <f t="shared" si="4"/>
        <v>46671</v>
      </c>
      <c r="H53" s="35">
        <f t="shared" si="5"/>
        <v>46672</v>
      </c>
      <c r="I53" s="36">
        <v>1</v>
      </c>
      <c r="J53" s="36">
        <v>1</v>
      </c>
      <c r="K53" s="37">
        <v>-1</v>
      </c>
      <c r="L53" s="37">
        <v>-1</v>
      </c>
      <c r="M53" s="37">
        <v>2</v>
      </c>
      <c r="N53" s="37">
        <v>2</v>
      </c>
      <c r="O53" s="37">
        <v>0</v>
      </c>
      <c r="P53" s="37">
        <v>0</v>
      </c>
      <c r="Q53" s="37">
        <v>0</v>
      </c>
      <c r="R53" s="37">
        <v>2E-3</v>
      </c>
      <c r="S53" s="37">
        <v>0</v>
      </c>
      <c r="T53" s="37">
        <v>0</v>
      </c>
      <c r="V53" s="35">
        <v>46657</v>
      </c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E54" s="35">
        <v>46669</v>
      </c>
      <c r="F54" s="35">
        <v>46761</v>
      </c>
      <c r="G54" s="35">
        <f t="shared" si="4"/>
        <v>46763</v>
      </c>
      <c r="H54" s="35">
        <f t="shared" si="5"/>
        <v>46764</v>
      </c>
      <c r="I54" s="36">
        <v>1</v>
      </c>
      <c r="J54" s="36">
        <v>1</v>
      </c>
      <c r="K54" s="37">
        <v>-1</v>
      </c>
      <c r="L54" s="37">
        <v>-1</v>
      </c>
      <c r="M54" s="37">
        <v>2</v>
      </c>
      <c r="N54" s="37">
        <v>2</v>
      </c>
      <c r="O54" s="37">
        <v>0</v>
      </c>
      <c r="P54" s="37">
        <v>0</v>
      </c>
      <c r="Q54" s="37">
        <v>0</v>
      </c>
      <c r="R54" s="37">
        <v>2E-3</v>
      </c>
      <c r="S54" s="37">
        <v>0</v>
      </c>
      <c r="T54" s="37">
        <v>0</v>
      </c>
      <c r="V54" s="35">
        <v>46749</v>
      </c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6">A66+1</f>
        <v>67</v>
      </c>
      <c r="Z67" s="45"/>
      <c r="AA67" s="43"/>
      <c r="AC67" s="42"/>
      <c r="AD67" s="43"/>
    </row>
    <row r="68" spans="1:30" x14ac:dyDescent="0.4">
      <c r="A68" s="29">
        <f t="shared" si="6"/>
        <v>68</v>
      </c>
      <c r="Z68" s="45"/>
      <c r="AA68" s="43"/>
      <c r="AC68" s="42"/>
      <c r="AD68" s="43"/>
    </row>
    <row r="69" spans="1:30" x14ac:dyDescent="0.4">
      <c r="A69" s="29">
        <f t="shared" si="6"/>
        <v>69</v>
      </c>
      <c r="Z69" s="45"/>
      <c r="AA69" s="43"/>
      <c r="AC69" s="42"/>
      <c r="AD69" s="43"/>
    </row>
    <row r="70" spans="1:30" x14ac:dyDescent="0.4">
      <c r="A70" s="29">
        <f t="shared" si="6"/>
        <v>70</v>
      </c>
    </row>
    <row r="71" spans="1:30" x14ac:dyDescent="0.4">
      <c r="A71" s="29">
        <f t="shared" si="6"/>
        <v>71</v>
      </c>
    </row>
    <row r="72" spans="1:30" x14ac:dyDescent="0.4">
      <c r="A72" s="29">
        <f t="shared" si="6"/>
        <v>72</v>
      </c>
    </row>
    <row r="73" spans="1:30" x14ac:dyDescent="0.4">
      <c r="A73" s="29">
        <f t="shared" si="6"/>
        <v>73</v>
      </c>
    </row>
    <row r="74" spans="1:30" x14ac:dyDescent="0.4">
      <c r="A74" s="29">
        <f t="shared" si="6"/>
        <v>74</v>
      </c>
    </row>
    <row r="75" spans="1:30" x14ac:dyDescent="0.4">
      <c r="A75" s="29">
        <f t="shared" si="6"/>
        <v>75</v>
      </c>
    </row>
    <row r="76" spans="1:30" x14ac:dyDescent="0.4">
      <c r="A76" s="29">
        <f t="shared" si="6"/>
        <v>76</v>
      </c>
    </row>
    <row r="77" spans="1:30" x14ac:dyDescent="0.4">
      <c r="A77" s="29">
        <f t="shared" si="6"/>
        <v>77</v>
      </c>
    </row>
    <row r="78" spans="1:30" x14ac:dyDescent="0.4">
      <c r="A78" s="29">
        <f t="shared" si="6"/>
        <v>78</v>
      </c>
    </row>
    <row r="79" spans="1:30" x14ac:dyDescent="0.4">
      <c r="A79" s="29">
        <f t="shared" si="6"/>
        <v>79</v>
      </c>
    </row>
    <row r="80" spans="1:30" x14ac:dyDescent="0.4">
      <c r="A80" s="29">
        <f t="shared" si="6"/>
        <v>80</v>
      </c>
    </row>
    <row r="81" spans="1:1" x14ac:dyDescent="0.4">
      <c r="A81" s="29">
        <f t="shared" si="6"/>
        <v>81</v>
      </c>
    </row>
    <row r="82" spans="1:1" x14ac:dyDescent="0.4">
      <c r="A82" s="29">
        <f t="shared" si="6"/>
        <v>82</v>
      </c>
    </row>
    <row r="83" spans="1:1" x14ac:dyDescent="0.4">
      <c r="A83" s="29">
        <f t="shared" si="6"/>
        <v>83</v>
      </c>
    </row>
    <row r="84" spans="1:1" x14ac:dyDescent="0.4">
      <c r="A84" s="29">
        <f t="shared" si="6"/>
        <v>84</v>
      </c>
    </row>
  </sheetData>
  <mergeCells count="63">
    <mergeCell ref="J6:K6"/>
    <mergeCell ref="H7:I7"/>
    <mergeCell ref="J7:K7"/>
    <mergeCell ref="L3:M3"/>
    <mergeCell ref="B3:C3"/>
    <mergeCell ref="D3:E3"/>
    <mergeCell ref="F3:G3"/>
    <mergeCell ref="H3:I3"/>
    <mergeCell ref="J3:K3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Q13:R13"/>
    <mergeCell ref="S13:T13"/>
    <mergeCell ref="V13:V14"/>
    <mergeCell ref="W9:X9"/>
    <mergeCell ref="W10:X10"/>
    <mergeCell ref="N9:Q11"/>
    <mergeCell ref="S12:T12"/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2023-03-26T08:29:54Z</dcterms:created>
  <dcterms:modified xsi:type="dcterms:W3CDTF">2023-03-30T23:53:54Z</dcterms:modified>
</cp:coreProperties>
</file>