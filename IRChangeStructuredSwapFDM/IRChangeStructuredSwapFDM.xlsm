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2" l="1"/>
  <c r="H21" i="2"/>
  <c r="H20" i="2"/>
  <c r="H19" i="2"/>
  <c r="H18" i="2"/>
  <c r="H17" i="2"/>
  <c r="H16" i="2"/>
  <c r="H15" i="2"/>
  <c r="G22" i="2"/>
  <c r="G21" i="2"/>
  <c r="G20" i="2"/>
  <c r="G19" i="2"/>
  <c r="G18" i="2"/>
  <c r="G17" i="2"/>
  <c r="G16" i="2"/>
  <c r="G15" i="2"/>
  <c r="C1" i="2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B1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2" i="2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<sst xmlns="http://schemas.openxmlformats.org/spreadsheetml/2006/main" count="109" uniqueCount="79">
  <si>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</si>
  <si>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</si>
  <si>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</si>
  <si>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</si>
  <si>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</si>
  <si>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</si>
  <si>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</si>
  <si>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</si>
  <si>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</si>
  <si>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</si>
  <si>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</si>
  <si>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</si>
  <si>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</si>
  <si>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</si>
  <si>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</si>
  <si>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</si>
  <si>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</si>
  <si>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</si>
  <si>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</si>
  <si>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</si>
  <si>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</si>
  <si>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</si>
  <si>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</si>
  <si>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</si>
  <si>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</si>
  <si>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</si>
  <si>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</si>
  <si>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</si>
  <si>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</si>
  <si>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</si>
  <si>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</si>
  <si>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</si>
  <si>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</si>
  <si>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</si>
  <si>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</si>
  <si>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</si>
  <si>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</si>
  <si>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</si>
  <si>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</si>
  <si>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</si>
  <si>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</si>
  <si>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</si>
  <si>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</si>
  <si>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</si>
  <si>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</si>
  <si>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</si>
  <si>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</si>
  <si>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</si>
  <si>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rho12</t>
    <phoneticPr fontId="2" type="noConversion"/>
  </si>
  <si>
    <t>rho23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</si>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</sst>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>
      <alignment horizontal="center" vertical="center"/>
    </xf>
    <xf numFmtId="0" fontId="6" fillId="17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abSelected="1" topLeftCell="A10" workbookViewId="0">
      <selection activeCell="I64" sqref="H64:I67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4" t="s">
        <v>0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45" x14ac:dyDescent="0.4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45" x14ac:dyDescent="0.4">
      <c r="A4" s="1">
        <f>4</f>
        <v>4</v>
      </c>
      <c r="B4" s="42" t="s">
        <v>1</v>
      </c>
      <c r="C4" s="42"/>
      <c r="D4" s="43">
        <v>2</v>
      </c>
      <c r="E4" s="43"/>
    </row>
    <row r="5" spans="1:45" x14ac:dyDescent="0.4">
      <c r="A5" s="1">
        <f>A4+1</f>
        <v>5</v>
      </c>
      <c r="G5" s="47" t="s">
        <v>2</v>
      </c>
      <c r="H5" s="49" t="s">
        <v>46</v>
      </c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45" x14ac:dyDescent="0.4">
      <c r="A6" s="1">
        <f t="shared" ref="A6:A69" si="1">A5+1</f>
        <v>6</v>
      </c>
      <c r="B6" s="42" t="s">
        <v>3</v>
      </c>
      <c r="C6" s="42"/>
      <c r="D6" s="43">
        <v>1</v>
      </c>
      <c r="E6" s="43"/>
      <c r="G6" s="48"/>
      <c r="H6" s="50" t="s">
        <v>4</v>
      </c>
      <c r="I6" s="51"/>
      <c r="L6" s="44" t="s">
        <v>5</v>
      </c>
      <c r="M6" s="44"/>
      <c r="N6" s="44"/>
      <c r="Q6" s="44" t="s">
        <v>6</v>
      </c>
      <c r="R6" s="44"/>
      <c r="S6" s="44"/>
      <c r="V6" s="44" t="s">
        <v>7</v>
      </c>
      <c r="W6" s="44"/>
      <c r="X6" s="44"/>
    </row>
    <row r="7" spans="1:45" x14ac:dyDescent="0.4">
      <c r="A7" s="1">
        <f t="shared" si="1"/>
        <v>7</v>
      </c>
      <c r="B7" s="42" t="s">
        <v>8</v>
      </c>
      <c r="C7" s="42"/>
      <c r="D7" s="43">
        <v>1</v>
      </c>
      <c r="E7" s="43"/>
      <c r="G7" s="48"/>
      <c r="H7" s="52"/>
      <c r="I7" s="53"/>
      <c r="L7" s="44"/>
      <c r="M7" s="44"/>
      <c r="N7" s="44"/>
      <c r="Q7" s="44"/>
      <c r="R7" s="44"/>
      <c r="S7" s="44"/>
      <c r="V7" s="44"/>
      <c r="W7" s="44"/>
      <c r="X7" s="44"/>
    </row>
    <row r="8" spans="1:45" x14ac:dyDescent="0.4">
      <c r="A8" s="1">
        <f t="shared" si="1"/>
        <v>8</v>
      </c>
      <c r="B8" s="42" t="s">
        <v>9</v>
      </c>
      <c r="C8" s="42"/>
      <c r="D8" s="43">
        <v>0.01</v>
      </c>
      <c r="E8" s="43"/>
      <c r="G8" s="48"/>
      <c r="I8" s="2" t="s">
        <v>10</v>
      </c>
      <c r="V8" s="44" t="s">
        <v>11</v>
      </c>
      <c r="W8" s="44"/>
      <c r="X8" s="3">
        <v>3</v>
      </c>
    </row>
    <row r="9" spans="1:45" x14ac:dyDescent="0.4">
      <c r="A9" s="1">
        <f t="shared" si="1"/>
        <v>9</v>
      </c>
      <c r="G9" s="48"/>
      <c r="H9" s="2" t="s">
        <v>12</v>
      </c>
      <c r="I9" s="4">
        <v>0.01</v>
      </c>
      <c r="Q9" s="44" t="s">
        <v>13</v>
      </c>
      <c r="R9" s="44"/>
      <c r="S9" s="3">
        <v>3</v>
      </c>
      <c r="V9" s="45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48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4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48"/>
      <c r="H11" s="10">
        <v>1</v>
      </c>
      <c r="I11" s="11">
        <v>1.0511010339293849E-2</v>
      </c>
      <c r="L11" s="12">
        <v>1</v>
      </c>
      <c r="M11" s="13">
        <v>1</v>
      </c>
      <c r="N11" s="14">
        <v>3.4000000000000002E-2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0.2455</v>
      </c>
      <c r="X11" s="16">
        <v>0.2515</v>
      </c>
      <c r="Y11" s="16">
        <v>0.2455</v>
      </c>
      <c r="Z11" s="16">
        <v>0.24425000000000002</v>
      </c>
      <c r="AA11" s="16">
        <v>0.24562500000000004</v>
      </c>
      <c r="AB11" s="16">
        <v>0.24331249999999999</v>
      </c>
      <c r="AC11" s="16">
        <v>0.23965624999999996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48"/>
      <c r="H12" s="10">
        <v>2</v>
      </c>
      <c r="I12" s="11">
        <v>1.0133228548986377E-2</v>
      </c>
      <c r="L12" s="12">
        <f>L11+1</f>
        <v>2</v>
      </c>
      <c r="M12" s="13">
        <v>2</v>
      </c>
      <c r="N12" s="14">
        <v>3.6999999999999998E-2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0.26400000000000001</v>
      </c>
      <c r="X12" s="16">
        <v>0.26550000000000001</v>
      </c>
      <c r="Y12" s="16">
        <v>0.24199999999999999</v>
      </c>
      <c r="Z12" s="16">
        <v>0.24249999999999999</v>
      </c>
      <c r="AA12" s="16">
        <v>0.24299999999999999</v>
      </c>
      <c r="AB12" s="16">
        <v>0.23699999999999999</v>
      </c>
      <c r="AC12" s="16">
        <v>0.23199999999999998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40" t="s">
        <v>23</v>
      </c>
      <c r="E13" s="40"/>
      <c r="G13" s="48"/>
      <c r="H13" s="10">
        <v>3</v>
      </c>
      <c r="I13" s="11">
        <v>9.7982216087303016E-3</v>
      </c>
      <c r="L13" s="12">
        <f t="shared" ref="L13:L53" si="2">L12+1</f>
        <v>3</v>
      </c>
      <c r="M13" s="13">
        <v>3</v>
      </c>
      <c r="N13" s="14">
        <v>3.9E-2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0.27250000000000002</v>
      </c>
      <c r="X13" s="16">
        <v>0.26650000000000001</v>
      </c>
      <c r="Y13" s="16">
        <v>0.24249999999999999</v>
      </c>
      <c r="Z13" s="16">
        <v>0.23899999999999999</v>
      </c>
      <c r="AA13" s="16">
        <v>0.23549999999999999</v>
      </c>
      <c r="AB13" s="16">
        <v>0.23199999999999998</v>
      </c>
      <c r="AC13" s="16">
        <v>0.23000000000000004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40"/>
      <c r="E14" s="40"/>
      <c r="G14" s="48"/>
      <c r="H14" s="10">
        <v>4</v>
      </c>
      <c r="I14" s="11">
        <v>8.9211980216804109E-3</v>
      </c>
      <c r="L14" s="12">
        <f t="shared" si="2"/>
        <v>4</v>
      </c>
      <c r="M14" s="13">
        <v>4</v>
      </c>
      <c r="N14" s="14">
        <v>4.1000000000000002E-2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0.26900000000000002</v>
      </c>
      <c r="X14" s="16">
        <v>0.26550000000000001</v>
      </c>
      <c r="Y14" s="16">
        <v>0.24049999999999999</v>
      </c>
      <c r="Z14" s="16">
        <v>0.23599999999999999</v>
      </c>
      <c r="AA14" s="16">
        <v>0.23199999999999998</v>
      </c>
      <c r="AB14" s="16">
        <v>0.23000000000000004</v>
      </c>
      <c r="AC14" s="16">
        <v>0.22800000000000004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40"/>
      <c r="E15" s="40"/>
      <c r="G15" s="48"/>
      <c r="H15" s="10">
        <v>5</v>
      </c>
      <c r="I15" s="11">
        <v>1.011890780353559E-2</v>
      </c>
      <c r="L15" s="12">
        <f t="shared" si="2"/>
        <v>5</v>
      </c>
      <c r="M15" s="13"/>
      <c r="N15" s="14"/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0.27300000000000002</v>
      </c>
      <c r="X15" s="16">
        <v>0.26550000000000001</v>
      </c>
      <c r="Y15" s="16">
        <v>0.24199999999999999</v>
      </c>
      <c r="Z15" s="16">
        <v>0.23749999999999999</v>
      </c>
      <c r="AA15" s="16">
        <v>0.23300000000000004</v>
      </c>
      <c r="AB15" s="16">
        <v>0.23199999999999998</v>
      </c>
      <c r="AC15" s="16">
        <v>0.22900000000000004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7.0499999999999993E-2</v>
      </c>
      <c r="G16" s="48"/>
      <c r="H16" s="10">
        <v>7</v>
      </c>
      <c r="I16" s="11">
        <v>9.4201284437175018E-3</v>
      </c>
      <c r="L16" s="12">
        <f t="shared" si="2"/>
        <v>6</v>
      </c>
      <c r="M16" s="13"/>
      <c r="N16" s="14"/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0.26100000000000001</v>
      </c>
      <c r="X16" s="16">
        <v>0.25850000000000001</v>
      </c>
      <c r="Y16" s="16">
        <v>0.23599999999999999</v>
      </c>
      <c r="Z16" s="16">
        <v>0.23349999999999999</v>
      </c>
      <c r="AA16" s="16">
        <v>0.23000000000000004</v>
      </c>
      <c r="AB16" s="16">
        <v>0.22800000000000004</v>
      </c>
      <c r="AC16" s="16">
        <v>0.22400000000000003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41">
        <v>45011.873912037037</v>
      </c>
      <c r="E17" s="41"/>
      <c r="G17" s="48"/>
      <c r="H17" s="10">
        <v>10</v>
      </c>
      <c r="I17" s="11">
        <v>9.3096886492935269E-3</v>
      </c>
      <c r="L17" s="12">
        <f t="shared" si="2"/>
        <v>7</v>
      </c>
      <c r="M17" s="13"/>
      <c r="N17" s="14"/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0.26100000000000001</v>
      </c>
      <c r="X17" s="16">
        <v>0.25950000000000001</v>
      </c>
      <c r="Y17" s="16">
        <v>0.23599999999999999</v>
      </c>
      <c r="Z17" s="16">
        <v>0.23349999999999999</v>
      </c>
      <c r="AA17" s="16">
        <v>0.23000000000000004</v>
      </c>
      <c r="AB17" s="16">
        <v>0.22699999999999998</v>
      </c>
      <c r="AC17" s="16">
        <v>0.21800000000000003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41">
        <v>45011.873912037037</v>
      </c>
      <c r="E18" s="41"/>
      <c r="G18" s="48"/>
      <c r="H18" s="10"/>
      <c r="I18" s="11"/>
      <c r="L18" s="12">
        <f t="shared" si="2"/>
        <v>8</v>
      </c>
      <c r="M18" s="13"/>
      <c r="N18" s="14"/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48"/>
      <c r="H19" s="10"/>
      <c r="I19" s="11"/>
      <c r="L19" s="12">
        <f t="shared" si="2"/>
        <v>9</v>
      </c>
      <c r="M19" s="13"/>
      <c r="N19" s="14"/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48"/>
      <c r="H20" s="10"/>
      <c r="I20" s="11"/>
      <c r="L20" s="12">
        <f t="shared" si="2"/>
        <v>10</v>
      </c>
      <c r="M20" s="13"/>
      <c r="N20" s="14"/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48"/>
      <c r="H21" s="10"/>
      <c r="I21" s="11"/>
      <c r="L21" s="12">
        <f t="shared" si="2"/>
        <v>11</v>
      </c>
      <c r="M21" s="13"/>
      <c r="N21" s="14"/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48"/>
      <c r="H22" s="10"/>
      <c r="I22" s="11"/>
      <c r="L22" s="12">
        <f t="shared" si="2"/>
        <v>12</v>
      </c>
      <c r="M22" s="13"/>
      <c r="N22" s="14"/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48"/>
      <c r="H23" s="10"/>
      <c r="I23" s="11"/>
      <c r="L23" s="12">
        <f t="shared" si="2"/>
        <v>13</v>
      </c>
      <c r="M23" s="13"/>
      <c r="N23" s="14"/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48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48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48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48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48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48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48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48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48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48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48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48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48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48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48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48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48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47" t="s">
        <v>25</v>
      </c>
      <c r="H55" s="49" t="s">
        <v>47</v>
      </c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</row>
    <row r="56" spans="1:40" x14ac:dyDescent="0.4">
      <c r="A56" s="1">
        <f t="shared" si="1"/>
        <v>56</v>
      </c>
      <c r="B56" s="42" t="s">
        <v>3</v>
      </c>
      <c r="C56" s="42"/>
      <c r="D56" s="43">
        <v>1</v>
      </c>
      <c r="E56" s="43"/>
      <c r="G56" s="48"/>
      <c r="H56" s="50" t="s">
        <v>26</v>
      </c>
      <c r="I56" s="51"/>
      <c r="L56" s="44" t="s">
        <v>27</v>
      </c>
      <c r="M56" s="44"/>
      <c r="N56" s="44"/>
      <c r="Q56" s="44" t="s">
        <v>6</v>
      </c>
      <c r="R56" s="44"/>
      <c r="S56" s="44"/>
      <c r="V56" s="44" t="s">
        <v>28</v>
      </c>
      <c r="W56" s="44"/>
      <c r="X56" s="44"/>
    </row>
    <row r="57" spans="1:40" x14ac:dyDescent="0.4">
      <c r="A57" s="1">
        <f t="shared" si="1"/>
        <v>57</v>
      </c>
      <c r="B57" s="42" t="s">
        <v>29</v>
      </c>
      <c r="C57" s="42"/>
      <c r="D57" s="43">
        <v>1</v>
      </c>
      <c r="E57" s="43"/>
      <c r="G57" s="48"/>
      <c r="H57" s="52"/>
      <c r="I57" s="53"/>
      <c r="L57" s="44"/>
      <c r="M57" s="44"/>
      <c r="N57" s="44"/>
      <c r="Q57" s="44"/>
      <c r="R57" s="44"/>
      <c r="S57" s="44"/>
      <c r="V57" s="44"/>
      <c r="W57" s="44"/>
      <c r="X57" s="44"/>
    </row>
    <row r="58" spans="1:40" x14ac:dyDescent="0.4">
      <c r="A58" s="1">
        <f t="shared" si="1"/>
        <v>58</v>
      </c>
      <c r="B58" s="42" t="s">
        <v>9</v>
      </c>
      <c r="C58" s="42"/>
      <c r="D58" s="43">
        <v>0.01</v>
      </c>
      <c r="E58" s="43"/>
      <c r="G58" s="48"/>
      <c r="I58" s="2" t="s">
        <v>10</v>
      </c>
      <c r="V58" s="44" t="s">
        <v>11</v>
      </c>
      <c r="W58" s="44"/>
      <c r="X58" s="3">
        <v>3</v>
      </c>
    </row>
    <row r="59" spans="1:40" x14ac:dyDescent="0.4">
      <c r="A59" s="1">
        <f t="shared" si="1"/>
        <v>59</v>
      </c>
      <c r="G59" s="48"/>
      <c r="H59" s="2" t="s">
        <v>12</v>
      </c>
      <c r="I59" s="4">
        <v>0.01</v>
      </c>
      <c r="Q59" s="44" t="s">
        <v>30</v>
      </c>
      <c r="R59" s="44"/>
      <c r="S59" s="3">
        <v>3</v>
      </c>
      <c r="V59" s="45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48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46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48"/>
      <c r="H61" s="10">
        <v>1</v>
      </c>
      <c r="I61" s="11">
        <v>1.2949019215976606E-2</v>
      </c>
      <c r="L61" s="12">
        <v>1</v>
      </c>
      <c r="M61" s="13">
        <v>1</v>
      </c>
      <c r="N61" s="14">
        <v>4.1000000000000002E-2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0.24711575189940854</v>
      </c>
      <c r="X61" s="16">
        <v>0.25223277511673559</v>
      </c>
      <c r="Y61" s="16">
        <v>0.24785690951842138</v>
      </c>
      <c r="Z61" s="16">
        <v>0.24726033440788159</v>
      </c>
      <c r="AA61" s="16">
        <v>0.24908018972630813</v>
      </c>
      <c r="AB61" s="16">
        <v>0.24519944176614206</v>
      </c>
      <c r="AC61" s="16">
        <v>0.242894399847354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48"/>
      <c r="H62" s="10">
        <v>2</v>
      </c>
      <c r="I62" s="11">
        <v>1.2656441949569299E-2</v>
      </c>
      <c r="L62" s="12">
        <f>L61+1</f>
        <v>2</v>
      </c>
      <c r="M62" s="13">
        <v>2</v>
      </c>
      <c r="N62" s="14">
        <v>4.3999999999999997E-2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0.24731816815825486</v>
      </c>
      <c r="X62" s="16">
        <v>0.2471500056075947</v>
      </c>
      <c r="Y62" s="16">
        <v>0.24644310169676803</v>
      </c>
      <c r="Z62" s="16">
        <v>0.24438544513377153</v>
      </c>
      <c r="AA62" s="16">
        <v>0.24541479871739408</v>
      </c>
      <c r="AB62" s="16">
        <v>0.23717613046935254</v>
      </c>
      <c r="AC62" s="16">
        <v>0.23649021678069088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40" t="s">
        <v>23</v>
      </c>
      <c r="E63" s="40"/>
      <c r="G63" s="48"/>
      <c r="H63" s="10">
        <v>3</v>
      </c>
      <c r="I63" s="11">
        <v>1.2072459549075721E-2</v>
      </c>
      <c r="L63" s="12">
        <f t="shared" ref="L63:L103" si="4">L62+1</f>
        <v>3</v>
      </c>
      <c r="M63" s="13">
        <v>3</v>
      </c>
      <c r="N63" s="14">
        <v>4.7E-2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0.24724033204370954</v>
      </c>
      <c r="X63" s="16">
        <v>0.24716249592916423</v>
      </c>
      <c r="Y63" s="16">
        <v>0.2471749862507337</v>
      </c>
      <c r="Z63" s="16">
        <v>0.23937257030241843</v>
      </c>
      <c r="AA63" s="16">
        <v>0.2404006934233554</v>
      </c>
      <c r="AB63" s="16">
        <v>0.23492963240514569</v>
      </c>
      <c r="AC63" s="16">
        <v>0.23240863276377216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40"/>
      <c r="E64" s="40"/>
      <c r="G64" s="48"/>
      <c r="H64" s="10">
        <v>4</v>
      </c>
      <c r="I64" s="11">
        <v>1.0535690645839868E-2</v>
      </c>
      <c r="L64" s="12">
        <f t="shared" si="4"/>
        <v>4</v>
      </c>
      <c r="M64" s="13">
        <v>4</v>
      </c>
      <c r="N64" s="14">
        <v>0.05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0.2459855303192473</v>
      </c>
      <c r="X64" s="16">
        <v>0.24473072859478506</v>
      </c>
      <c r="Y64" s="16">
        <v>0.2422989612604059</v>
      </c>
      <c r="Z64" s="16">
        <v>0.23636830666588854</v>
      </c>
      <c r="AA64" s="16">
        <v>0.23493709045267391</v>
      </c>
      <c r="AB64" s="16">
        <v>0.23379388192157058</v>
      </c>
      <c r="AC64" s="16">
        <v>0.22980706636998821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40"/>
      <c r="E65" s="40"/>
      <c r="G65" s="48"/>
      <c r="H65" s="10">
        <v>5</v>
      </c>
      <c r="I65" s="11">
        <v>1.2399568809025666E-2</v>
      </c>
      <c r="L65" s="12">
        <f t="shared" si="4"/>
        <v>5</v>
      </c>
      <c r="M65" s="13"/>
      <c r="N65" s="14"/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0.24504729567195133</v>
      </c>
      <c r="X65" s="16">
        <v>0.24410906102465529</v>
      </c>
      <c r="Y65" s="16">
        <v>0.24348739345452552</v>
      </c>
      <c r="Z65" s="16">
        <v>0.24064634905996191</v>
      </c>
      <c r="AA65" s="16">
        <v>0.23762985175765877</v>
      </c>
      <c r="AB65" s="16">
        <v>0.23244843792577591</v>
      </c>
      <c r="AC65" s="16">
        <v>0.23044120852128708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3.6600000000000001E-2</v>
      </c>
      <c r="G66" s="48"/>
      <c r="H66" s="10">
        <v>7</v>
      </c>
      <c r="I66" s="11">
        <v>1.167710242919201E-2</v>
      </c>
      <c r="L66" s="12">
        <f t="shared" si="4"/>
        <v>6</v>
      </c>
      <c r="M66" s="13"/>
      <c r="N66" s="14"/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0.24334100811282816</v>
      </c>
      <c r="X66" s="16">
        <v>0.241634720553705</v>
      </c>
      <c r="Y66" s="16">
        <v>0.2391603800827547</v>
      </c>
      <c r="Z66" s="16">
        <v>0.23763947086819354</v>
      </c>
      <c r="AA66" s="16">
        <v>0.23099732722068073</v>
      </c>
      <c r="AB66" s="16">
        <v>0.23156800987879539</v>
      </c>
      <c r="AC66" s="16">
        <v>0.22650085643237639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41">
        <v>45011.873912037037</v>
      </c>
      <c r="E67" s="41"/>
      <c r="G67" s="48"/>
      <c r="H67" s="10">
        <v>10</v>
      </c>
      <c r="I67" s="11">
        <v>1.1410896230007976E-2</v>
      </c>
      <c r="L67" s="12">
        <f t="shared" si="4"/>
        <v>7</v>
      </c>
      <c r="M67" s="13"/>
      <c r="N67" s="14"/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0.24168249543038095</v>
      </c>
      <c r="X67" s="16">
        <v>0.24002398274793368</v>
      </c>
      <c r="Y67" s="16">
        <v>0.23841324494216237</v>
      </c>
      <c r="Z67" s="16">
        <v>0.23657200821606189</v>
      </c>
      <c r="AA67" s="16">
        <v>0.23293319162819598</v>
      </c>
      <c r="AB67" s="16">
        <v>0.22733549492199806</v>
      </c>
      <c r="AC67" s="16">
        <v>0.22242134733632341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41">
        <v>45011.873912037037</v>
      </c>
      <c r="E68" s="41"/>
      <c r="G68" s="48"/>
      <c r="H68" s="10"/>
      <c r="I68" s="11"/>
      <c r="L68" s="12">
        <f t="shared" si="4"/>
        <v>8</v>
      </c>
      <c r="M68" s="13"/>
      <c r="N68" s="14"/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48"/>
      <c r="H69" s="10"/>
      <c r="I69" s="11"/>
      <c r="L69" s="12">
        <f t="shared" si="4"/>
        <v>9</v>
      </c>
      <c r="M69" s="13"/>
      <c r="N69" s="14"/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48"/>
      <c r="H70" s="10"/>
      <c r="I70" s="11"/>
      <c r="L70" s="12">
        <f t="shared" si="4"/>
        <v>10</v>
      </c>
      <c r="M70" s="13"/>
      <c r="N70" s="14"/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48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48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48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48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48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48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48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48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48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48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48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48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48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48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48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48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48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48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48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48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B56:C56"/>
    <mergeCell ref="D56:E56"/>
    <mergeCell ref="H56:I57"/>
    <mergeCell ref="L56:N57"/>
    <mergeCell ref="Q56:S57"/>
    <mergeCell ref="B57:C57"/>
    <mergeCell ref="D57:E57"/>
    <mergeCell ref="V58:W58"/>
    <mergeCell ref="Q59:R59"/>
    <mergeCell ref="V59:V60"/>
    <mergeCell ref="G55:G90"/>
    <mergeCell ref="H55:X55"/>
    <mergeCell ref="V56:X57"/>
    <mergeCell ref="D63:E65"/>
    <mergeCell ref="D67:E67"/>
    <mergeCell ref="D68:E68"/>
    <mergeCell ref="B58:C58"/>
    <mergeCell ref="D58:E5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84"/>
  <sheetViews>
    <sheetView zoomScale="85" zoomScaleNormal="85" workbookViewId="0">
      <selection activeCell="O29" sqref="O29"/>
    </sheetView>
  </sheetViews>
  <sheetFormatPr defaultColWidth="11.796875" defaultRowHeight="17.399999999999999" x14ac:dyDescent="0.4"/>
  <cols>
    <col min="1" max="4" width="11.796875" style="29"/>
    <col min="5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16384" width="11.796875" style="29"/>
  </cols>
  <sheetData>
    <row r="1" spans="1:29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</row>
    <row r="2" spans="1:29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</row>
    <row r="3" spans="1:29" x14ac:dyDescent="0.4">
      <c r="A3" s="29">
        <f t="shared" ref="A3:A66" si="1">A2+1</f>
        <v>3</v>
      </c>
      <c r="B3" s="68" t="s">
        <v>40</v>
      </c>
      <c r="C3" s="68"/>
      <c r="D3" s="69">
        <v>45011</v>
      </c>
      <c r="E3" s="64"/>
      <c r="F3" s="68" t="s">
        <v>41</v>
      </c>
      <c r="G3" s="68"/>
      <c r="H3" s="70">
        <v>0</v>
      </c>
      <c r="I3" s="70"/>
      <c r="J3" s="68" t="s">
        <v>42</v>
      </c>
      <c r="K3" s="68"/>
      <c r="L3" s="64">
        <v>1</v>
      </c>
      <c r="M3" s="64"/>
      <c r="N3" s="29"/>
      <c r="O3" s="29"/>
      <c r="P3" s="29"/>
      <c r="Q3" s="29"/>
      <c r="R3" s="29"/>
      <c r="S3" s="29"/>
      <c r="T3" s="29"/>
      <c r="V3" s="29"/>
    </row>
    <row r="4" spans="1:29" x14ac:dyDescent="0.4">
      <c r="A4" s="29">
        <f t="shared" si="1"/>
        <v>4</v>
      </c>
      <c r="B4" s="65" t="s">
        <v>67</v>
      </c>
      <c r="C4" s="65"/>
      <c r="D4" s="65"/>
      <c r="E4" s="65"/>
      <c r="F4" s="65"/>
      <c r="G4" s="65"/>
      <c r="H4" s="65"/>
      <c r="I4" s="65"/>
      <c r="J4" s="65"/>
      <c r="K4" s="65"/>
      <c r="L4" s="29"/>
      <c r="M4" s="65" t="s">
        <v>68</v>
      </c>
      <c r="N4" s="65"/>
      <c r="O4" s="65"/>
      <c r="P4" s="65"/>
      <c r="Q4" s="65"/>
      <c r="R4" s="65"/>
      <c r="S4" s="65"/>
      <c r="T4" s="65"/>
      <c r="U4" s="65"/>
      <c r="V4" s="65"/>
    </row>
    <row r="5" spans="1:29" x14ac:dyDescent="0.4">
      <c r="A5" s="29">
        <f t="shared" si="1"/>
        <v>5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29"/>
      <c r="M5" s="65"/>
      <c r="N5" s="65"/>
      <c r="O5" s="65"/>
      <c r="P5" s="65"/>
      <c r="Q5" s="65"/>
      <c r="R5" s="65"/>
      <c r="S5" s="65"/>
      <c r="T5" s="65"/>
      <c r="U5" s="65"/>
      <c r="V5" s="65"/>
    </row>
    <row r="6" spans="1:29" x14ac:dyDescent="0.4">
      <c r="A6" s="29">
        <f t="shared" si="1"/>
        <v>6</v>
      </c>
      <c r="B6" s="42" t="s">
        <v>43</v>
      </c>
      <c r="C6" s="57"/>
      <c r="D6" s="64">
        <v>1</v>
      </c>
      <c r="E6" s="64"/>
      <c r="F6" s="42" t="s">
        <v>69</v>
      </c>
      <c r="G6" s="42"/>
      <c r="H6" s="42" t="s">
        <v>44</v>
      </c>
      <c r="I6" s="57"/>
      <c r="J6" s="64">
        <v>4</v>
      </c>
      <c r="K6" s="64"/>
      <c r="L6" s="29"/>
      <c r="M6" s="42" t="s">
        <v>43</v>
      </c>
      <c r="N6" s="57"/>
      <c r="O6" s="64">
        <v>1</v>
      </c>
      <c r="P6" s="64"/>
      <c r="Q6" s="42" t="s">
        <v>69</v>
      </c>
      <c r="R6" s="42"/>
      <c r="S6" s="42" t="s">
        <v>44</v>
      </c>
      <c r="T6" s="57"/>
      <c r="U6" s="64">
        <v>4</v>
      </c>
      <c r="V6" s="64"/>
    </row>
    <row r="7" spans="1:29" x14ac:dyDescent="0.4">
      <c r="A7" s="29">
        <f t="shared" si="1"/>
        <v>7</v>
      </c>
      <c r="E7" s="29"/>
      <c r="F7" s="42"/>
      <c r="G7" s="42"/>
      <c r="H7" s="42" t="s">
        <v>45</v>
      </c>
      <c r="I7" s="57"/>
      <c r="J7" s="64">
        <v>0.25</v>
      </c>
      <c r="K7" s="64"/>
      <c r="L7" s="29"/>
      <c r="M7" s="29"/>
      <c r="N7" s="29"/>
      <c r="O7" s="29"/>
      <c r="P7" s="29"/>
      <c r="Q7" s="42"/>
      <c r="R7" s="42"/>
      <c r="S7" s="42" t="s">
        <v>45</v>
      </c>
      <c r="T7" s="57"/>
      <c r="U7" s="64">
        <v>0.25</v>
      </c>
      <c r="V7" s="64"/>
    </row>
    <row r="8" spans="1:29" x14ac:dyDescent="0.4">
      <c r="A8" s="29">
        <f t="shared" si="1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</row>
    <row r="9" spans="1:29" x14ac:dyDescent="0.4">
      <c r="A9" s="29">
        <f t="shared" si="1"/>
        <v>9</v>
      </c>
      <c r="B9" s="42" t="s">
        <v>48</v>
      </c>
      <c r="C9" s="57"/>
      <c r="D9" s="66">
        <v>0</v>
      </c>
      <c r="E9" s="66"/>
      <c r="F9" s="42" t="s">
        <v>71</v>
      </c>
      <c r="G9" s="57"/>
      <c r="H9" s="58">
        <v>0</v>
      </c>
      <c r="I9" s="58"/>
      <c r="J9" s="42" t="s">
        <v>72</v>
      </c>
      <c r="K9" s="57"/>
      <c r="L9" s="58">
        <v>0</v>
      </c>
      <c r="M9" s="58"/>
      <c r="N9" s="29"/>
      <c r="O9" s="29"/>
      <c r="P9" s="29"/>
      <c r="Q9" s="29"/>
      <c r="R9" s="29"/>
      <c r="S9" s="29"/>
      <c r="T9" s="29"/>
      <c r="V9" s="32" t="s">
        <v>63</v>
      </c>
      <c r="W9" s="64">
        <v>1</v>
      </c>
      <c r="X9" s="64"/>
    </row>
    <row r="10" spans="1:29" x14ac:dyDescent="0.4">
      <c r="A10" s="29">
        <f t="shared" si="1"/>
        <v>10</v>
      </c>
      <c r="B10" s="42" t="s">
        <v>49</v>
      </c>
      <c r="C10" s="57"/>
      <c r="D10" s="66">
        <v>0</v>
      </c>
      <c r="E10" s="66"/>
      <c r="F10" s="42" t="s">
        <v>70</v>
      </c>
      <c r="G10" s="57"/>
      <c r="H10" s="58">
        <v>200</v>
      </c>
      <c r="I10" s="58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V10" s="32" t="s">
        <v>64</v>
      </c>
      <c r="W10" s="64">
        <v>0</v>
      </c>
      <c r="X10" s="64"/>
    </row>
    <row r="11" spans="1:29" x14ac:dyDescent="0.4">
      <c r="A11" s="29">
        <f t="shared" si="1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V11" s="29"/>
    </row>
    <row r="12" spans="1:29" x14ac:dyDescent="0.4">
      <c r="A12" s="29">
        <f t="shared" si="1"/>
        <v>12</v>
      </c>
      <c r="B12" s="42" t="s">
        <v>50</v>
      </c>
      <c r="C12" s="57"/>
      <c r="E12" s="67" t="s">
        <v>56</v>
      </c>
      <c r="F12" s="67"/>
      <c r="G12" s="67"/>
      <c r="H12" s="6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V12" s="33" t="s">
        <v>66</v>
      </c>
      <c r="Z12" s="59" t="s">
        <v>73</v>
      </c>
      <c r="AA12" s="59"/>
      <c r="AB12" s="59"/>
      <c r="AC12" s="59"/>
    </row>
    <row r="13" spans="1:29" x14ac:dyDescent="0.4">
      <c r="A13" s="29">
        <f t="shared" si="1"/>
        <v>13</v>
      </c>
      <c r="B13" s="7" t="s">
        <v>33</v>
      </c>
      <c r="C13" s="28" t="s">
        <v>34</v>
      </c>
      <c r="E13" s="63" t="s">
        <v>57</v>
      </c>
      <c r="F13" s="63" t="s">
        <v>51</v>
      </c>
      <c r="G13" s="63" t="s">
        <v>52</v>
      </c>
      <c r="H13" s="63"/>
      <c r="I13" s="63" t="s">
        <v>55</v>
      </c>
      <c r="J13" s="63"/>
      <c r="K13" s="63" t="s">
        <v>60</v>
      </c>
      <c r="L13" s="63"/>
      <c r="M13" s="63" t="s">
        <v>61</v>
      </c>
      <c r="N13" s="63"/>
      <c r="O13" s="63" t="s">
        <v>58</v>
      </c>
      <c r="P13" s="63"/>
      <c r="Q13" s="63" t="s">
        <v>59</v>
      </c>
      <c r="R13" s="63"/>
      <c r="S13" s="63" t="s">
        <v>62</v>
      </c>
      <c r="T13" s="63"/>
      <c r="V13" s="63" t="s">
        <v>65</v>
      </c>
      <c r="Z13" s="60" t="s">
        <v>74</v>
      </c>
      <c r="AA13" s="61"/>
      <c r="AB13" s="62">
        <v>1</v>
      </c>
      <c r="AC13" s="62"/>
    </row>
    <row r="14" spans="1:29" x14ac:dyDescent="0.4">
      <c r="A14" s="29">
        <f t="shared" si="1"/>
        <v>14</v>
      </c>
      <c r="B14" s="30">
        <v>0.5</v>
      </c>
      <c r="C14" s="31">
        <v>0.1</v>
      </c>
      <c r="E14" s="63"/>
      <c r="F14" s="63"/>
      <c r="G14" s="32" t="s">
        <v>54</v>
      </c>
      <c r="H14" s="32" t="s">
        <v>53</v>
      </c>
      <c r="I14" s="32" t="s">
        <v>54</v>
      </c>
      <c r="J14" s="32" t="s">
        <v>53</v>
      </c>
      <c r="K14" s="32" t="s">
        <v>54</v>
      </c>
      <c r="L14" s="32" t="s">
        <v>53</v>
      </c>
      <c r="M14" s="32" t="s">
        <v>54</v>
      </c>
      <c r="N14" s="32" t="s">
        <v>53</v>
      </c>
      <c r="O14" s="32" t="s">
        <v>54</v>
      </c>
      <c r="P14" s="32" t="s">
        <v>53</v>
      </c>
      <c r="Q14" s="32" t="s">
        <v>54</v>
      </c>
      <c r="R14" s="32" t="s">
        <v>53</v>
      </c>
      <c r="S14" s="32" t="s">
        <v>54</v>
      </c>
      <c r="T14" s="32" t="s">
        <v>53</v>
      </c>
      <c r="V14" s="63"/>
      <c r="Z14" s="60" t="s">
        <v>75</v>
      </c>
      <c r="AA14" s="61"/>
      <c r="AB14" s="55">
        <v>9983.7266765149125</v>
      </c>
      <c r="AC14" s="55"/>
    </row>
    <row r="15" spans="1:29" x14ac:dyDescent="0.4">
      <c r="A15" s="29">
        <f t="shared" si="1"/>
        <v>15</v>
      </c>
      <c r="B15" s="30">
        <v>1</v>
      </c>
      <c r="C15" s="31">
        <v>0.1</v>
      </c>
      <c r="E15" s="35">
        <v>45011</v>
      </c>
      <c r="F15" s="35">
        <v>45102</v>
      </c>
      <c r="G15" s="35">
        <f>F15+2</f>
        <v>45104</v>
      </c>
      <c r="H15" s="35">
        <f>F15+3</f>
        <v>45105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0</v>
      </c>
      <c r="S15" s="37">
        <v>0.02</v>
      </c>
      <c r="T15" s="37">
        <v>0.02</v>
      </c>
      <c r="V15" s="35">
        <v>45450</v>
      </c>
      <c r="W15" s="39"/>
      <c r="Z15" s="56" t="s">
        <v>76</v>
      </c>
      <c r="AA15" s="56"/>
      <c r="AB15" s="55">
        <v>-10113.410346258052</v>
      </c>
      <c r="AC15" s="55"/>
    </row>
    <row r="16" spans="1:29" x14ac:dyDescent="0.4">
      <c r="A16" s="29">
        <f t="shared" si="1"/>
        <v>16</v>
      </c>
      <c r="B16" s="30">
        <v>1.5</v>
      </c>
      <c r="C16" s="31">
        <v>0.1</v>
      </c>
      <c r="E16" s="35">
        <v>45102</v>
      </c>
      <c r="F16" s="35">
        <v>45194</v>
      </c>
      <c r="G16" s="35">
        <f t="shared" ref="G16:G22" si="2">F16+2</f>
        <v>45196</v>
      </c>
      <c r="H16" s="35">
        <f t="shared" ref="H16:H22" si="3">F16+3</f>
        <v>45197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0</v>
      </c>
      <c r="S16" s="37">
        <v>0</v>
      </c>
      <c r="T16" s="37">
        <v>0</v>
      </c>
      <c r="V16" s="35">
        <v>45519</v>
      </c>
      <c r="W16" s="39"/>
      <c r="Z16" s="56" t="s">
        <v>78</v>
      </c>
      <c r="AA16" s="56"/>
      <c r="AB16" s="55">
        <v>-27.641567787946808</v>
      </c>
      <c r="AC16" s="55"/>
    </row>
    <row r="17" spans="1:29" x14ac:dyDescent="0.4">
      <c r="A17" s="29">
        <f t="shared" si="1"/>
        <v>17</v>
      </c>
      <c r="B17" s="30">
        <v>2</v>
      </c>
      <c r="C17" s="31">
        <v>0.1</v>
      </c>
      <c r="E17" s="35">
        <v>45194</v>
      </c>
      <c r="F17" s="35">
        <v>45285</v>
      </c>
      <c r="G17" s="35">
        <f t="shared" si="2"/>
        <v>45287</v>
      </c>
      <c r="H17" s="35">
        <f t="shared" si="3"/>
        <v>45288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V17" s="35">
        <v>45610</v>
      </c>
      <c r="W17" s="39"/>
      <c r="Z17" s="56" t="s">
        <v>77</v>
      </c>
      <c r="AA17" s="56"/>
      <c r="AB17" s="55">
        <v>102.04210195519222</v>
      </c>
      <c r="AC17" s="55"/>
    </row>
    <row r="18" spans="1:29" x14ac:dyDescent="0.4">
      <c r="A18" s="29">
        <f t="shared" si="1"/>
        <v>18</v>
      </c>
      <c r="B18" s="30">
        <v>3</v>
      </c>
      <c r="C18" s="31">
        <v>0.1</v>
      </c>
      <c r="E18" s="35">
        <v>45285</v>
      </c>
      <c r="F18" s="35">
        <v>45376</v>
      </c>
      <c r="G18" s="35">
        <f t="shared" si="2"/>
        <v>45378</v>
      </c>
      <c r="H18" s="35">
        <f t="shared" si="3"/>
        <v>45379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V18" s="35">
        <v>45701</v>
      </c>
      <c r="W18" s="39"/>
    </row>
    <row r="19" spans="1:29" x14ac:dyDescent="0.4">
      <c r="A19" s="29">
        <f t="shared" si="1"/>
        <v>19</v>
      </c>
      <c r="B19" s="30">
        <v>4</v>
      </c>
      <c r="C19" s="31">
        <v>0.1</v>
      </c>
      <c r="E19" s="35">
        <v>45376</v>
      </c>
      <c r="F19" s="35">
        <v>45467</v>
      </c>
      <c r="G19" s="35">
        <f t="shared" si="2"/>
        <v>45469</v>
      </c>
      <c r="H19" s="35">
        <f t="shared" si="3"/>
        <v>45470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0</v>
      </c>
      <c r="S19" s="37">
        <v>0</v>
      </c>
      <c r="T19" s="37">
        <v>0</v>
      </c>
    </row>
    <row r="20" spans="1:29" x14ac:dyDescent="0.4">
      <c r="A20" s="29">
        <f t="shared" si="1"/>
        <v>20</v>
      </c>
      <c r="B20" s="34"/>
      <c r="C20" s="34"/>
      <c r="E20" s="35">
        <v>45467</v>
      </c>
      <c r="F20" s="35">
        <v>45559</v>
      </c>
      <c r="G20" s="35">
        <f t="shared" si="2"/>
        <v>45561</v>
      </c>
      <c r="H20" s="35">
        <f t="shared" si="3"/>
        <v>45562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</row>
    <row r="21" spans="1:29" x14ac:dyDescent="0.4">
      <c r="A21" s="29">
        <f t="shared" si="1"/>
        <v>21</v>
      </c>
      <c r="B21" s="34"/>
      <c r="C21" s="34"/>
      <c r="E21" s="35">
        <v>45559</v>
      </c>
      <c r="F21" s="35">
        <v>45650</v>
      </c>
      <c r="G21" s="35">
        <f t="shared" si="2"/>
        <v>45652</v>
      </c>
      <c r="H21" s="35">
        <f t="shared" si="3"/>
        <v>45653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0</v>
      </c>
      <c r="S21" s="37">
        <v>0</v>
      </c>
      <c r="T21" s="37">
        <v>0</v>
      </c>
    </row>
    <row r="22" spans="1:29" x14ac:dyDescent="0.4">
      <c r="A22" s="29">
        <f t="shared" si="1"/>
        <v>22</v>
      </c>
      <c r="B22" s="34"/>
      <c r="C22" s="34"/>
      <c r="E22" s="35">
        <v>45650</v>
      </c>
      <c r="F22" s="35">
        <v>45741</v>
      </c>
      <c r="G22" s="35">
        <f t="shared" si="2"/>
        <v>45743</v>
      </c>
      <c r="H22" s="35">
        <f t="shared" si="3"/>
        <v>45744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</row>
    <row r="23" spans="1:29" x14ac:dyDescent="0.4">
      <c r="A23" s="29">
        <f t="shared" si="1"/>
        <v>23</v>
      </c>
      <c r="B23" s="34"/>
      <c r="C23" s="34"/>
    </row>
    <row r="24" spans="1:29" x14ac:dyDescent="0.4">
      <c r="A24" s="29">
        <f t="shared" si="1"/>
        <v>24</v>
      </c>
      <c r="B24" s="34"/>
      <c r="C24" s="34"/>
    </row>
    <row r="25" spans="1:29" x14ac:dyDescent="0.4">
      <c r="A25" s="29">
        <f t="shared" si="1"/>
        <v>25</v>
      </c>
      <c r="B25" s="34"/>
      <c r="C25" s="34"/>
    </row>
    <row r="26" spans="1:29" x14ac:dyDescent="0.4">
      <c r="A26" s="29">
        <f t="shared" si="1"/>
        <v>26</v>
      </c>
      <c r="B26" s="34"/>
      <c r="C26" s="34"/>
    </row>
    <row r="27" spans="1:29" x14ac:dyDescent="0.4">
      <c r="A27" s="29">
        <f t="shared" si="1"/>
        <v>27</v>
      </c>
      <c r="B27" s="34"/>
      <c r="C27" s="34"/>
    </row>
    <row r="28" spans="1:29" x14ac:dyDescent="0.4">
      <c r="A28" s="29">
        <f t="shared" si="1"/>
        <v>28</v>
      </c>
      <c r="B28" s="34"/>
      <c r="C28" s="34"/>
    </row>
    <row r="29" spans="1:29" x14ac:dyDescent="0.4">
      <c r="A29" s="29">
        <f t="shared" si="1"/>
        <v>29</v>
      </c>
      <c r="B29" s="34"/>
      <c r="C29" s="34"/>
    </row>
    <row r="30" spans="1:29" x14ac:dyDescent="0.4">
      <c r="A30" s="29">
        <f t="shared" si="1"/>
        <v>30</v>
      </c>
      <c r="B30" s="34"/>
      <c r="C30" s="34"/>
    </row>
    <row r="31" spans="1:29" x14ac:dyDescent="0.4">
      <c r="A31" s="29">
        <f t="shared" si="1"/>
        <v>31</v>
      </c>
      <c r="B31" s="34"/>
      <c r="C31" s="34"/>
    </row>
    <row r="32" spans="1:29" x14ac:dyDescent="0.4">
      <c r="A32" s="29">
        <f t="shared" si="1"/>
        <v>32</v>
      </c>
      <c r="B32" s="34"/>
      <c r="C32" s="34"/>
    </row>
    <row r="33" spans="1:3" x14ac:dyDescent="0.4">
      <c r="A33" s="29">
        <f t="shared" si="1"/>
        <v>33</v>
      </c>
      <c r="B33" s="34"/>
      <c r="C33" s="34"/>
    </row>
    <row r="34" spans="1:3" x14ac:dyDescent="0.4">
      <c r="A34" s="29">
        <f t="shared" si="1"/>
        <v>34</v>
      </c>
      <c r="B34" s="34"/>
      <c r="C34" s="34"/>
    </row>
    <row r="35" spans="1:3" x14ac:dyDescent="0.4">
      <c r="A35" s="29">
        <f t="shared" si="1"/>
        <v>35</v>
      </c>
      <c r="B35" s="34"/>
      <c r="C35" s="34"/>
    </row>
    <row r="36" spans="1:3" x14ac:dyDescent="0.4">
      <c r="A36" s="29">
        <f t="shared" si="1"/>
        <v>36</v>
      </c>
      <c r="B36" s="34"/>
      <c r="C36" s="34"/>
    </row>
    <row r="37" spans="1:3" x14ac:dyDescent="0.4">
      <c r="A37" s="29">
        <f t="shared" si="1"/>
        <v>37</v>
      </c>
      <c r="B37" s="34"/>
      <c r="C37" s="34"/>
    </row>
    <row r="38" spans="1:3" x14ac:dyDescent="0.4">
      <c r="A38" s="29">
        <f t="shared" si="1"/>
        <v>38</v>
      </c>
      <c r="B38" s="34"/>
      <c r="C38" s="34"/>
    </row>
    <row r="39" spans="1:3" x14ac:dyDescent="0.4">
      <c r="A39" s="29">
        <f t="shared" si="1"/>
        <v>39</v>
      </c>
      <c r="B39" s="34"/>
      <c r="C39" s="34"/>
    </row>
    <row r="40" spans="1:3" x14ac:dyDescent="0.4">
      <c r="A40" s="29">
        <f t="shared" si="1"/>
        <v>40</v>
      </c>
      <c r="B40" s="34"/>
      <c r="C40" s="34"/>
    </row>
    <row r="41" spans="1:3" x14ac:dyDescent="0.4">
      <c r="A41" s="29">
        <f t="shared" si="1"/>
        <v>41</v>
      </c>
      <c r="B41" s="34"/>
      <c r="C41" s="34"/>
    </row>
    <row r="42" spans="1:3" x14ac:dyDescent="0.4">
      <c r="A42" s="29">
        <f t="shared" si="1"/>
        <v>42</v>
      </c>
      <c r="B42" s="34"/>
      <c r="C42" s="34"/>
    </row>
    <row r="43" spans="1:3" x14ac:dyDescent="0.4">
      <c r="A43" s="29">
        <f t="shared" si="1"/>
        <v>43</v>
      </c>
      <c r="B43" s="34"/>
      <c r="C43" s="34"/>
    </row>
    <row r="44" spans="1:3" x14ac:dyDescent="0.4">
      <c r="A44" s="29">
        <f t="shared" si="1"/>
        <v>44</v>
      </c>
      <c r="B44" s="34"/>
      <c r="C44" s="34"/>
    </row>
    <row r="45" spans="1:3" x14ac:dyDescent="0.4">
      <c r="A45" s="29">
        <f t="shared" si="1"/>
        <v>45</v>
      </c>
      <c r="B45" s="34"/>
      <c r="C45" s="34"/>
    </row>
    <row r="46" spans="1:3" x14ac:dyDescent="0.4">
      <c r="A46" s="29">
        <f t="shared" si="1"/>
        <v>46</v>
      </c>
      <c r="B46" s="34"/>
      <c r="C46" s="34"/>
    </row>
    <row r="47" spans="1:3" x14ac:dyDescent="0.4">
      <c r="A47" s="29">
        <f t="shared" si="1"/>
        <v>47</v>
      </c>
      <c r="B47" s="34"/>
      <c r="C47" s="34"/>
    </row>
    <row r="48" spans="1:3" x14ac:dyDescent="0.4">
      <c r="A48" s="29">
        <f t="shared" si="1"/>
        <v>48</v>
      </c>
      <c r="B48" s="34"/>
      <c r="C48" s="34"/>
    </row>
    <row r="49" spans="1:3" x14ac:dyDescent="0.4">
      <c r="A49" s="29">
        <f t="shared" si="1"/>
        <v>49</v>
      </c>
      <c r="B49" s="34"/>
      <c r="C49" s="34"/>
    </row>
    <row r="50" spans="1:3" x14ac:dyDescent="0.4">
      <c r="A50" s="29">
        <f t="shared" si="1"/>
        <v>50</v>
      </c>
      <c r="B50" s="34"/>
      <c r="C50" s="34"/>
    </row>
    <row r="51" spans="1:3" x14ac:dyDescent="0.4">
      <c r="A51" s="29">
        <f t="shared" si="1"/>
        <v>51</v>
      </c>
      <c r="B51" s="34"/>
      <c r="C51" s="34"/>
    </row>
    <row r="52" spans="1:3" x14ac:dyDescent="0.4">
      <c r="A52" s="29">
        <f t="shared" si="1"/>
        <v>52</v>
      </c>
      <c r="B52" s="34"/>
      <c r="C52" s="34"/>
    </row>
    <row r="53" spans="1:3" x14ac:dyDescent="0.4">
      <c r="A53" s="29">
        <f t="shared" si="1"/>
        <v>53</v>
      </c>
      <c r="B53" s="34"/>
      <c r="C53" s="34"/>
    </row>
    <row r="54" spans="1:3" x14ac:dyDescent="0.4">
      <c r="A54" s="29">
        <f t="shared" si="1"/>
        <v>54</v>
      </c>
      <c r="B54" s="34"/>
      <c r="C54" s="34"/>
    </row>
    <row r="55" spans="1:3" x14ac:dyDescent="0.4">
      <c r="A55" s="29">
        <f t="shared" si="1"/>
        <v>55</v>
      </c>
      <c r="B55" s="34"/>
      <c r="C55" s="34"/>
    </row>
    <row r="56" spans="1:3" x14ac:dyDescent="0.4">
      <c r="A56" s="29">
        <f t="shared" si="1"/>
        <v>56</v>
      </c>
      <c r="B56" s="34"/>
      <c r="C56" s="34"/>
    </row>
    <row r="57" spans="1:3" x14ac:dyDescent="0.4">
      <c r="A57" s="29">
        <f t="shared" si="1"/>
        <v>57</v>
      </c>
      <c r="B57" s="34"/>
      <c r="C57" s="34"/>
    </row>
    <row r="58" spans="1:3" x14ac:dyDescent="0.4">
      <c r="A58" s="29">
        <f t="shared" si="1"/>
        <v>58</v>
      </c>
      <c r="B58" s="34"/>
      <c r="C58" s="34"/>
    </row>
    <row r="59" spans="1:3" x14ac:dyDescent="0.4">
      <c r="A59" s="29">
        <f t="shared" si="1"/>
        <v>59</v>
      </c>
      <c r="B59" s="34"/>
      <c r="C59" s="34"/>
    </row>
    <row r="60" spans="1:3" x14ac:dyDescent="0.4">
      <c r="A60" s="29">
        <f t="shared" si="1"/>
        <v>60</v>
      </c>
      <c r="B60" s="34"/>
      <c r="C60" s="34"/>
    </row>
    <row r="61" spans="1:3" x14ac:dyDescent="0.4">
      <c r="A61" s="29">
        <f t="shared" si="1"/>
        <v>61</v>
      </c>
      <c r="B61" s="34"/>
      <c r="C61" s="34"/>
    </row>
    <row r="62" spans="1:3" x14ac:dyDescent="0.4">
      <c r="A62" s="29">
        <f t="shared" si="1"/>
        <v>62</v>
      </c>
    </row>
    <row r="63" spans="1:3" x14ac:dyDescent="0.4">
      <c r="A63" s="29">
        <f t="shared" si="1"/>
        <v>63</v>
      </c>
    </row>
    <row r="64" spans="1:3" x14ac:dyDescent="0.4">
      <c r="A64" s="29">
        <f t="shared" si="1"/>
        <v>64</v>
      </c>
    </row>
    <row r="65" spans="1:1" x14ac:dyDescent="0.4">
      <c r="A65" s="29">
        <f t="shared" si="1"/>
        <v>65</v>
      </c>
    </row>
    <row r="66" spans="1:1" x14ac:dyDescent="0.4">
      <c r="A66" s="29">
        <f t="shared" si="1"/>
        <v>66</v>
      </c>
    </row>
    <row r="67" spans="1:1" x14ac:dyDescent="0.4">
      <c r="A67" s="29">
        <f t="shared" ref="A67:A84" si="4">A66+1</f>
        <v>67</v>
      </c>
    </row>
    <row r="68" spans="1:1" x14ac:dyDescent="0.4">
      <c r="A68" s="29">
        <f t="shared" si="4"/>
        <v>68</v>
      </c>
    </row>
    <row r="69" spans="1:1" x14ac:dyDescent="0.4">
      <c r="A69" s="29">
        <f t="shared" si="4"/>
        <v>69</v>
      </c>
    </row>
    <row r="70" spans="1:1" x14ac:dyDescent="0.4">
      <c r="A70" s="29">
        <f t="shared" si="4"/>
        <v>70</v>
      </c>
    </row>
    <row r="71" spans="1:1" x14ac:dyDescent="0.4">
      <c r="A71" s="29">
        <f t="shared" si="4"/>
        <v>71</v>
      </c>
    </row>
    <row r="72" spans="1:1" x14ac:dyDescent="0.4">
      <c r="A72" s="29">
        <f t="shared" si="4"/>
        <v>72</v>
      </c>
    </row>
    <row r="73" spans="1:1" x14ac:dyDescent="0.4">
      <c r="A73" s="29">
        <f t="shared" si="4"/>
        <v>73</v>
      </c>
    </row>
    <row r="74" spans="1:1" x14ac:dyDescent="0.4">
      <c r="A74" s="29">
        <f t="shared" si="4"/>
        <v>74</v>
      </c>
    </row>
    <row r="75" spans="1:1" x14ac:dyDescent="0.4">
      <c r="A75" s="29">
        <f t="shared" si="4"/>
        <v>75</v>
      </c>
    </row>
    <row r="76" spans="1:1" x14ac:dyDescent="0.4">
      <c r="A76" s="29">
        <f t="shared" si="4"/>
        <v>76</v>
      </c>
    </row>
    <row r="77" spans="1:1" x14ac:dyDescent="0.4">
      <c r="A77" s="29">
        <f t="shared" si="4"/>
        <v>77</v>
      </c>
    </row>
    <row r="78" spans="1:1" x14ac:dyDescent="0.4">
      <c r="A78" s="29">
        <f t="shared" si="4"/>
        <v>78</v>
      </c>
    </row>
    <row r="79" spans="1:1" x14ac:dyDescent="0.4">
      <c r="A79" s="29">
        <f t="shared" si="4"/>
        <v>79</v>
      </c>
    </row>
    <row r="80" spans="1:1" x14ac:dyDescent="0.4">
      <c r="A80" s="29">
        <f t="shared" si="4"/>
        <v>80</v>
      </c>
    </row>
    <row r="81" spans="1:1" x14ac:dyDescent="0.4">
      <c r="A81" s="29">
        <f t="shared" si="4"/>
        <v>81</v>
      </c>
    </row>
    <row r="82" spans="1:1" x14ac:dyDescent="0.4">
      <c r="A82" s="29">
        <f t="shared" si="4"/>
        <v>82</v>
      </c>
    </row>
    <row r="83" spans="1:1" x14ac:dyDescent="0.4">
      <c r="A83" s="29">
        <f t="shared" si="4"/>
        <v>83</v>
      </c>
    </row>
    <row r="84" spans="1:1" x14ac:dyDescent="0.4">
      <c r="A84" s="29">
        <f t="shared" si="4"/>
        <v>84</v>
      </c>
    </row>
  </sheetData>
  <mergeCells count="57">
    <mergeCell ref="L3:M3"/>
    <mergeCell ref="B3:C3"/>
    <mergeCell ref="D3:E3"/>
    <mergeCell ref="F3:G3"/>
    <mergeCell ref="H3:I3"/>
    <mergeCell ref="J3:K3"/>
    <mergeCell ref="B4:K5"/>
    <mergeCell ref="B6:C6"/>
    <mergeCell ref="D6:E6"/>
    <mergeCell ref="F6:G7"/>
    <mergeCell ref="H6:I6"/>
    <mergeCell ref="J6:K6"/>
    <mergeCell ref="H7:I7"/>
    <mergeCell ref="J7:K7"/>
    <mergeCell ref="B9:C9"/>
    <mergeCell ref="D9:E9"/>
    <mergeCell ref="B10:C10"/>
    <mergeCell ref="D10:E10"/>
    <mergeCell ref="B12:C12"/>
    <mergeCell ref="E12:H12"/>
    <mergeCell ref="F10:G10"/>
    <mergeCell ref="H10:I10"/>
    <mergeCell ref="I13:J13"/>
    <mergeCell ref="K13:L13"/>
    <mergeCell ref="M13:N13"/>
    <mergeCell ref="O13:P13"/>
    <mergeCell ref="E13:E14"/>
    <mergeCell ref="F13:F14"/>
    <mergeCell ref="M4:V5"/>
    <mergeCell ref="M6:N6"/>
    <mergeCell ref="O6:P6"/>
    <mergeCell ref="Q6:R7"/>
    <mergeCell ref="S6:T6"/>
    <mergeCell ref="U6:V6"/>
    <mergeCell ref="S7:T7"/>
    <mergeCell ref="U7:V7"/>
    <mergeCell ref="Z17:AA17"/>
    <mergeCell ref="AB17:AC17"/>
    <mergeCell ref="F9:G9"/>
    <mergeCell ref="H9:I9"/>
    <mergeCell ref="J9:K9"/>
    <mergeCell ref="L9:M9"/>
    <mergeCell ref="Z12:AC12"/>
    <mergeCell ref="Z13:AA13"/>
    <mergeCell ref="AB13:AC13"/>
    <mergeCell ref="Q13:R13"/>
    <mergeCell ref="S13:T13"/>
    <mergeCell ref="V13:V14"/>
    <mergeCell ref="W9:X9"/>
    <mergeCell ref="W10:X10"/>
    <mergeCell ref="Z14:AA14"/>
    <mergeCell ref="G13:H13"/>
    <mergeCell ref="AB14:AC14"/>
    <mergeCell ref="Z15:AA15"/>
    <mergeCell ref="AB15:AC15"/>
    <mergeCell ref="Z16:AA16"/>
    <mergeCell ref="AB16:AC1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2023-03-26T13:54:38Z</dcterms:modified>
</cp:coreProperties>
</file>