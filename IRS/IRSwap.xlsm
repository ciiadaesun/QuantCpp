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<sst xmlns="http://schemas.openxmlformats.org/spreadsheetml/2006/main" count="142" uniqueCount="80">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</sst>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D15" sqref="D15"/>
    </sheetView>
  </sheetViews>
  <sheetFormatPr defaultColWidth="12.59765625" defaultRowHeight="15.6" x14ac:dyDescent="0.4"/>
  <cols>
    <col min="1" max="1" width="12.59765625" style="3"/>
    <col min="2" max="2" width="12.59765625" style="56"/>
    <col min="3" max="3" width="12.59765625" style="54"/>
    <col min="4" max="4" width="12.59765625" style="56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6"/>
    <col min="22" max="22" width="12.59765625" style="6"/>
    <col min="23" max="23" width="12.59765625" style="57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0" t="s">
        <v>12</v>
      </c>
      <c r="C3" s="60"/>
      <c r="D3" s="61">
        <v>44848</v>
      </c>
      <c r="E3" s="62"/>
      <c r="F3" s="60" t="s">
        <v>39</v>
      </c>
      <c r="G3" s="60"/>
      <c r="H3" s="64">
        <v>0</v>
      </c>
      <c r="I3" s="64"/>
      <c r="J3" s="60" t="s">
        <v>44</v>
      </c>
      <c r="K3" s="60"/>
      <c r="L3" s="62">
        <v>0</v>
      </c>
      <c r="M3" s="6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65" t="s">
        <v>70</v>
      </c>
      <c r="N4" s="65"/>
      <c r="P4" s="59" t="s">
        <v>65</v>
      </c>
      <c r="Q4" s="59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65" t="s">
        <v>70</v>
      </c>
      <c r="AG4" s="65"/>
      <c r="AI4" s="59" t="s">
        <v>65</v>
      </c>
      <c r="AJ4" s="59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6" t="s">
        <v>10</v>
      </c>
      <c r="C6" s="67"/>
      <c r="D6" s="62">
        <v>2</v>
      </c>
      <c r="E6" s="62"/>
      <c r="F6" s="66" t="s">
        <v>17</v>
      </c>
      <c r="G6" s="66"/>
      <c r="H6" s="66" t="s">
        <v>1</v>
      </c>
      <c r="I6" s="67"/>
      <c r="J6" s="62">
        <v>4</v>
      </c>
      <c r="K6" s="62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6" t="s">
        <v>10</v>
      </c>
      <c r="V6" s="67"/>
      <c r="W6" s="62">
        <v>0</v>
      </c>
      <c r="X6" s="62"/>
      <c r="Y6" s="66" t="s">
        <v>17</v>
      </c>
      <c r="Z6" s="66"/>
      <c r="AA6" s="66" t="s">
        <v>1</v>
      </c>
      <c r="AB6" s="67"/>
      <c r="AC6" s="62"/>
      <c r="AD6" s="62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6" t="s">
        <v>11</v>
      </c>
      <c r="C7" s="67"/>
      <c r="D7" s="62">
        <v>1</v>
      </c>
      <c r="E7" s="62"/>
      <c r="F7" s="66"/>
      <c r="G7" s="66"/>
      <c r="H7" s="66" t="s">
        <v>2</v>
      </c>
      <c r="I7" s="67"/>
      <c r="J7" s="62">
        <v>10</v>
      </c>
      <c r="K7" s="62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6" t="s">
        <v>11</v>
      </c>
      <c r="V7" s="67"/>
      <c r="W7" s="62">
        <v>1</v>
      </c>
      <c r="X7" s="62"/>
      <c r="Y7" s="66"/>
      <c r="Z7" s="66"/>
      <c r="AA7" s="66" t="s">
        <v>2</v>
      </c>
      <c r="AB7" s="67"/>
      <c r="AC7" s="62"/>
      <c r="AD7" s="62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2" t="s">
        <v>25</v>
      </c>
      <c r="AS7" s="72"/>
      <c r="AT7" s="72"/>
      <c r="AU7" s="72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6" t="s">
        <v>0</v>
      </c>
      <c r="C8" s="67"/>
      <c r="D8" s="62">
        <v>0</v>
      </c>
      <c r="E8" s="62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6" t="s">
        <v>0</v>
      </c>
      <c r="V8" s="67"/>
      <c r="W8" s="62">
        <v>3</v>
      </c>
      <c r="X8" s="62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7" t="s">
        <v>27</v>
      </c>
      <c r="AS9" s="77"/>
      <c r="AT9" s="78">
        <v>0</v>
      </c>
      <c r="AU9" s="78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0" t="s">
        <v>9</v>
      </c>
      <c r="C10" s="60"/>
      <c r="D10" s="62">
        <v>10000000000</v>
      </c>
      <c r="E10" s="62"/>
      <c r="F10" s="38" t="str">
        <f>IF(AP16=1,"x Rcv FX","원")</f>
        <v>원</v>
      </c>
      <c r="G10" s="3"/>
      <c r="H10" s="3"/>
      <c r="I10" s="3"/>
      <c r="J10" s="60" t="s">
        <v>69</v>
      </c>
      <c r="K10" s="60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60" t="s">
        <v>9</v>
      </c>
      <c r="V10" s="60"/>
      <c r="W10" s="62">
        <v>10000000000</v>
      </c>
      <c r="X10" s="62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7" t="s">
        <v>28</v>
      </c>
      <c r="AS10" s="77"/>
      <c r="AT10" s="79">
        <v>2096046674.2491252</v>
      </c>
      <c r="AU10" s="79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0" t="s">
        <v>20</v>
      </c>
      <c r="C11" s="60"/>
      <c r="D11" s="61">
        <f>K59</f>
        <v>46825</v>
      </c>
      <c r="E11" s="62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9" t="s">
        <v>57</v>
      </c>
      <c r="Q11" s="59"/>
      <c r="R11" s="3"/>
      <c r="S11" s="3"/>
      <c r="U11" s="60" t="s">
        <v>20</v>
      </c>
      <c r="V11" s="60"/>
      <c r="W11" s="61">
        <f>AD59</f>
        <v>46822</v>
      </c>
      <c r="X11" s="62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9" t="s">
        <v>58</v>
      </c>
      <c r="AJ11" s="59"/>
      <c r="AK11" s="3"/>
      <c r="AL11" s="3"/>
      <c r="AN11" s="3"/>
      <c r="AO11" s="3"/>
      <c r="AP11" s="3"/>
      <c r="AR11" s="77" t="s">
        <v>29</v>
      </c>
      <c r="AS11" s="77"/>
      <c r="AT11" s="79">
        <v>1939264156.4362545</v>
      </c>
      <c r="AU11" s="79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7" t="s">
        <v>74</v>
      </c>
      <c r="AS12" s="77"/>
      <c r="AT12" s="79">
        <f>AT10-AT11</f>
        <v>156782517.81287074</v>
      </c>
      <c r="AU12" s="79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2" t="s">
        <v>45</v>
      </c>
      <c r="AS14" s="72"/>
      <c r="AT14" s="72"/>
      <c r="AU14" s="72"/>
      <c r="AV14" s="72" t="s">
        <v>46</v>
      </c>
      <c r="AW14" s="72"/>
      <c r="AX14" s="72"/>
      <c r="AY14" s="72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9" t="s">
        <v>51</v>
      </c>
      <c r="AO15" s="59"/>
      <c r="AP15" s="59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1" t="s">
        <v>36</v>
      </c>
      <c r="BB15" s="81"/>
      <c r="BC15" s="81"/>
      <c r="BD15" s="81"/>
      <c r="BE15" s="81"/>
      <c r="BF15" s="81"/>
      <c r="BG15" s="81"/>
      <c r="BH15" s="81"/>
      <c r="BJ15" s="81" t="s">
        <v>37</v>
      </c>
      <c r="BK15" s="81"/>
      <c r="BL15" s="81"/>
      <c r="BM15" s="81"/>
      <c r="BN15" s="81"/>
      <c r="BO15" s="81"/>
      <c r="BP15" s="81"/>
      <c r="BQ15" s="81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5" t="s">
        <v>63</v>
      </c>
      <c r="S16" s="6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5" t="s">
        <v>64</v>
      </c>
      <c r="AL16" s="65"/>
      <c r="AM16" s="22"/>
      <c r="AN16" s="73" t="s">
        <v>52</v>
      </c>
      <c r="AO16" s="73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81"/>
      <c r="BB16" s="81"/>
      <c r="BC16" s="81"/>
      <c r="BD16" s="81"/>
      <c r="BE16" s="81"/>
      <c r="BF16" s="81"/>
      <c r="BG16" s="81"/>
      <c r="BH16" s="81"/>
      <c r="BJ16" s="81"/>
      <c r="BK16" s="81"/>
      <c r="BL16" s="81"/>
      <c r="BM16" s="81"/>
      <c r="BN16" s="81"/>
      <c r="BO16" s="81"/>
      <c r="BP16" s="81"/>
      <c r="BQ16" s="81"/>
    </row>
    <row r="17" spans="1:69" ht="15.6" customHeight="1" x14ac:dyDescent="0.4">
      <c r="A17" s="3">
        <f t="shared" si="2"/>
        <v>17</v>
      </c>
      <c r="B17" s="59" t="s">
        <v>3</v>
      </c>
      <c r="C17" s="59"/>
      <c r="D17" s="59"/>
      <c r="E17" s="59"/>
      <c r="G17" s="59" t="s">
        <v>19</v>
      </c>
      <c r="H17" s="59"/>
      <c r="I17" s="59"/>
      <c r="J17" s="59"/>
      <c r="K17" s="3"/>
      <c r="L17" s="3"/>
      <c r="M17" s="3"/>
      <c r="N17" s="3"/>
      <c r="P17" s="23" t="s">
        <v>56</v>
      </c>
      <c r="Q17" s="26">
        <v>0</v>
      </c>
      <c r="R17" s="65"/>
      <c r="S17" s="65"/>
      <c r="U17" s="59" t="s">
        <v>24</v>
      </c>
      <c r="V17" s="59"/>
      <c r="W17" s="59"/>
      <c r="X17" s="59"/>
      <c r="Z17" s="59" t="s">
        <v>23</v>
      </c>
      <c r="AA17" s="59"/>
      <c r="AB17" s="59"/>
      <c r="AC17" s="59"/>
      <c r="AD17" s="3"/>
      <c r="AE17" s="3"/>
      <c r="AF17" s="3"/>
      <c r="AG17" s="3"/>
      <c r="AI17" s="23" t="s">
        <v>47</v>
      </c>
      <c r="AJ17" s="26">
        <v>0</v>
      </c>
      <c r="AK17" s="65"/>
      <c r="AL17" s="65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5" t="s">
        <v>4</v>
      </c>
      <c r="C18" s="65"/>
      <c r="D18" s="65" t="s">
        <v>5</v>
      </c>
      <c r="E18" s="65"/>
      <c r="G18" s="63" t="s">
        <v>13</v>
      </c>
      <c r="H18" s="63" t="s">
        <v>14</v>
      </c>
      <c r="I18" s="63" t="s">
        <v>6</v>
      </c>
      <c r="J18" s="63" t="s">
        <v>7</v>
      </c>
      <c r="K18" s="63" t="s">
        <v>8</v>
      </c>
      <c r="L18" s="63" t="s">
        <v>15</v>
      </c>
      <c r="M18" s="63" t="s">
        <v>22</v>
      </c>
      <c r="N18" s="63" t="s">
        <v>16</v>
      </c>
      <c r="P18" s="65" t="s">
        <v>60</v>
      </c>
      <c r="Q18" s="71"/>
      <c r="R18" s="70" t="s">
        <v>61</v>
      </c>
      <c r="S18" s="70" t="s">
        <v>62</v>
      </c>
      <c r="U18" s="65" t="s">
        <v>4</v>
      </c>
      <c r="V18" s="65"/>
      <c r="W18" s="65" t="s">
        <v>5</v>
      </c>
      <c r="X18" s="65"/>
      <c r="Z18" s="63" t="s">
        <v>13</v>
      </c>
      <c r="AA18" s="63" t="s">
        <v>14</v>
      </c>
      <c r="AB18" s="63" t="s">
        <v>6</v>
      </c>
      <c r="AC18" s="63" t="s">
        <v>7</v>
      </c>
      <c r="AD18" s="63" t="s">
        <v>8</v>
      </c>
      <c r="AE18" s="63" t="s">
        <v>15</v>
      </c>
      <c r="AF18" s="63" t="s">
        <v>22</v>
      </c>
      <c r="AG18" s="63" t="s">
        <v>16</v>
      </c>
      <c r="AI18" s="65" t="s">
        <v>60</v>
      </c>
      <c r="AJ18" s="39"/>
      <c r="AK18" s="70" t="s">
        <v>61</v>
      </c>
      <c r="AL18" s="70" t="s">
        <v>62</v>
      </c>
      <c r="AM18" s="22"/>
      <c r="AN18" s="73" t="s">
        <v>53</v>
      </c>
      <c r="AO18" s="73"/>
      <c r="AP18" s="73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8" t="s">
        <v>33</v>
      </c>
      <c r="BB18" s="68"/>
      <c r="BD18" s="68" t="s">
        <v>34</v>
      </c>
      <c r="BE18" s="68"/>
      <c r="BG18" s="68" t="s">
        <v>35</v>
      </c>
      <c r="BH18" s="68"/>
      <c r="BJ18" s="68" t="s">
        <v>33</v>
      </c>
      <c r="BK18" s="68"/>
      <c r="BM18" s="68" t="s">
        <v>34</v>
      </c>
      <c r="BN18" s="68"/>
      <c r="BP18" s="68" t="s">
        <v>35</v>
      </c>
      <c r="BQ18" s="68"/>
    </row>
    <row r="19" spans="1:69" ht="16.2" customHeight="1" thickBot="1" x14ac:dyDescent="0.45">
      <c r="A19" s="3">
        <f t="shared" si="2"/>
        <v>19</v>
      </c>
      <c r="B19" s="65"/>
      <c r="C19" s="65"/>
      <c r="D19" s="65"/>
      <c r="E19" s="65"/>
      <c r="G19" s="63"/>
      <c r="H19" s="63"/>
      <c r="I19" s="63"/>
      <c r="J19" s="63"/>
      <c r="K19" s="63"/>
      <c r="L19" s="63"/>
      <c r="M19" s="63"/>
      <c r="N19" s="63"/>
      <c r="O19" s="27"/>
      <c r="P19" s="65"/>
      <c r="Q19" s="71"/>
      <c r="R19" s="70"/>
      <c r="S19" s="70"/>
      <c r="U19" s="65"/>
      <c r="V19" s="65"/>
      <c r="W19" s="65"/>
      <c r="X19" s="65"/>
      <c r="Z19" s="63"/>
      <c r="AA19" s="63"/>
      <c r="AB19" s="63"/>
      <c r="AC19" s="63"/>
      <c r="AD19" s="63"/>
      <c r="AE19" s="63"/>
      <c r="AF19" s="63"/>
      <c r="AG19" s="63"/>
      <c r="AI19" s="65"/>
      <c r="AJ19" s="39"/>
      <c r="AK19" s="70"/>
      <c r="AL19" s="70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9"/>
      <c r="BB19" s="69"/>
      <c r="BD19" s="69"/>
      <c r="BE19" s="69"/>
      <c r="BG19" s="69"/>
      <c r="BH19" s="69"/>
      <c r="BJ19" s="69"/>
      <c r="BK19" s="69"/>
      <c r="BM19" s="69"/>
      <c r="BN19" s="69"/>
      <c r="BP19" s="69"/>
      <c r="BQ19" s="69"/>
    </row>
    <row r="20" spans="1:69" ht="15.6" customHeight="1" x14ac:dyDescent="0.35">
      <c r="A20" s="3">
        <f t="shared" si="2"/>
        <v>20</v>
      </c>
      <c r="B20" s="55">
        <v>44849</v>
      </c>
      <c r="C20" s="2">
        <v>3.1519999999999992E-2</v>
      </c>
      <c r="D20" s="55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5">
        <v>44939</v>
      </c>
      <c r="V20" s="2">
        <v>4.2140000000000004E-2</v>
      </c>
      <c r="W20" s="55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5">
        <v>44939</v>
      </c>
      <c r="C21" s="2">
        <v>3.261E-2</v>
      </c>
      <c r="D21" s="55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5">
        <v>45030</v>
      </c>
      <c r="V21" s="2">
        <v>4.5100000000000001E-2</v>
      </c>
      <c r="W21" s="55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5">
        <v>45030</v>
      </c>
      <c r="C22" s="2">
        <v>3.3500000000000002E-2</v>
      </c>
      <c r="D22" s="55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5">
        <v>45213</v>
      </c>
      <c r="V22" s="2">
        <v>4.8210000000000003E-2</v>
      </c>
      <c r="W22" s="55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80" t="s">
        <v>38</v>
      </c>
      <c r="BB22" s="80"/>
      <c r="BD22" s="80" t="s">
        <v>38</v>
      </c>
      <c r="BE22" s="80"/>
      <c r="BG22" s="80" t="s">
        <v>38</v>
      </c>
      <c r="BH22" s="80"/>
      <c r="BJ22" s="80" t="s">
        <v>38</v>
      </c>
      <c r="BK22" s="80"/>
      <c r="BM22" s="80" t="s">
        <v>38</v>
      </c>
      <c r="BN22" s="80"/>
      <c r="BP22" s="80" t="s">
        <v>38</v>
      </c>
      <c r="BQ22" s="80"/>
    </row>
    <row r="23" spans="1:69" x14ac:dyDescent="0.35">
      <c r="A23" s="3">
        <f t="shared" si="2"/>
        <v>23</v>
      </c>
      <c r="B23" s="55">
        <v>45213</v>
      </c>
      <c r="C23" s="2">
        <v>3.4509999999999999E-2</v>
      </c>
      <c r="D23" s="55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5">
        <v>45578</v>
      </c>
      <c r="V23" s="2">
        <v>4.7410000000000001E-2</v>
      </c>
      <c r="W23" s="55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5">
        <v>45395</v>
      </c>
      <c r="C24" s="2">
        <v>3.9999999999999994E-2</v>
      </c>
      <c r="D24" s="55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5">
        <v>45943</v>
      </c>
      <c r="V24" s="2">
        <v>4.727E-2</v>
      </c>
      <c r="W24" s="55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5">
        <v>45578</v>
      </c>
      <c r="C25" s="2">
        <v>4.222999999999999E-2</v>
      </c>
      <c r="D25" s="55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5">
        <v>46673</v>
      </c>
      <c r="V25" s="2">
        <v>4.5089999999999998E-2</v>
      </c>
      <c r="W25" s="55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5">
        <v>45943</v>
      </c>
      <c r="C26" s="2">
        <v>4.2499999999999996E-2</v>
      </c>
      <c r="D26" s="55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5">
        <v>47403</v>
      </c>
      <c r="V26" s="2">
        <v>4.4120000000000006E-2</v>
      </c>
      <c r="W26" s="55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5">
        <v>46308</v>
      </c>
      <c r="C27" s="2">
        <v>4.3450000000000003E-2</v>
      </c>
      <c r="D27" s="55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5">
        <v>48498</v>
      </c>
      <c r="V27" s="2">
        <v>4.2840000000000003E-2</v>
      </c>
      <c r="W27" s="55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5">
        <v>46673</v>
      </c>
      <c r="C28" s="2">
        <v>4.2889999999999998E-2</v>
      </c>
      <c r="D28" s="55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5">
        <v>52148</v>
      </c>
      <c r="V28" s="53">
        <v>4.5839999999999999E-2</v>
      </c>
      <c r="W28" s="55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5">
        <v>48498</v>
      </c>
      <c r="C29" s="2">
        <v>4.274E-2</v>
      </c>
      <c r="D29" s="55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5">
        <v>55798</v>
      </c>
      <c r="V29" s="53">
        <v>4.684E-2</v>
      </c>
      <c r="W29" s="55">
        <v>55798</v>
      </c>
      <c r="X29" s="53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5">
        <v>52148</v>
      </c>
      <c r="C30" s="2">
        <v>4.1399999999999992E-2</v>
      </c>
      <c r="D30" s="55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5"/>
      <c r="V30" s="53"/>
      <c r="W30" s="55"/>
      <c r="X30" s="53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5">
        <v>55798</v>
      </c>
      <c r="C31" s="53">
        <v>4.0489999999999998E-2</v>
      </c>
      <c r="D31" s="55">
        <v>55798</v>
      </c>
      <c r="E31" s="53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5"/>
      <c r="V31" s="53"/>
      <c r="W31" s="55"/>
      <c r="X31" s="53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5"/>
      <c r="C32" s="53"/>
      <c r="D32" s="55"/>
      <c r="E32" s="53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5"/>
      <c r="V32" s="53"/>
      <c r="W32" s="55"/>
      <c r="X32" s="53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5"/>
      <c r="C33" s="53"/>
      <c r="D33" s="55"/>
      <c r="E33" s="53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5"/>
      <c r="V33" s="53"/>
      <c r="W33" s="55"/>
      <c r="X33" s="53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4.2362141574658618E-2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4.5429790092648421E-2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3.5027208154441464E-2</v>
      </c>
      <c r="AT36" s="18">
        <v>90207056.616917744</v>
      </c>
      <c r="AU36" s="16">
        <v>0.97781917932201756</v>
      </c>
      <c r="AV36" s="13">
        <v>45089</v>
      </c>
      <c r="AW36" s="15">
        <v>4.9767283755180643E-2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5.2080077743411113E-2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4.9973910385573639E-2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4.7232233769841474E-2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4.6828652351083473E-2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4.6425834890173344E-2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4.5942707333206649E-2</v>
      </c>
      <c r="AT42" s="18">
        <v>114542092.25539191</v>
      </c>
      <c r="AU42" s="16">
        <v>0.91267031751910499</v>
      </c>
      <c r="AV42" s="13">
        <v>45636</v>
      </c>
      <c r="AW42" s="15">
        <v>4.6935862391273779E-2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45726</v>
      </c>
      <c r="AW43" s="15">
        <v>4.7324978528699817E-2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4.7260450950812591E-2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45910</v>
      </c>
      <c r="AW45" s="15">
        <v>4.7189035534312147E-2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4.5180275141353428E-2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4.3617708951352994E-2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4.3073457850272646E-2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4.2518051232877031E-2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4.1963335477280587E-2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46456</v>
      </c>
      <c r="AW51" s="15">
        <v>4.1414855046783459E-2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46548</v>
      </c>
      <c r="AW52" s="15">
        <v>4.0870395194516469E-2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46643</v>
      </c>
      <c r="AS53" s="15">
        <v>4.0538116626681497E-2</v>
      </c>
      <c r="AT53" s="29">
        <v>102178266.56588213</v>
      </c>
      <c r="AU53" s="30">
        <v>0.80965168004942256</v>
      </c>
      <c r="AV53" s="49">
        <v>46640</v>
      </c>
      <c r="AW53" s="15">
        <v>4.0315293677813807E-2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46734</v>
      </c>
      <c r="AS54" s="15">
        <v>4.2012838839216221E-2</v>
      </c>
      <c r="AT54" s="29">
        <v>104744337.92790894</v>
      </c>
      <c r="AU54" s="30">
        <v>0.80124219533257368</v>
      </c>
      <c r="AV54" s="49">
        <v>46731</v>
      </c>
      <c r="AW54" s="15">
        <v>4.1770640997631246E-2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46825</v>
      </c>
      <c r="AS55" s="15">
        <v>4.2951327914917278E-2</v>
      </c>
      <c r="AT55" s="29">
        <v>107084132.60979377</v>
      </c>
      <c r="AU55" s="30">
        <v>0.79275316533684814</v>
      </c>
      <c r="AV55" s="49">
        <v>46822</v>
      </c>
      <c r="AW55" s="15">
        <v>4.2614734451576014E-2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2025-01-06T12:35:56Z</dcterms:modified>
</cp:coreProperties>
</file>