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 activeTab="1"/>
  </bookViews>
  <sheets>
    <sheet name="스케줄생성기" sheetId="2" r:id="rId1"/>
    <sheet name="IRSwapInfo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B1" i="2"/>
  <c r="W11" i="1" l="1"/>
  <c r="AT12" i="1" l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L1" i="1" l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  <c r="D11" i="1" l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<sst xmlns="http://schemas.openxmlformats.org/spreadsheetml/2006/main" count="142" uniqueCount="80">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</sst>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 applyAlignment="1">
      <alignment vertical="center"/>
    </xf>
    <xf numFmtId="187" fontId="0" fillId="2" borderId="0" xfId="0" applyNumberFormat="1" applyFill="1">
      <alignment vertical="center"/>
    </xf>
    <xf numFmtId="176" fontId="15" fillId="6" borderId="0" xfId="0" applyNumberFormat="1" applyFont="1" applyFill="1" applyBorder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76" fontId="15" fillId="6" borderId="0" xfId="0" applyNumberFormat="1" applyFont="1" applyFill="1">
      <alignment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8"/>
  <sheetViews>
    <sheetView workbookViewId="0">
      <selection activeCell="F13" sqref="F13"/>
    </sheetView>
  </sheetViews>
  <sheetFormatPr defaultColWidth="14.5" defaultRowHeight="17.399999999999999" x14ac:dyDescent="0.4"/>
  <cols>
    <col min="1" max="16384" width="14.5" style="50"/>
  </cols>
  <sheetData>
    <row r="1" spans="1:14" x14ac:dyDescent="0.4">
      <c r="A1" s="3">
        <v>1</v>
      </c>
      <c r="B1" s="50">
        <f>A1+1</f>
        <v>2</v>
      </c>
      <c r="C1" s="50">
        <f t="shared" ref="C1:N1" si="0">B1+1</f>
        <v>3</v>
      </c>
      <c r="D1" s="50">
        <f t="shared" si="0"/>
        <v>4</v>
      </c>
      <c r="E1" s="50">
        <f t="shared" si="0"/>
        <v>5</v>
      </c>
      <c r="F1" s="50">
        <f t="shared" si="0"/>
        <v>6</v>
      </c>
      <c r="G1" s="50">
        <f t="shared" si="0"/>
        <v>7</v>
      </c>
      <c r="H1" s="50">
        <f t="shared" si="0"/>
        <v>8</v>
      </c>
      <c r="I1" s="50">
        <f t="shared" si="0"/>
        <v>9</v>
      </c>
      <c r="J1" s="50">
        <f t="shared" si="0"/>
        <v>10</v>
      </c>
      <c r="K1" s="50">
        <f t="shared" si="0"/>
        <v>11</v>
      </c>
      <c r="L1" s="50">
        <f t="shared" si="0"/>
        <v>12</v>
      </c>
      <c r="M1" s="50">
        <f t="shared" si="0"/>
        <v>13</v>
      </c>
      <c r="N1" s="50">
        <f t="shared" si="0"/>
        <v>14</v>
      </c>
    </row>
    <row r="4" spans="1:14" x14ac:dyDescent="0.4">
      <c r="B4" s="66" t="s">
        <v>18</v>
      </c>
      <c r="C4" s="66"/>
      <c r="D4" s="66" t="s">
        <v>75</v>
      </c>
      <c r="E4" s="66"/>
    </row>
    <row r="5" spans="1:14" x14ac:dyDescent="0.4">
      <c r="B5" s="66"/>
      <c r="C5" s="66"/>
      <c r="D5" s="66"/>
      <c r="E5" s="66"/>
    </row>
    <row r="6" spans="1:14" x14ac:dyDescent="0.4">
      <c r="B6" s="38" t="s">
        <v>76</v>
      </c>
      <c r="C6" s="51">
        <v>43169</v>
      </c>
      <c r="D6" s="38" t="s">
        <v>77</v>
      </c>
      <c r="E6" s="51">
        <v>43169</v>
      </c>
    </row>
    <row r="7" spans="1:14" x14ac:dyDescent="0.4">
      <c r="B7" s="38" t="s">
        <v>78</v>
      </c>
      <c r="C7" s="51">
        <v>46825</v>
      </c>
      <c r="D7" s="38" t="s">
        <v>78</v>
      </c>
      <c r="E7" s="51">
        <v>46823</v>
      </c>
    </row>
    <row r="8" spans="1:14" x14ac:dyDescent="0.4">
      <c r="B8" s="38" t="s">
        <v>79</v>
      </c>
      <c r="C8" s="52">
        <v>4</v>
      </c>
      <c r="D8" s="38" t="s">
        <v>79</v>
      </c>
      <c r="E8" s="52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A14" zoomScale="85" zoomScaleNormal="85" workbookViewId="0">
      <selection activeCell="AF29" sqref="AF29"/>
    </sheetView>
  </sheetViews>
  <sheetFormatPr defaultColWidth="12.59765625" defaultRowHeight="15.6" x14ac:dyDescent="0.4"/>
  <cols>
    <col min="1" max="1" width="12.59765625" style="3"/>
    <col min="2" max="2" width="12.59765625" style="53"/>
    <col min="3" max="3" width="12.59765625" style="55"/>
    <col min="4" max="4" width="12.59765625" style="53"/>
    <col min="5" max="5" width="12.59765625" style="55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3"/>
    <col min="22" max="22" width="12.59765625" style="6"/>
    <col min="23" max="23" width="12.59765625" style="56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49"/>
    <col min="45" max="45" width="12.59765625" style="15"/>
    <col min="46" max="46" width="16.8984375" style="29" bestFit="1" customWidth="1"/>
    <col min="47" max="47" width="12.59765625" style="30"/>
    <col min="48" max="48" width="12.59765625" style="49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8" t="s">
        <v>12</v>
      </c>
      <c r="C3" s="58"/>
      <c r="D3" s="59">
        <v>44848</v>
      </c>
      <c r="E3" s="60"/>
      <c r="F3" s="58" t="s">
        <v>39</v>
      </c>
      <c r="G3" s="58"/>
      <c r="H3" s="62">
        <v>0</v>
      </c>
      <c r="I3" s="62"/>
      <c r="J3" s="58" t="s">
        <v>44</v>
      </c>
      <c r="K3" s="58"/>
      <c r="L3" s="60">
        <v>0</v>
      </c>
      <c r="M3" s="60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66" t="s">
        <v>18</v>
      </c>
      <c r="C4" s="66"/>
      <c r="D4" s="66"/>
      <c r="E4" s="66"/>
      <c r="F4" s="66"/>
      <c r="G4" s="66"/>
      <c r="H4" s="66"/>
      <c r="I4" s="66"/>
      <c r="J4" s="66"/>
      <c r="K4" s="66"/>
      <c r="L4" s="3"/>
      <c r="M4" s="63" t="s">
        <v>70</v>
      </c>
      <c r="N4" s="63"/>
      <c r="P4" s="57" t="s">
        <v>65</v>
      </c>
      <c r="Q4" s="57"/>
      <c r="R4" s="3"/>
      <c r="S4" s="3"/>
      <c r="U4" s="66" t="s">
        <v>21</v>
      </c>
      <c r="V4" s="66"/>
      <c r="W4" s="66"/>
      <c r="X4" s="66"/>
      <c r="Y4" s="66"/>
      <c r="Z4" s="66"/>
      <c r="AA4" s="66"/>
      <c r="AB4" s="66"/>
      <c r="AC4" s="66"/>
      <c r="AD4" s="66"/>
      <c r="AE4" s="3"/>
      <c r="AF4" s="63" t="s">
        <v>70</v>
      </c>
      <c r="AG4" s="63"/>
      <c r="AI4" s="57" t="s">
        <v>65</v>
      </c>
      <c r="AJ4" s="57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66"/>
      <c r="V5" s="66"/>
      <c r="W5" s="66"/>
      <c r="X5" s="66"/>
      <c r="Y5" s="66"/>
      <c r="Z5" s="66"/>
      <c r="AA5" s="66"/>
      <c r="AB5" s="66"/>
      <c r="AC5" s="66"/>
      <c r="AD5" s="66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4" t="s">
        <v>10</v>
      </c>
      <c r="C6" s="65"/>
      <c r="D6" s="60">
        <v>2</v>
      </c>
      <c r="E6" s="60"/>
      <c r="F6" s="64" t="s">
        <v>17</v>
      </c>
      <c r="G6" s="64"/>
      <c r="H6" s="64" t="s">
        <v>1</v>
      </c>
      <c r="I6" s="65"/>
      <c r="J6" s="60">
        <v>4</v>
      </c>
      <c r="K6" s="60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4" t="s">
        <v>10</v>
      </c>
      <c r="V6" s="65"/>
      <c r="W6" s="60">
        <v>0</v>
      </c>
      <c r="X6" s="60"/>
      <c r="Y6" s="64" t="s">
        <v>17</v>
      </c>
      <c r="Z6" s="64"/>
      <c r="AA6" s="64" t="s">
        <v>1</v>
      </c>
      <c r="AB6" s="65"/>
      <c r="AC6" s="60"/>
      <c r="AD6" s="60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4" t="s">
        <v>11</v>
      </c>
      <c r="C7" s="65"/>
      <c r="D7" s="60">
        <v>1</v>
      </c>
      <c r="E7" s="60"/>
      <c r="F7" s="64"/>
      <c r="G7" s="64"/>
      <c r="H7" s="64" t="s">
        <v>2</v>
      </c>
      <c r="I7" s="65"/>
      <c r="J7" s="60">
        <v>10</v>
      </c>
      <c r="K7" s="60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64" t="s">
        <v>11</v>
      </c>
      <c r="V7" s="65"/>
      <c r="W7" s="60">
        <v>1</v>
      </c>
      <c r="X7" s="60"/>
      <c r="Y7" s="64"/>
      <c r="Z7" s="64"/>
      <c r="AA7" s="64" t="s">
        <v>2</v>
      </c>
      <c r="AB7" s="65"/>
      <c r="AC7" s="60"/>
      <c r="AD7" s="60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71" t="s">
        <v>25</v>
      </c>
      <c r="AS7" s="71"/>
      <c r="AT7" s="71"/>
      <c r="AU7" s="71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4" t="s">
        <v>0</v>
      </c>
      <c r="C8" s="65"/>
      <c r="D8" s="60">
        <v>0</v>
      </c>
      <c r="E8" s="60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4" t="s">
        <v>0</v>
      </c>
      <c r="V8" s="65"/>
      <c r="W8" s="60">
        <v>3</v>
      </c>
      <c r="X8" s="60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3" t="s">
        <v>26</v>
      </c>
      <c r="AS8" s="74"/>
      <c r="AT8" s="75">
        <v>1</v>
      </c>
      <c r="AU8" s="75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76" t="s">
        <v>27</v>
      </c>
      <c r="AS9" s="76"/>
      <c r="AT9" s="77">
        <v>0</v>
      </c>
      <c r="AU9" s="77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58" t="s">
        <v>9</v>
      </c>
      <c r="C10" s="58"/>
      <c r="D10" s="60">
        <v>10000000000</v>
      </c>
      <c r="E10" s="60"/>
      <c r="F10" s="38" t="str">
        <f>IF(AP16=1,"x Rcv FX","원")</f>
        <v>원</v>
      </c>
      <c r="G10" s="3"/>
      <c r="H10" s="3"/>
      <c r="I10" s="3"/>
      <c r="J10" s="58" t="s">
        <v>69</v>
      </c>
      <c r="K10" s="58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58" t="s">
        <v>9</v>
      </c>
      <c r="V10" s="58"/>
      <c r="W10" s="60">
        <v>10000000000</v>
      </c>
      <c r="X10" s="60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76" t="s">
        <v>28</v>
      </c>
      <c r="AS10" s="76"/>
      <c r="AT10" s="78">
        <v>2096191815.3276966</v>
      </c>
      <c r="AU10" s="78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58" t="s">
        <v>20</v>
      </c>
      <c r="C11" s="58"/>
      <c r="D11" s="59">
        <f>K59</f>
        <v>46825</v>
      </c>
      <c r="E11" s="60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7" t="s">
        <v>57</v>
      </c>
      <c r="Q11" s="57"/>
      <c r="R11" s="3"/>
      <c r="S11" s="3"/>
      <c r="U11" s="58" t="s">
        <v>20</v>
      </c>
      <c r="V11" s="58"/>
      <c r="W11" s="59">
        <f>AD59</f>
        <v>46822</v>
      </c>
      <c r="X11" s="60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7" t="s">
        <v>58</v>
      </c>
      <c r="AJ11" s="57"/>
      <c r="AK11" s="3"/>
      <c r="AL11" s="3"/>
      <c r="AN11" s="3"/>
      <c r="AO11" s="3"/>
      <c r="AP11" s="3"/>
      <c r="AR11" s="76" t="s">
        <v>29</v>
      </c>
      <c r="AS11" s="76"/>
      <c r="AT11" s="78">
        <v>1939113585.8269353</v>
      </c>
      <c r="AU11" s="78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76" t="s">
        <v>74</v>
      </c>
      <c r="AS12" s="76"/>
      <c r="AT12" s="78">
        <f>AT10-AT11</f>
        <v>157078229.50076127</v>
      </c>
      <c r="AU12" s="78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71" t="s">
        <v>45</v>
      </c>
      <c r="AS14" s="71"/>
      <c r="AT14" s="71"/>
      <c r="AU14" s="71"/>
      <c r="AV14" s="71" t="s">
        <v>46</v>
      </c>
      <c r="AW14" s="71"/>
      <c r="AX14" s="71"/>
      <c r="AY14" s="71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57" t="s">
        <v>51</v>
      </c>
      <c r="AO15" s="57"/>
      <c r="AP15" s="57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80" t="s">
        <v>36</v>
      </c>
      <c r="BB15" s="80"/>
      <c r="BC15" s="80"/>
      <c r="BD15" s="80"/>
      <c r="BE15" s="80"/>
      <c r="BF15" s="80"/>
      <c r="BG15" s="80"/>
      <c r="BH15" s="80"/>
      <c r="BJ15" s="80" t="s">
        <v>37</v>
      </c>
      <c r="BK15" s="80"/>
      <c r="BL15" s="80"/>
      <c r="BM15" s="80"/>
      <c r="BN15" s="80"/>
      <c r="BO15" s="80"/>
      <c r="BP15" s="80"/>
      <c r="BQ15" s="80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3" t="s">
        <v>63</v>
      </c>
      <c r="S16" s="63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3" t="s">
        <v>64</v>
      </c>
      <c r="AL16" s="63"/>
      <c r="AM16" s="22"/>
      <c r="AN16" s="72" t="s">
        <v>52</v>
      </c>
      <c r="AO16" s="72"/>
      <c r="AP16" s="28">
        <v>0</v>
      </c>
      <c r="AR16" s="13">
        <v>43262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80"/>
      <c r="BB16" s="80"/>
      <c r="BC16" s="80"/>
      <c r="BD16" s="80"/>
      <c r="BE16" s="80"/>
      <c r="BF16" s="80"/>
      <c r="BG16" s="80"/>
      <c r="BH16" s="80"/>
      <c r="BJ16" s="80"/>
      <c r="BK16" s="80"/>
      <c r="BL16" s="80"/>
      <c r="BM16" s="80"/>
      <c r="BN16" s="80"/>
      <c r="BO16" s="80"/>
      <c r="BP16" s="80"/>
      <c r="BQ16" s="80"/>
    </row>
    <row r="17" spans="1:69" ht="15.6" customHeight="1" x14ac:dyDescent="0.4">
      <c r="A17" s="3">
        <f t="shared" si="2"/>
        <v>17</v>
      </c>
      <c r="B17" s="57" t="s">
        <v>3</v>
      </c>
      <c r="C17" s="57"/>
      <c r="D17" s="57"/>
      <c r="E17" s="57"/>
      <c r="G17" s="57" t="s">
        <v>19</v>
      </c>
      <c r="H17" s="57"/>
      <c r="I17" s="57"/>
      <c r="J17" s="57"/>
      <c r="K17" s="3"/>
      <c r="L17" s="3"/>
      <c r="M17" s="3"/>
      <c r="N17" s="3"/>
      <c r="P17" s="23" t="s">
        <v>56</v>
      </c>
      <c r="Q17" s="26">
        <v>0</v>
      </c>
      <c r="R17" s="63"/>
      <c r="S17" s="63"/>
      <c r="U17" s="57" t="s">
        <v>24</v>
      </c>
      <c r="V17" s="57"/>
      <c r="W17" s="57"/>
      <c r="X17" s="57"/>
      <c r="Z17" s="57" t="s">
        <v>23</v>
      </c>
      <c r="AA17" s="57"/>
      <c r="AB17" s="57"/>
      <c r="AC17" s="57"/>
      <c r="AD17" s="3"/>
      <c r="AE17" s="3"/>
      <c r="AF17" s="3"/>
      <c r="AG17" s="3"/>
      <c r="AI17" s="23" t="s">
        <v>47</v>
      </c>
      <c r="AJ17" s="26">
        <v>0</v>
      </c>
      <c r="AK17" s="63"/>
      <c r="AL17" s="63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43354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3" t="s">
        <v>4</v>
      </c>
      <c r="C18" s="63"/>
      <c r="D18" s="63" t="s">
        <v>5</v>
      </c>
      <c r="E18" s="63"/>
      <c r="G18" s="61" t="s">
        <v>13</v>
      </c>
      <c r="H18" s="61" t="s">
        <v>14</v>
      </c>
      <c r="I18" s="61" t="s">
        <v>6</v>
      </c>
      <c r="J18" s="61" t="s">
        <v>7</v>
      </c>
      <c r="K18" s="61" t="s">
        <v>8</v>
      </c>
      <c r="L18" s="61" t="s">
        <v>15</v>
      </c>
      <c r="M18" s="61" t="s">
        <v>22</v>
      </c>
      <c r="N18" s="61" t="s">
        <v>16</v>
      </c>
      <c r="P18" s="63" t="s">
        <v>60</v>
      </c>
      <c r="Q18" s="70"/>
      <c r="R18" s="69" t="s">
        <v>61</v>
      </c>
      <c r="S18" s="69" t="s">
        <v>62</v>
      </c>
      <c r="U18" s="63" t="s">
        <v>4</v>
      </c>
      <c r="V18" s="63"/>
      <c r="W18" s="63" t="s">
        <v>5</v>
      </c>
      <c r="X18" s="63"/>
      <c r="Z18" s="61" t="s">
        <v>13</v>
      </c>
      <c r="AA18" s="61" t="s">
        <v>14</v>
      </c>
      <c r="AB18" s="61" t="s">
        <v>6</v>
      </c>
      <c r="AC18" s="61" t="s">
        <v>7</v>
      </c>
      <c r="AD18" s="61" t="s">
        <v>8</v>
      </c>
      <c r="AE18" s="61" t="s">
        <v>15</v>
      </c>
      <c r="AF18" s="61" t="s">
        <v>22</v>
      </c>
      <c r="AG18" s="61" t="s">
        <v>16</v>
      </c>
      <c r="AI18" s="63" t="s">
        <v>60</v>
      </c>
      <c r="AJ18" s="39"/>
      <c r="AK18" s="69" t="s">
        <v>61</v>
      </c>
      <c r="AL18" s="69" t="s">
        <v>62</v>
      </c>
      <c r="AM18" s="22"/>
      <c r="AN18" s="72" t="s">
        <v>53</v>
      </c>
      <c r="AO18" s="72"/>
      <c r="AP18" s="72"/>
      <c r="AR18" s="13">
        <v>43445</v>
      </c>
      <c r="AS18" s="15">
        <v>0</v>
      </c>
      <c r="AT18" s="17">
        <v>0</v>
      </c>
      <c r="AU18" s="16">
        <v>0</v>
      </c>
      <c r="AV18" s="13">
        <v>43445</v>
      </c>
      <c r="AW18" s="15">
        <v>0</v>
      </c>
      <c r="AX18" s="17">
        <v>0</v>
      </c>
      <c r="AY18" s="16">
        <v>0</v>
      </c>
      <c r="BA18" s="67" t="s">
        <v>33</v>
      </c>
      <c r="BB18" s="67"/>
      <c r="BD18" s="67" t="s">
        <v>34</v>
      </c>
      <c r="BE18" s="67"/>
      <c r="BG18" s="67" t="s">
        <v>35</v>
      </c>
      <c r="BH18" s="67"/>
      <c r="BJ18" s="67" t="s">
        <v>33</v>
      </c>
      <c r="BK18" s="67"/>
      <c r="BM18" s="67" t="s">
        <v>34</v>
      </c>
      <c r="BN18" s="67"/>
      <c r="BP18" s="67" t="s">
        <v>35</v>
      </c>
      <c r="BQ18" s="67"/>
    </row>
    <row r="19" spans="1:69" ht="16.2" customHeight="1" thickBot="1" x14ac:dyDescent="0.45">
      <c r="A19" s="3">
        <f t="shared" si="2"/>
        <v>19</v>
      </c>
      <c r="B19" s="63"/>
      <c r="C19" s="63"/>
      <c r="D19" s="63"/>
      <c r="E19" s="63"/>
      <c r="G19" s="61"/>
      <c r="H19" s="61"/>
      <c r="I19" s="61"/>
      <c r="J19" s="61"/>
      <c r="K19" s="61"/>
      <c r="L19" s="61"/>
      <c r="M19" s="61"/>
      <c r="N19" s="61"/>
      <c r="O19" s="27"/>
      <c r="P19" s="63"/>
      <c r="Q19" s="70"/>
      <c r="R19" s="69"/>
      <c r="S19" s="69"/>
      <c r="U19" s="63"/>
      <c r="V19" s="63"/>
      <c r="W19" s="63"/>
      <c r="X19" s="63"/>
      <c r="Z19" s="61"/>
      <c r="AA19" s="61"/>
      <c r="AB19" s="61"/>
      <c r="AC19" s="61"/>
      <c r="AD19" s="61"/>
      <c r="AE19" s="61"/>
      <c r="AF19" s="61"/>
      <c r="AG19" s="61"/>
      <c r="AI19" s="63"/>
      <c r="AJ19" s="39"/>
      <c r="AK19" s="69"/>
      <c r="AL19" s="69"/>
      <c r="AM19" s="22"/>
      <c r="AN19" s="37" t="s">
        <v>48</v>
      </c>
      <c r="AO19" s="37" t="s">
        <v>49</v>
      </c>
      <c r="AP19" s="37" t="s">
        <v>50</v>
      </c>
      <c r="AR19" s="13">
        <v>43535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68"/>
      <c r="BB19" s="68"/>
      <c r="BD19" s="68"/>
      <c r="BE19" s="68"/>
      <c r="BG19" s="68"/>
      <c r="BH19" s="68"/>
      <c r="BJ19" s="68"/>
      <c r="BK19" s="68"/>
      <c r="BM19" s="68"/>
      <c r="BN19" s="68"/>
      <c r="BP19" s="68"/>
      <c r="BQ19" s="68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3.1519999999999992E-2</v>
      </c>
      <c r="D20" s="1">
        <v>2.7397260273972603E-3</v>
      </c>
      <c r="E20" s="2">
        <v>3.1519999999999992E-2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U20" s="1">
        <v>0.25</v>
      </c>
      <c r="V20" s="2">
        <v>4.2140000000000004E-2</v>
      </c>
      <c r="W20" s="1">
        <v>0.25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43627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3.261E-2</v>
      </c>
      <c r="D21" s="1">
        <v>0.25</v>
      </c>
      <c r="E21" s="2">
        <v>3.261E-2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U21" s="1">
        <v>0.5</v>
      </c>
      <c r="V21" s="2">
        <v>4.5100000000000001E-2</v>
      </c>
      <c r="W21" s="1">
        <v>0.5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43719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3.3500000000000002E-2</v>
      </c>
      <c r="D22" s="1">
        <v>0.5</v>
      </c>
      <c r="E22" s="2">
        <v>3.3500000000000002E-2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U22" s="1">
        <v>1</v>
      </c>
      <c r="V22" s="2">
        <v>4.8210000000000003E-2</v>
      </c>
      <c r="W22" s="1">
        <v>1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43810</v>
      </c>
      <c r="AW22" s="15">
        <v>0</v>
      </c>
      <c r="AX22" s="17">
        <v>0</v>
      </c>
      <c r="AY22" s="16">
        <v>0</v>
      </c>
      <c r="BA22" s="79" t="s">
        <v>38</v>
      </c>
      <c r="BB22" s="79"/>
      <c r="BD22" s="79" t="s">
        <v>38</v>
      </c>
      <c r="BE22" s="79"/>
      <c r="BG22" s="79" t="s">
        <v>38</v>
      </c>
      <c r="BH22" s="79"/>
      <c r="BJ22" s="79" t="s">
        <v>38</v>
      </c>
      <c r="BK22" s="79"/>
      <c r="BM22" s="79" t="s">
        <v>38</v>
      </c>
      <c r="BN22" s="79"/>
      <c r="BP22" s="79" t="s">
        <v>38</v>
      </c>
      <c r="BQ22" s="79"/>
    </row>
    <row r="23" spans="1:69" x14ac:dyDescent="0.35">
      <c r="A23" s="3">
        <f t="shared" si="2"/>
        <v>23</v>
      </c>
      <c r="B23" s="1">
        <v>1</v>
      </c>
      <c r="C23" s="2">
        <v>3.4509999999999999E-2</v>
      </c>
      <c r="D23" s="1">
        <v>1</v>
      </c>
      <c r="E23" s="2">
        <v>3.4509999999999999E-2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U23" s="1">
        <v>2</v>
      </c>
      <c r="V23" s="2">
        <v>4.7410000000000001E-2</v>
      </c>
      <c r="W23" s="1">
        <v>2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43901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1">
        <v>1.5</v>
      </c>
      <c r="C24" s="2">
        <v>3.9999999999999994E-2</v>
      </c>
      <c r="D24" s="1">
        <v>1.5</v>
      </c>
      <c r="E24" s="2">
        <v>3.9999999999999994E-2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U24" s="1">
        <v>3</v>
      </c>
      <c r="V24" s="2">
        <v>4.727E-2</v>
      </c>
      <c r="W24" s="1">
        <v>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43993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0.25</v>
      </c>
      <c r="BK24" s="21">
        <v>0</v>
      </c>
      <c r="BM24" s="7">
        <v>0.25</v>
      </c>
      <c r="BN24" s="21">
        <v>0</v>
      </c>
      <c r="BP24" s="7">
        <v>0.25</v>
      </c>
      <c r="BQ24" s="21">
        <v>0</v>
      </c>
    </row>
    <row r="25" spans="1:69" x14ac:dyDescent="0.35">
      <c r="A25" s="3">
        <f t="shared" si="2"/>
        <v>25</v>
      </c>
      <c r="B25" s="1">
        <v>2</v>
      </c>
      <c r="C25" s="2">
        <v>4.222999999999999E-2</v>
      </c>
      <c r="D25" s="1">
        <v>2</v>
      </c>
      <c r="E25" s="2">
        <v>4.222999999999999E-2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U25" s="1">
        <v>5</v>
      </c>
      <c r="V25" s="2">
        <v>4.5089999999999998E-2</v>
      </c>
      <c r="W25" s="1">
        <v>5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44085</v>
      </c>
      <c r="AW25" s="15">
        <v>0</v>
      </c>
      <c r="AX25" s="18">
        <v>0</v>
      </c>
      <c r="AY25" s="16">
        <v>0</v>
      </c>
      <c r="BA25" s="7">
        <v>0.25</v>
      </c>
      <c r="BB25" s="20">
        <v>0</v>
      </c>
      <c r="BD25" s="7">
        <v>0.25</v>
      </c>
      <c r="BE25" s="21">
        <v>0</v>
      </c>
      <c r="BG25" s="7">
        <v>0.25</v>
      </c>
      <c r="BH25" s="19">
        <v>0</v>
      </c>
      <c r="BJ25" s="7">
        <v>0.5</v>
      </c>
      <c r="BK25" s="21">
        <v>0</v>
      </c>
      <c r="BM25" s="7">
        <v>0.5</v>
      </c>
      <c r="BN25" s="21">
        <v>0</v>
      </c>
      <c r="BP25" s="7">
        <v>0.5</v>
      </c>
      <c r="BQ25" s="21">
        <v>0</v>
      </c>
    </row>
    <row r="26" spans="1:69" x14ac:dyDescent="0.35">
      <c r="A26" s="3">
        <f t="shared" si="2"/>
        <v>26</v>
      </c>
      <c r="B26" s="1">
        <v>3</v>
      </c>
      <c r="C26" s="2">
        <v>4.2499999999999996E-2</v>
      </c>
      <c r="D26" s="1">
        <v>3</v>
      </c>
      <c r="E26" s="2">
        <v>4.2499999999999996E-2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U26" s="1">
        <v>7</v>
      </c>
      <c r="V26" s="2">
        <v>4.4120000000000006E-2</v>
      </c>
      <c r="W26" s="1">
        <v>7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44176</v>
      </c>
      <c r="AW26" s="15">
        <v>0</v>
      </c>
      <c r="AX26" s="18">
        <v>0</v>
      </c>
      <c r="AY26" s="16">
        <v>0</v>
      </c>
      <c r="BA26" s="7">
        <v>0.5</v>
      </c>
      <c r="BB26" s="20">
        <v>0</v>
      </c>
      <c r="BD26" s="7">
        <v>0.5</v>
      </c>
      <c r="BE26" s="21">
        <v>0</v>
      </c>
      <c r="BG26" s="7">
        <v>0.5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1">
        <v>4</v>
      </c>
      <c r="C27" s="2">
        <v>4.3450000000000003E-2</v>
      </c>
      <c r="D27" s="1">
        <v>4</v>
      </c>
      <c r="E27" s="2">
        <v>4.3450000000000003E-2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U27" s="1">
        <v>10</v>
      </c>
      <c r="V27" s="2">
        <v>4.2840000000000003E-2</v>
      </c>
      <c r="W27" s="1">
        <v>10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44266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1">
        <v>5</v>
      </c>
      <c r="C28" s="2">
        <v>4.2889999999999998E-2</v>
      </c>
      <c r="D28" s="1">
        <v>5</v>
      </c>
      <c r="E28" s="2">
        <v>4.2889999999999998E-2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U28" s="1">
        <v>20</v>
      </c>
      <c r="V28" s="54">
        <v>4.5839999999999999E-2</v>
      </c>
      <c r="W28" s="1">
        <v>20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44358</v>
      </c>
      <c r="AW28" s="15">
        <v>0</v>
      </c>
      <c r="AX28" s="18">
        <v>0</v>
      </c>
      <c r="AY28" s="16">
        <v>0</v>
      </c>
      <c r="BA28" s="7">
        <v>1.5</v>
      </c>
      <c r="BB28" s="20">
        <v>0</v>
      </c>
      <c r="BD28" s="7">
        <v>1.5</v>
      </c>
      <c r="BE28" s="21">
        <v>0</v>
      </c>
      <c r="BG28" s="7">
        <v>1.5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1">
        <v>10</v>
      </c>
      <c r="C29" s="2">
        <v>4.274E-2</v>
      </c>
      <c r="D29" s="1">
        <v>10</v>
      </c>
      <c r="E29" s="2">
        <v>4.274E-2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U29" s="1">
        <v>30</v>
      </c>
      <c r="V29" s="54">
        <v>4.684E-2</v>
      </c>
      <c r="W29" s="1">
        <v>30</v>
      </c>
      <c r="X29" s="54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44450</v>
      </c>
      <c r="AS29" s="15">
        <v>0</v>
      </c>
      <c r="AT29" s="18">
        <v>0</v>
      </c>
      <c r="AU29" s="16">
        <v>0</v>
      </c>
      <c r="AV29" s="13">
        <v>44450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1">
        <v>20</v>
      </c>
      <c r="C30" s="2">
        <v>4.1399999999999992E-2</v>
      </c>
      <c r="D30" s="1">
        <v>20</v>
      </c>
      <c r="E30" s="2">
        <v>4.1399999999999992E-2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1"/>
      <c r="V30" s="54"/>
      <c r="W30" s="1"/>
      <c r="X30" s="54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44541</v>
      </c>
      <c r="AS30" s="15">
        <v>0</v>
      </c>
      <c r="AT30" s="18">
        <v>0</v>
      </c>
      <c r="AU30" s="16">
        <v>0</v>
      </c>
      <c r="AV30" s="13">
        <v>44541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1">
        <v>30</v>
      </c>
      <c r="C31" s="54">
        <v>4.0489999999999998E-2</v>
      </c>
      <c r="D31" s="1">
        <v>30</v>
      </c>
      <c r="E31" s="54">
        <v>4.0489999999999998E-2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1"/>
      <c r="V31" s="54"/>
      <c r="W31" s="1"/>
      <c r="X31" s="54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44631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1"/>
      <c r="C32" s="54"/>
      <c r="D32" s="1"/>
      <c r="E32" s="54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1"/>
      <c r="V32" s="54"/>
      <c r="W32" s="1"/>
      <c r="X32" s="54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44723</v>
      </c>
      <c r="AS32" s="15">
        <v>0</v>
      </c>
      <c r="AT32" s="18">
        <v>0</v>
      </c>
      <c r="AU32" s="16">
        <v>0</v>
      </c>
      <c r="AV32" s="13">
        <v>44723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1"/>
      <c r="C33" s="54"/>
      <c r="D33" s="1"/>
      <c r="E33" s="54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1"/>
      <c r="V33" s="54"/>
      <c r="W33" s="1"/>
      <c r="X33" s="54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44815</v>
      </c>
      <c r="AS33" s="15">
        <v>0</v>
      </c>
      <c r="AT33" s="18">
        <v>0</v>
      </c>
      <c r="AU33" s="16">
        <v>0</v>
      </c>
      <c r="AV33" s="13">
        <v>44815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44906</v>
      </c>
      <c r="AS34" s="15">
        <v>3.2056379210333261E-2</v>
      </c>
      <c r="AT34" s="18">
        <v>79043126.819999814</v>
      </c>
      <c r="AU34" s="16">
        <v>0.99489502443614453</v>
      </c>
      <c r="AV34" s="13">
        <v>44906</v>
      </c>
      <c r="AW34" s="15">
        <v>4.2362141574658618E-2</v>
      </c>
      <c r="AX34" s="18">
        <v>100000000</v>
      </c>
      <c r="AY34" s="16">
        <v>0.99332615053886586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44996</v>
      </c>
      <c r="AS35" s="15">
        <v>3.3917383976471524E-2</v>
      </c>
      <c r="AT35" s="18">
        <v>81773418.90217793</v>
      </c>
      <c r="AU35" s="16">
        <v>0.9866428880365794</v>
      </c>
      <c r="AV35" s="13">
        <v>44996</v>
      </c>
      <c r="AW35" s="15">
        <v>4.5345413633733268E-2</v>
      </c>
      <c r="AX35" s="18">
        <v>100000000</v>
      </c>
      <c r="AY35" s="16">
        <v>0.98232473119818331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45088</v>
      </c>
      <c r="AS36" s="15">
        <v>3.5028572941710599E-2</v>
      </c>
      <c r="AT36" s="18">
        <v>90210571.411528662</v>
      </c>
      <c r="AU36" s="16">
        <v>0.97800877434194999</v>
      </c>
      <c r="AV36" s="13">
        <v>45088</v>
      </c>
      <c r="AW36" s="15">
        <v>4.975058874579133E-2</v>
      </c>
      <c r="AX36" s="18">
        <v>100000000</v>
      </c>
      <c r="AY36" s="16">
        <v>0.97015532832664342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45180</v>
      </c>
      <c r="AS37" s="15">
        <v>3.5820123098302049E-2</v>
      </c>
      <c r="AT37" s="18">
        <v>89304964.436862648</v>
      </c>
      <c r="AU37" s="16">
        <v>0.96925862926540185</v>
      </c>
      <c r="AV37" s="13">
        <v>45180</v>
      </c>
      <c r="AW37" s="15">
        <v>5.2041794950073612E-2</v>
      </c>
      <c r="AX37" s="18">
        <v>100000000</v>
      </c>
      <c r="AY37" s="16">
        <v>0.95758597133118672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/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45271</v>
      </c>
      <c r="AS38" s="15">
        <v>4.3521007033992844E-2</v>
      </c>
      <c r="AT38" s="18">
        <v>108504428.49570818</v>
      </c>
      <c r="AU38" s="16">
        <v>0.95885463188112963</v>
      </c>
      <c r="AV38" s="13">
        <v>45271</v>
      </c>
      <c r="AW38" s="15">
        <v>5.0047791842283668E-2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45362</v>
      </c>
      <c r="AS39" s="15">
        <v>5.2051866541942916E-2</v>
      </c>
      <c r="AT39" s="18">
        <v>129773146.72100838</v>
      </c>
      <c r="AU39" s="16">
        <v>0.94657068622658125</v>
      </c>
      <c r="AV39" s="13">
        <v>45362</v>
      </c>
      <c r="AW39" s="15">
        <v>4.7236668953448871E-2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5.0680812400216282E-2</v>
      </c>
      <c r="AT40" s="18">
        <v>126354902.14848444</v>
      </c>
      <c r="AU40" s="16">
        <v>0.93463634691431408</v>
      </c>
      <c r="AV40" s="13">
        <v>45454</v>
      </c>
      <c r="AW40" s="15">
        <v>4.6833862512738245E-2</v>
      </c>
      <c r="AX40" s="18">
        <v>100000000</v>
      </c>
      <c r="AY40" s="16">
        <v>0.92388763704371291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4.9525943547117826E-2</v>
      </c>
      <c r="AT41" s="18">
        <v>124832515.24205041</v>
      </c>
      <c r="AU41" s="16">
        <v>0.92310721026500564</v>
      </c>
      <c r="AV41" s="13">
        <v>45546</v>
      </c>
      <c r="AW41" s="15">
        <v>4.6425834890173344E-2</v>
      </c>
      <c r="AX41" s="18">
        <v>100000000</v>
      </c>
      <c r="AY41" s="16">
        <v>0.91320249532299191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4.5951242517787302E-2</v>
      </c>
      <c r="AT42" s="18">
        <v>114563371.7566752</v>
      </c>
      <c r="AU42" s="16">
        <v>0.91267031751910499</v>
      </c>
      <c r="AV42" s="13">
        <v>45637</v>
      </c>
      <c r="AW42" s="15">
        <v>4.6935862391273779E-2</v>
      </c>
      <c r="AX42" s="18">
        <v>100000000</v>
      </c>
      <c r="AY42" s="16">
        <v>0.90263716589671916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4.3150323694358721E-2</v>
      </c>
      <c r="AT43" s="18">
        <v>106398058.42444617</v>
      </c>
      <c r="AU43" s="16">
        <v>0.90306158465581365</v>
      </c>
      <c r="AV43" s="13">
        <v>45727</v>
      </c>
      <c r="AW43" s="15">
        <v>4.7324978528699817E-2</v>
      </c>
      <c r="AX43" s="18">
        <v>100000000</v>
      </c>
      <c r="AY43" s="16">
        <v>0.89222579961238568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4.3291504220036976E-2</v>
      </c>
      <c r="AT44" s="18">
        <v>109118312.00666855</v>
      </c>
      <c r="AU44" s="16">
        <v>0.89331356111338067</v>
      </c>
      <c r="AV44" s="13">
        <v>45819</v>
      </c>
      <c r="AW44" s="15">
        <v>4.7260450950812591E-2</v>
      </c>
      <c r="AX44" s="18">
        <v>100000000</v>
      </c>
      <c r="AY44" s="16">
        <v>0.88172269454562024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4.3429101374207538E-2</v>
      </c>
      <c r="AT45" s="18">
        <v>109465132.23087928</v>
      </c>
      <c r="AU45" s="16">
        <v>0.88364044616574222</v>
      </c>
      <c r="AV45" s="13">
        <v>45911</v>
      </c>
      <c r="AW45" s="15">
        <v>4.7189035534312147E-2</v>
      </c>
      <c r="AX45" s="18">
        <v>100000000</v>
      </c>
      <c r="AY45" s="16">
        <v>0.87135873028242983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4.4947560760073377E-2</v>
      </c>
      <c r="AT46" s="18">
        <v>112061041.89497745</v>
      </c>
      <c r="AU46" s="16">
        <v>0.87384228615065296</v>
      </c>
      <c r="AV46" s="13">
        <v>46002</v>
      </c>
      <c r="AW46" s="15">
        <v>4.5180275141353428E-2</v>
      </c>
      <c r="AX46" s="18">
        <v>100000000</v>
      </c>
      <c r="AY46" s="16">
        <v>0.86166057664864548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4.6146733316418165E-2</v>
      </c>
      <c r="AT47" s="18">
        <v>113786465.71171603</v>
      </c>
      <c r="AU47" s="16">
        <v>0.86400990123715893</v>
      </c>
      <c r="AV47" s="13">
        <v>46092</v>
      </c>
      <c r="AW47" s="15">
        <v>4.3617708951352994E-2</v>
      </c>
      <c r="AX47" s="18">
        <v>100000000</v>
      </c>
      <c r="AY47" s="16">
        <v>0.85249323692861401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4.6631783866137658E-2</v>
      </c>
      <c r="AT48" s="18">
        <v>117537647.0050593</v>
      </c>
      <c r="AU48" s="16">
        <v>0.85397138883451529</v>
      </c>
      <c r="AV48" s="13">
        <v>46184</v>
      </c>
      <c r="AW48" s="15">
        <v>4.3073457850272646E-2</v>
      </c>
      <c r="AX48" s="18">
        <v>100000000</v>
      </c>
      <c r="AY48" s="16">
        <v>0.84333850248305076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4.7116346147133233E-2</v>
      </c>
      <c r="AT49" s="18">
        <v>118759009.46674678</v>
      </c>
      <c r="AU49" s="16">
        <v>0.84394762991137162</v>
      </c>
      <c r="AV49" s="13">
        <v>46276</v>
      </c>
      <c r="AW49" s="15">
        <v>4.2518051232877031E-2</v>
      </c>
      <c r="AX49" s="18">
        <v>100000000</v>
      </c>
      <c r="AY49" s="16">
        <v>0.83439763386324162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4.3547163843643773E-2</v>
      </c>
      <c r="AT50" s="18">
        <v>108569641.36360502</v>
      </c>
      <c r="AU50" s="16">
        <v>0.83489717086682858</v>
      </c>
      <c r="AV50" s="13">
        <v>46367</v>
      </c>
      <c r="AW50" s="15">
        <v>4.1963335477280587E-2</v>
      </c>
      <c r="AX50" s="18">
        <v>100000000</v>
      </c>
      <c r="AY50" s="16">
        <v>0.82575970247170394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49">
        <v>46457</v>
      </c>
      <c r="AS51" s="15">
        <v>4.1100815734556921E-2</v>
      </c>
      <c r="AT51" s="29">
        <v>101344477.15370199</v>
      </c>
      <c r="AU51" s="30">
        <v>0.82652146400004256</v>
      </c>
      <c r="AV51" s="49">
        <v>46457</v>
      </c>
      <c r="AW51" s="15">
        <v>4.1414855046783459E-2</v>
      </c>
      <c r="AX51" s="29">
        <v>100000000</v>
      </c>
      <c r="AY51" s="30">
        <v>0.81741358741201031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49">
        <v>46549</v>
      </c>
      <c r="AS52" s="15">
        <v>4.0823312649507539E-2</v>
      </c>
      <c r="AT52" s="29">
        <v>102897116.81519708</v>
      </c>
      <c r="AU52" s="30">
        <v>0.81810404847121865</v>
      </c>
      <c r="AV52" s="49">
        <v>46549</v>
      </c>
      <c r="AW52" s="15">
        <v>4.0870395194516469E-2</v>
      </c>
      <c r="AX52" s="29">
        <v>100000000</v>
      </c>
      <c r="AY52" s="30">
        <v>0.80908001621120684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49">
        <v>46641</v>
      </c>
      <c r="AS53" s="15">
        <v>4.0538116626681497E-2</v>
      </c>
      <c r="AT53" s="29">
        <v>102178266.56588213</v>
      </c>
      <c r="AU53" s="30">
        <v>0.80982997887096475</v>
      </c>
      <c r="AV53" s="49">
        <v>46641</v>
      </c>
      <c r="AW53" s="15">
        <v>4.0315293677813807E-2</v>
      </c>
      <c r="AX53" s="29">
        <v>100000000</v>
      </c>
      <c r="AY53" s="30">
        <v>0.80094232814758637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49">
        <v>46732</v>
      </c>
      <c r="AS54" s="15">
        <v>4.2012838839216221E-2</v>
      </c>
      <c r="AT54" s="29">
        <v>104744337.92790894</v>
      </c>
      <c r="AU54" s="30">
        <v>0.80142981833086158</v>
      </c>
      <c r="AV54" s="49">
        <v>46732</v>
      </c>
      <c r="AW54" s="15">
        <v>4.1770640997631246E-2</v>
      </c>
      <c r="AX54" s="29">
        <v>100000000</v>
      </c>
      <c r="AY54" s="30">
        <v>0.79268143306400574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49">
        <v>46823</v>
      </c>
      <c r="AS55" s="15">
        <v>4.2951327914917278E-2</v>
      </c>
      <c r="AT55" s="29">
        <v>107084132.60979377</v>
      </c>
      <c r="AU55" s="30">
        <v>0.79293873550566663</v>
      </c>
      <c r="AV55" s="49">
        <v>46823</v>
      </c>
      <c r="AW55" s="15">
        <v>4.2614734451576014E-2</v>
      </c>
      <c r="AX55" s="29">
        <v>100000000</v>
      </c>
      <c r="AY55" s="30">
        <v>0.78434864961570816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45782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2024-01-01T04:57:19Z</dcterms:modified>
</cp:coreProperties>
</file>