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E90BE845-7D03-49C2-AD22-B885546F714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rveMak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3" i="1" l="1"/>
  <c r="AN3" i="1"/>
  <c r="L7" i="1" s="1"/>
  <c r="AM3" i="1"/>
  <c r="AL3" i="1"/>
  <c r="D5" i="1" s="1"/>
  <c r="AK3" i="1"/>
  <c r="AJ3" i="1"/>
  <c r="J7" i="1" l="1"/>
  <c r="D6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D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<sst xmlns="http://schemas.openxmlformats.org/spreadsheetml/2006/main" count="62" uniqueCount="33">
  <si>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</si>
  <si>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</si>
  <si>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</si>
  <si>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</si>
  <si>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</si>
  <si>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</si>
  <si>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</si>
  <si>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</si>
  <si>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</si>
  <si>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</si>
  <si>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</si>
  <si>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</si>
  <si>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</si>
  <si>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</si>
  <si>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</si>
  <si>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</si>
  <si>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</si>
  <si>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</si>
  <si>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</si>
  <si>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</si>
  <si>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</si>
  <si>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</si>
  <si>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</si>
  <si>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</si>
  <si>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</si>
  <si>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</si>
  <si>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</si>
  <si>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</si>
  <si>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</si>
  <si>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</si>
  <si>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</si>
  <si>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</si>
  <si>
    <t>Debug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</si>
</sst>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1" fillId="3" borderId="0" xfId="0" applyFont="1" applyFill="1">
      <alignment vertical="center"/>
    </xf>
    <xf numFmtId="0" fontId="12" fillId="3" borderId="0" xfId="0" applyFont="1" applyFill="1">
      <alignment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569"/>
  <sheetViews>
    <sheetView tabSelected="1" topLeftCell="K1" zoomScale="85" zoomScaleNormal="85" workbookViewId="0">
      <selection activeCell="O23" sqref="O23"/>
    </sheetView>
  </sheetViews>
  <sheetFormatPr defaultColWidth="15.59765625" defaultRowHeight="17.399999999999999" x14ac:dyDescent="0.4"/>
  <cols>
    <col min="1" max="1" width="4.796875" style="1" customWidth="1"/>
    <col min="2" max="2" width="22.59765625" style="8" customWidth="1"/>
    <col min="3" max="4" width="22.59765625" style="9" customWidth="1"/>
    <col min="5" max="5" width="22.59765625" style="10" customWidth="1"/>
    <col min="6" max="6" width="12.3984375" style="8" bestFit="1" customWidth="1"/>
    <col min="7" max="7" width="5" style="1" customWidth="1"/>
    <col min="8" max="8" width="15.59765625" style="9"/>
    <col min="9" max="9" width="5.19921875" style="1" customWidth="1"/>
    <col min="10" max="10" width="15.59765625" style="9"/>
    <col min="11" max="11" width="15.59765625" style="11"/>
    <col min="12" max="12" width="15.59765625" style="9"/>
    <col min="13" max="13" width="15.59765625" style="11"/>
    <col min="14" max="14" width="15.59765625" style="1"/>
    <col min="15" max="15" width="15.59765625" style="6"/>
    <col min="16" max="16" width="15.59765625" style="7"/>
    <col min="17" max="17" width="15.59765625" style="1"/>
    <col min="18" max="18" width="15.59765625" style="14"/>
    <col min="19" max="23" width="14.19921875" style="13" customWidth="1"/>
    <col min="24" max="24" width="17.796875" style="13" customWidth="1"/>
    <col min="25" max="29" width="14.19921875" style="13" customWidth="1"/>
    <col min="30" max="30" width="17.796875" style="13" customWidth="1"/>
    <col min="31" max="32" width="15.59765625" style="1"/>
    <col min="33" max="33" width="15.59765625" style="17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8" t="s">
        <v>25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G2" s="1"/>
      <c r="AI2" s="15" t="s">
        <v>27</v>
      </c>
      <c r="AJ2" s="16">
        <v>0</v>
      </c>
      <c r="AK2" s="16">
        <v>1</v>
      </c>
      <c r="AL2" s="16">
        <v>2</v>
      </c>
      <c r="AM2" s="16">
        <v>3</v>
      </c>
      <c r="AN2" s="16">
        <v>4</v>
      </c>
      <c r="AO2" s="16">
        <v>5</v>
      </c>
    </row>
    <row r="3" spans="1:41" ht="18.600000000000001" thickTop="1" thickBot="1" x14ac:dyDescent="0.45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G3" s="1"/>
      <c r="AI3" s="16"/>
      <c r="AJ3" s="16" t="str">
        <f>AJ2&amp;":"&amp;" Deposit"</f>
        <v>0: Deposit</v>
      </c>
      <c r="AK3" s="16" t="str">
        <f>AK2&amp;":"&amp;" Swap"</f>
        <v>1: Swap</v>
      </c>
      <c r="AL3" s="16" t="str">
        <f>AL2&amp;":"&amp;" SwapPoint(FX선도)"</f>
        <v>2: SwapPoint(FX선도)</v>
      </c>
      <c r="AM3" s="16" t="str">
        <f>AM2&amp;":"&amp;" CRS"</f>
        <v>3: CRS</v>
      </c>
      <c r="AN3" s="16" t="str">
        <f>AN2&amp;":"&amp;" Basis CRS"</f>
        <v>4: Basis CRS</v>
      </c>
      <c r="AO3" s="16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1</v>
      </c>
      <c r="F4" s="1"/>
      <c r="H4" s="1"/>
      <c r="J4" s="1"/>
      <c r="K4" s="1"/>
      <c r="L4" s="1"/>
      <c r="M4" s="1"/>
      <c r="O4" s="1"/>
      <c r="P4" s="1"/>
      <c r="R4" s="18" t="s">
        <v>32</v>
      </c>
      <c r="S4" s="19">
        <v>0</v>
      </c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3" t="s">
        <v>31</v>
      </c>
      <c r="S5" s="20" t="s">
        <v>24</v>
      </c>
      <c r="T5" s="21"/>
      <c r="U5" s="21"/>
      <c r="V5" s="21"/>
      <c r="W5" s="21"/>
      <c r="X5" s="22"/>
      <c r="Y5" s="20" t="s">
        <v>26</v>
      </c>
      <c r="Z5" s="21"/>
      <c r="AA5" s="21"/>
      <c r="AB5" s="21"/>
      <c r="AC5" s="21"/>
      <c r="AD5" s="22"/>
      <c r="AG5" s="1"/>
    </row>
    <row r="6" spans="1:41" ht="18" thickBot="1" x14ac:dyDescent="0.45">
      <c r="B6" s="3" t="s">
        <v>12</v>
      </c>
      <c r="C6" s="2">
        <v>1</v>
      </c>
      <c r="D6" s="3" t="str">
        <f>IF(D5="사용안함","사용안함","SwapPointUnit")</f>
        <v>사용안함</v>
      </c>
      <c r="E6" s="12">
        <v>100</v>
      </c>
      <c r="F6" s="1"/>
      <c r="H6" s="1"/>
      <c r="J6" s="1"/>
      <c r="K6" s="1"/>
      <c r="L6" s="1"/>
      <c r="M6" s="1"/>
      <c r="O6" s="1"/>
      <c r="P6" s="1"/>
      <c r="R6" s="8" t="b">
        <v>1</v>
      </c>
      <c r="S6" s="23"/>
      <c r="T6" s="24"/>
      <c r="U6" s="24"/>
      <c r="V6" s="24"/>
      <c r="W6" s="24"/>
      <c r="X6" s="25"/>
      <c r="Y6" s="23"/>
      <c r="Z6" s="24"/>
      <c r="AA6" s="24"/>
      <c r="AB6" s="24"/>
      <c r="AC6" s="24"/>
      <c r="AD6" s="25"/>
      <c r="AG6" s="1"/>
    </row>
    <row r="7" spans="1:41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IF(OR(IFERROR(MATCH($AM$3,B9:B1048576,0)&gt;0,FALSE),IFERROR(MATCH($AL$3,B9:B1048576,0)&gt;0,FALSE), IFERROR(MATCH($AN$3,B9:B1048376,0)&gt;0,FALSE)), "USD ZeroCurve(CRS경우 입력)","사용안함")</f>
        <v>사용안함</v>
      </c>
      <c r="K7" s="29"/>
      <c r="L7" s="29" t="str">
        <f>IF(OR(IFERROR(MATCH($AN$3,B9:B1048576,0)&gt;0,FALSE),IFERROR(MATCH($AO$3,B9:B1048376,0)&gt;0,FALSE)), "Estimation ZeroCurve","사용안함")</f>
        <v>사용안함</v>
      </c>
      <c r="M7" s="29"/>
      <c r="O7" s="26" t="s">
        <v>11</v>
      </c>
      <c r="P7" s="26"/>
      <c r="R7" s="26" t="s">
        <v>13</v>
      </c>
      <c r="S7" s="27" t="s">
        <v>4</v>
      </c>
      <c r="T7" s="27" t="s">
        <v>14</v>
      </c>
      <c r="U7" s="27" t="s">
        <v>5</v>
      </c>
      <c r="V7" s="27" t="s">
        <v>18</v>
      </c>
      <c r="W7" s="27" t="s">
        <v>19</v>
      </c>
      <c r="X7" s="27" t="s">
        <v>20</v>
      </c>
      <c r="Y7" s="26" t="s">
        <v>15</v>
      </c>
      <c r="Z7" s="26" t="s">
        <v>16</v>
      </c>
      <c r="AA7" s="26" t="s">
        <v>17</v>
      </c>
      <c r="AB7" s="26" t="s">
        <v>21</v>
      </c>
      <c r="AC7" s="26" t="s">
        <v>22</v>
      </c>
      <c r="AD7" s="26" t="s">
        <v>23</v>
      </c>
      <c r="AG7" s="26" t="s">
        <v>30</v>
      </c>
    </row>
    <row r="8" spans="1:41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G8" s="26"/>
    </row>
    <row r="9" spans="1:41" x14ac:dyDescent="0.4">
      <c r="B9" s="8" t="s">
        <v>28</v>
      </c>
      <c r="C9" s="9">
        <v>45636</v>
      </c>
      <c r="D9" s="9">
        <v>45637</v>
      </c>
      <c r="E9" s="10">
        <v>4.5999999999999996</v>
      </c>
      <c r="F9" s="8">
        <v>0</v>
      </c>
      <c r="H9" s="9">
        <v>45292</v>
      </c>
      <c r="J9" s="9">
        <v>45637</v>
      </c>
      <c r="K9" s="11">
        <v>4.6635909435882672</v>
      </c>
      <c r="L9" s="9">
        <v>45637</v>
      </c>
      <c r="M9" s="11">
        <v>4.6996969999999996</v>
      </c>
      <c r="O9" s="6">
        <v>2.7397260273972603E-3</v>
      </c>
      <c r="P9" s="7">
        <v>4.6635909435882672</v>
      </c>
      <c r="R9" s="14">
        <v>1</v>
      </c>
      <c r="S9" s="13">
        <v>20241210</v>
      </c>
      <c r="T9" s="13">
        <v>20241211</v>
      </c>
      <c r="U9" s="13">
        <v>20241211</v>
      </c>
      <c r="V9" s="13">
        <v>4.5999999999999999E-2</v>
      </c>
      <c r="W9" s="13">
        <v>1.2777777777777777E-2</v>
      </c>
      <c r="X9" s="13">
        <v>0.99987223854729679</v>
      </c>
      <c r="Y9" s="13">
        <v>20241210</v>
      </c>
      <c r="Z9" s="13">
        <v>20241211</v>
      </c>
      <c r="AA9" s="13">
        <v>20241211</v>
      </c>
      <c r="AB9" s="13">
        <v>4.5999999999999999E-2</v>
      </c>
      <c r="AC9" s="13">
        <v>1.2777777777777777E-2</v>
      </c>
      <c r="AD9" s="13">
        <v>0.99987223854729679</v>
      </c>
      <c r="AG9" s="17">
        <v>45292</v>
      </c>
    </row>
    <row r="10" spans="1:41" x14ac:dyDescent="0.4">
      <c r="B10" s="8" t="s">
        <v>29</v>
      </c>
      <c r="C10" s="9">
        <v>45638</v>
      </c>
      <c r="D10" s="9">
        <v>45649</v>
      </c>
      <c r="E10" s="10">
        <v>4.5925000000000002</v>
      </c>
      <c r="F10" s="8">
        <v>1</v>
      </c>
      <c r="J10" s="9">
        <v>45649</v>
      </c>
      <c r="K10" s="11">
        <v>4.6523907470703127</v>
      </c>
      <c r="L10" s="9">
        <v>45643</v>
      </c>
      <c r="M10" s="11">
        <v>4.6998810000000004</v>
      </c>
      <c r="O10" s="6">
        <v>3.5616438356164383E-2</v>
      </c>
      <c r="P10" s="7">
        <v>4.6523907470703127</v>
      </c>
      <c r="R10" s="14">
        <v>2</v>
      </c>
      <c r="S10" s="13">
        <v>20241212</v>
      </c>
      <c r="T10" s="13">
        <v>20241219</v>
      </c>
      <c r="U10" s="13">
        <v>20241223</v>
      </c>
      <c r="V10" s="13">
        <v>4.5925498390859687E-2</v>
      </c>
      <c r="W10" s="13">
        <v>8.9299580204449391E-2</v>
      </c>
      <c r="X10" s="13">
        <v>0.99834435621033479</v>
      </c>
      <c r="Y10" s="13">
        <v>20241212</v>
      </c>
      <c r="Z10" s="13">
        <v>20241219</v>
      </c>
      <c r="AA10" s="13">
        <v>20241223</v>
      </c>
      <c r="AB10" s="13">
        <v>4.5925000000000001E-2</v>
      </c>
      <c r="AC10" s="13">
        <v>8.929861111111112E-2</v>
      </c>
      <c r="AD10" s="13">
        <v>0.99834435621033479</v>
      </c>
      <c r="AG10" s="17">
        <v>45306</v>
      </c>
    </row>
    <row r="11" spans="1:41" x14ac:dyDescent="0.4">
      <c r="B11" s="8" t="s">
        <v>29</v>
      </c>
      <c r="C11" s="9">
        <v>45638</v>
      </c>
      <c r="D11" s="9">
        <v>45672</v>
      </c>
      <c r="E11" s="10">
        <v>4.4554999999999998</v>
      </c>
      <c r="F11" s="8">
        <v>1</v>
      </c>
      <c r="J11" s="9">
        <v>45672</v>
      </c>
      <c r="K11" s="11">
        <v>4.504676216125489</v>
      </c>
      <c r="L11" s="9">
        <v>45667</v>
      </c>
      <c r="M11" s="11">
        <v>4.689648</v>
      </c>
      <c r="O11" s="6">
        <v>9.8630136986301367E-2</v>
      </c>
      <c r="P11" s="7">
        <v>4.504676216125489</v>
      </c>
      <c r="R11" s="14">
        <v>3</v>
      </c>
      <c r="S11" s="13">
        <v>20241212</v>
      </c>
      <c r="T11" s="13">
        <v>20250113</v>
      </c>
      <c r="U11" s="13">
        <v>20250115</v>
      </c>
      <c r="V11" s="13">
        <v>4.455489944683283E-2</v>
      </c>
      <c r="W11" s="13">
        <v>0.39604355063851404</v>
      </c>
      <c r="X11" s="13">
        <v>0.9955668870598845</v>
      </c>
      <c r="Y11" s="13">
        <v>20241212</v>
      </c>
      <c r="Z11" s="13">
        <v>20250113</v>
      </c>
      <c r="AA11" s="13">
        <v>20250115</v>
      </c>
      <c r="AB11" s="13">
        <v>4.4554999999999997E-2</v>
      </c>
      <c r="AC11" s="13">
        <v>0.39604444444444442</v>
      </c>
      <c r="AD11" s="13">
        <v>0.9955668870598845</v>
      </c>
      <c r="AG11" s="17">
        <v>45341</v>
      </c>
    </row>
    <row r="12" spans="1:41" x14ac:dyDescent="0.4">
      <c r="B12" s="8" t="s">
        <v>29</v>
      </c>
      <c r="C12" s="9">
        <v>45638</v>
      </c>
      <c r="D12" s="9">
        <v>45702</v>
      </c>
      <c r="E12" s="10">
        <v>4.4139999999999997</v>
      </c>
      <c r="F12" s="8">
        <v>1</v>
      </c>
      <c r="J12" s="9">
        <v>45702</v>
      </c>
      <c r="K12" s="11">
        <v>4.4619078292846677</v>
      </c>
      <c r="L12" s="9">
        <v>45698</v>
      </c>
      <c r="M12" s="11">
        <v>4.6743930000000002</v>
      </c>
      <c r="O12" s="6">
        <v>0.18082191780821918</v>
      </c>
      <c r="P12" s="7">
        <v>4.4619078292846677</v>
      </c>
      <c r="R12" s="14">
        <v>4</v>
      </c>
      <c r="S12" s="13">
        <v>20241212</v>
      </c>
      <c r="T12" s="13">
        <v>20250212</v>
      </c>
      <c r="U12" s="13">
        <v>20250214</v>
      </c>
      <c r="V12" s="13">
        <v>4.4139943796916631E-2</v>
      </c>
      <c r="W12" s="13">
        <v>0.76018792094689758</v>
      </c>
      <c r="X12" s="13">
        <v>0.99196435251491144</v>
      </c>
      <c r="Y12" s="13">
        <v>20241212</v>
      </c>
      <c r="Z12" s="13">
        <v>20250212</v>
      </c>
      <c r="AA12" s="13">
        <v>20250214</v>
      </c>
      <c r="AB12" s="13">
        <v>4.4139999999999999E-2</v>
      </c>
      <c r="AC12" s="13">
        <v>0.7601888888888888</v>
      </c>
      <c r="AD12" s="13">
        <v>0.99196435251491144</v>
      </c>
      <c r="AG12" s="17">
        <v>45439</v>
      </c>
    </row>
    <row r="13" spans="1:41" x14ac:dyDescent="0.4">
      <c r="B13" s="8" t="s">
        <v>29</v>
      </c>
      <c r="C13" s="9">
        <v>45638</v>
      </c>
      <c r="D13" s="9">
        <v>45730</v>
      </c>
      <c r="E13" s="10">
        <v>4.3955000000000002</v>
      </c>
      <c r="F13" s="8">
        <v>1</v>
      </c>
      <c r="J13" s="9">
        <v>45730</v>
      </c>
      <c r="K13" s="11">
        <v>4.435355241775512</v>
      </c>
      <c r="L13" s="9">
        <v>45726</v>
      </c>
      <c r="M13" s="11">
        <v>4.6156350000000002</v>
      </c>
      <c r="O13" s="6">
        <v>0.25753424657534246</v>
      </c>
      <c r="P13" s="7">
        <v>4.435355241775512</v>
      </c>
      <c r="R13" s="14">
        <v>5</v>
      </c>
      <c r="S13" s="13">
        <v>20241212</v>
      </c>
      <c r="T13" s="13">
        <v>20250312</v>
      </c>
      <c r="U13" s="13">
        <v>20250314</v>
      </c>
      <c r="V13" s="13">
        <v>4.3955022559554635E-2</v>
      </c>
      <c r="W13" s="13">
        <v>1.0988755639888659</v>
      </c>
      <c r="X13" s="13">
        <v>0.98864243103377192</v>
      </c>
      <c r="Y13" s="13">
        <v>20241212</v>
      </c>
      <c r="Z13" s="13">
        <v>20250312</v>
      </c>
      <c r="AA13" s="13">
        <v>20250314</v>
      </c>
      <c r="AB13" s="13">
        <v>4.3955000000000001E-2</v>
      </c>
      <c r="AC13" s="13">
        <v>1.098875</v>
      </c>
      <c r="AD13" s="13">
        <v>0.98864243103377192</v>
      </c>
      <c r="AG13" s="17">
        <v>45462</v>
      </c>
    </row>
    <row r="14" spans="1:41" x14ac:dyDescent="0.4">
      <c r="B14" s="8" t="s">
        <v>29</v>
      </c>
      <c r="C14" s="9">
        <v>45638</v>
      </c>
      <c r="D14" s="9">
        <v>45824</v>
      </c>
      <c r="E14" s="10">
        <v>4.2869999999999999</v>
      </c>
      <c r="F14" s="8">
        <v>1</v>
      </c>
      <c r="J14" s="9">
        <v>45824</v>
      </c>
      <c r="K14" s="11">
        <v>4.298216402053832</v>
      </c>
      <c r="L14" s="9">
        <v>45818</v>
      </c>
      <c r="M14" s="11">
        <v>4.4815519999999998</v>
      </c>
      <c r="O14" s="6">
        <v>0.51506849315068493</v>
      </c>
      <c r="P14" s="7">
        <v>4.298216402053832</v>
      </c>
      <c r="R14" s="14">
        <v>6</v>
      </c>
      <c r="S14" s="13">
        <v>20241212</v>
      </c>
      <c r="T14" s="13">
        <v>20250612</v>
      </c>
      <c r="U14" s="13">
        <v>20250616</v>
      </c>
      <c r="V14" s="13">
        <v>4.287001697471849E-2</v>
      </c>
      <c r="W14" s="13">
        <v>2.1673175248329901</v>
      </c>
      <c r="X14" s="13">
        <v>0.978104505365187</v>
      </c>
      <c r="Y14" s="13">
        <v>20241212</v>
      </c>
      <c r="Z14" s="13">
        <v>20250612</v>
      </c>
      <c r="AA14" s="13">
        <v>20250616</v>
      </c>
      <c r="AB14" s="13">
        <v>4.2869999999999998E-2</v>
      </c>
      <c r="AC14" s="13">
        <v>2.1673166666666663</v>
      </c>
      <c r="AD14" s="13">
        <v>0.978104505365187</v>
      </c>
      <c r="AG14" s="17">
        <v>45477</v>
      </c>
    </row>
    <row r="15" spans="1:41" x14ac:dyDescent="0.4">
      <c r="B15" s="8" t="s">
        <v>29</v>
      </c>
      <c r="C15" s="9">
        <v>45638</v>
      </c>
      <c r="D15" s="9">
        <v>45916</v>
      </c>
      <c r="E15" s="10">
        <v>4.1959999999999997</v>
      </c>
      <c r="F15" s="8">
        <v>1</v>
      </c>
      <c r="J15" s="9">
        <v>45916</v>
      </c>
      <c r="K15" s="11">
        <v>4.1863339147567746</v>
      </c>
      <c r="L15" s="9">
        <v>45910</v>
      </c>
      <c r="M15" s="11">
        <v>4.3521260000000002</v>
      </c>
      <c r="O15" s="6">
        <v>0.76712328767123283</v>
      </c>
      <c r="P15" s="7">
        <v>4.1863339147567746</v>
      </c>
      <c r="R15" s="14">
        <v>7</v>
      </c>
      <c r="S15" s="13">
        <v>20241212</v>
      </c>
      <c r="T15" s="13">
        <v>20250912</v>
      </c>
      <c r="U15" s="13">
        <v>20250916</v>
      </c>
      <c r="V15" s="13">
        <v>4.1959994928005687E-2</v>
      </c>
      <c r="W15" s="13">
        <v>3.1936218361870994</v>
      </c>
      <c r="X15" s="13">
        <v>0.96839584708211324</v>
      </c>
      <c r="Y15" s="13">
        <v>20241212</v>
      </c>
      <c r="Z15" s="13">
        <v>20250912</v>
      </c>
      <c r="AA15" s="13">
        <v>20250916</v>
      </c>
      <c r="AB15" s="13">
        <v>4.1959999999999997E-2</v>
      </c>
      <c r="AC15" s="13">
        <v>3.1936222222222219</v>
      </c>
      <c r="AD15" s="13">
        <v>0.96839584708211324</v>
      </c>
      <c r="AG15" s="17">
        <v>45537</v>
      </c>
    </row>
    <row r="16" spans="1:41" x14ac:dyDescent="0.4">
      <c r="B16" s="8" t="s">
        <v>29</v>
      </c>
      <c r="C16" s="9">
        <v>45638</v>
      </c>
      <c r="D16" s="9">
        <v>46007</v>
      </c>
      <c r="E16" s="10">
        <v>4.1305000000000005</v>
      </c>
      <c r="F16" s="8">
        <v>1</v>
      </c>
      <c r="J16" s="9">
        <v>46007</v>
      </c>
      <c r="K16" s="11">
        <v>4.1018915586471572</v>
      </c>
      <c r="L16" s="9">
        <v>46001</v>
      </c>
      <c r="M16" s="11">
        <v>4.2513360000000002</v>
      </c>
      <c r="O16" s="6">
        <v>1.0164383561643835</v>
      </c>
      <c r="P16" s="7">
        <v>4.1018915586471572</v>
      </c>
      <c r="R16" s="14">
        <v>8</v>
      </c>
      <c r="S16" s="13">
        <v>20241212</v>
      </c>
      <c r="T16" s="13">
        <v>20251212</v>
      </c>
      <c r="U16" s="13">
        <v>20251216</v>
      </c>
      <c r="V16" s="13">
        <v>4.1305002507134439E-2</v>
      </c>
      <c r="W16" s="13">
        <v>4.1878683097511304</v>
      </c>
      <c r="X16" s="13">
        <v>0.9591640077873117</v>
      </c>
      <c r="Y16" s="13">
        <v>20241212</v>
      </c>
      <c r="Z16" s="13">
        <v>20251212</v>
      </c>
      <c r="AA16" s="13">
        <v>20251216</v>
      </c>
      <c r="AB16" s="13">
        <v>4.1305000000000008E-2</v>
      </c>
      <c r="AC16" s="13">
        <v>4.1878680555555556</v>
      </c>
      <c r="AD16" s="13">
        <v>0.9591640077873117</v>
      </c>
      <c r="AG16" s="17">
        <v>45579</v>
      </c>
    </row>
    <row r="17" spans="2:33" x14ac:dyDescent="0.4">
      <c r="B17" s="8" t="s">
        <v>29</v>
      </c>
      <c r="C17" s="9">
        <v>45638</v>
      </c>
      <c r="D17" s="9">
        <v>46189</v>
      </c>
      <c r="E17" s="10">
        <v>3.9954999999999998</v>
      </c>
      <c r="F17" s="8">
        <v>1</v>
      </c>
      <c r="J17" s="9">
        <v>46189</v>
      </c>
      <c r="K17" s="11">
        <v>3.9821507947444905</v>
      </c>
      <c r="L17" s="9">
        <v>46183</v>
      </c>
      <c r="M17" s="11">
        <v>4.1085430000000001</v>
      </c>
      <c r="O17" s="6">
        <v>1.515068493150685</v>
      </c>
      <c r="P17" s="7">
        <v>3.9821507947444905</v>
      </c>
      <c r="R17" s="14">
        <v>9</v>
      </c>
      <c r="S17" s="13">
        <v>20241212</v>
      </c>
      <c r="T17" s="13">
        <v>20250612</v>
      </c>
      <c r="U17" s="13">
        <v>20250616</v>
      </c>
      <c r="V17" s="13">
        <v>4.287001697471849E-2</v>
      </c>
      <c r="W17" s="13">
        <v>2.1673175248329901</v>
      </c>
      <c r="X17" s="13">
        <v>0.978104505365187</v>
      </c>
      <c r="Y17" s="13">
        <v>20241212</v>
      </c>
      <c r="Z17" s="13">
        <v>20250612</v>
      </c>
      <c r="AA17" s="13">
        <v>20250616</v>
      </c>
      <c r="AB17" s="13">
        <v>3.9954999999999997E-2</v>
      </c>
      <c r="AC17" s="13">
        <v>2.0199472222222221</v>
      </c>
      <c r="AD17" s="13">
        <v>0.978104505365187</v>
      </c>
      <c r="AG17" s="17">
        <v>45607</v>
      </c>
    </row>
    <row r="18" spans="2:33" x14ac:dyDescent="0.4">
      <c r="B18" s="8" t="s">
        <v>29</v>
      </c>
      <c r="C18" s="9">
        <v>45638</v>
      </c>
      <c r="D18" s="9">
        <v>46372</v>
      </c>
      <c r="E18" s="10">
        <v>3.9280000000000004</v>
      </c>
      <c r="F18" s="8">
        <v>1</v>
      </c>
      <c r="J18" s="9">
        <v>46372</v>
      </c>
      <c r="K18" s="11">
        <v>3.9023580818176278</v>
      </c>
      <c r="L18" s="9">
        <v>46366</v>
      </c>
      <c r="M18" s="11">
        <v>4.0114470000000004</v>
      </c>
      <c r="O18" s="6">
        <v>2.0164383561643837</v>
      </c>
      <c r="P18" s="7">
        <v>3.9024018912315386</v>
      </c>
      <c r="R18" s="14">
        <v>9</v>
      </c>
      <c r="S18" s="13">
        <v>20250612</v>
      </c>
      <c r="T18" s="13">
        <v>20260612</v>
      </c>
      <c r="U18" s="13">
        <v>20260616</v>
      </c>
      <c r="V18" s="13">
        <v>3.8444893092464662E-2</v>
      </c>
      <c r="W18" s="13">
        <v>3.8978849940971116</v>
      </c>
      <c r="X18" s="13">
        <v>0.94145162588440179</v>
      </c>
      <c r="Y18" s="13">
        <v>20250612</v>
      </c>
      <c r="Z18" s="13">
        <v>20260612</v>
      </c>
      <c r="AA18" s="13">
        <v>20260616</v>
      </c>
      <c r="AB18" s="13">
        <v>3.9954999999999997E-2</v>
      </c>
      <c r="AC18" s="13">
        <v>4.0509930555555549</v>
      </c>
      <c r="AD18" s="13">
        <v>0.94145162588440179</v>
      </c>
      <c r="AG18" s="17">
        <v>45624</v>
      </c>
    </row>
    <row r="19" spans="2:33" x14ac:dyDescent="0.4">
      <c r="B19" s="8" t="s">
        <v>29</v>
      </c>
      <c r="C19" s="9">
        <v>45638</v>
      </c>
      <c r="D19" s="9">
        <v>46736</v>
      </c>
      <c r="E19" s="10">
        <v>3.8309999999999995</v>
      </c>
      <c r="F19" s="8">
        <v>1</v>
      </c>
      <c r="J19" s="9">
        <v>46736</v>
      </c>
      <c r="K19" s="11">
        <v>3.8053413925170898</v>
      </c>
      <c r="L19" s="9">
        <v>46731</v>
      </c>
      <c r="M19" s="11">
        <v>3.8751959999999999</v>
      </c>
      <c r="O19" s="6">
        <v>3.0136986301369864</v>
      </c>
      <c r="P19" s="7">
        <v>3.8053768572807312</v>
      </c>
      <c r="R19" s="14">
        <v>10</v>
      </c>
      <c r="S19" s="13">
        <v>20241212</v>
      </c>
      <c r="T19" s="13">
        <v>20251212</v>
      </c>
      <c r="U19" s="13">
        <v>20251216</v>
      </c>
      <c r="V19" s="13">
        <v>4.1305002507134439E-2</v>
      </c>
      <c r="W19" s="13">
        <v>4.1878683097511304</v>
      </c>
      <c r="X19" s="13">
        <v>0.9591640077873117</v>
      </c>
      <c r="Y19" s="13">
        <v>20241212</v>
      </c>
      <c r="Z19" s="13">
        <v>20251212</v>
      </c>
      <c r="AA19" s="13">
        <v>20251216</v>
      </c>
      <c r="AB19" s="13">
        <v>3.9280000000000002E-2</v>
      </c>
      <c r="AC19" s="13">
        <v>3.9825555555555558</v>
      </c>
      <c r="AD19" s="13">
        <v>0.9591640077873117</v>
      </c>
      <c r="AG19" s="17">
        <v>45651</v>
      </c>
    </row>
    <row r="20" spans="2:33" x14ac:dyDescent="0.4">
      <c r="B20" s="8" t="s">
        <v>29</v>
      </c>
      <c r="C20" s="9">
        <v>45638</v>
      </c>
      <c r="D20" s="9">
        <v>47101</v>
      </c>
      <c r="E20" s="10">
        <v>3.7685000000000004</v>
      </c>
      <c r="F20" s="8">
        <v>1</v>
      </c>
      <c r="J20" s="9">
        <v>47101</v>
      </c>
      <c r="K20" s="11">
        <v>3.7423287180662159</v>
      </c>
      <c r="L20" s="9">
        <v>47098</v>
      </c>
      <c r="M20" s="11">
        <v>3.7886299999999999</v>
      </c>
      <c r="O20" s="6">
        <v>4.0136986301369859</v>
      </c>
      <c r="P20" s="7">
        <v>3.7423266319036488</v>
      </c>
      <c r="R20" s="14">
        <v>10</v>
      </c>
      <c r="S20" s="13">
        <v>20251212</v>
      </c>
      <c r="T20" s="13">
        <v>20261214</v>
      </c>
      <c r="U20" s="13">
        <v>20261216</v>
      </c>
      <c r="V20" s="13">
        <v>3.7190129898170075E-2</v>
      </c>
      <c r="W20" s="13">
        <v>3.7913271312856711</v>
      </c>
      <c r="X20" s="13">
        <v>0.92432685700342188</v>
      </c>
      <c r="Y20" s="13">
        <v>20251212</v>
      </c>
      <c r="Z20" s="13">
        <v>20261214</v>
      </c>
      <c r="AA20" s="13">
        <v>20261216</v>
      </c>
      <c r="AB20" s="13">
        <v>3.9280000000000002E-2</v>
      </c>
      <c r="AC20" s="13">
        <v>4.004377777777778</v>
      </c>
      <c r="AD20" s="13">
        <v>0.92432685700342188</v>
      </c>
      <c r="AG20" s="17">
        <v>45658</v>
      </c>
    </row>
    <row r="21" spans="2:33" x14ac:dyDescent="0.4">
      <c r="B21" s="8" t="s">
        <v>29</v>
      </c>
      <c r="C21" s="9">
        <v>45638</v>
      </c>
      <c r="D21" s="9">
        <v>47466</v>
      </c>
      <c r="E21" s="10">
        <v>3.7304999999999997</v>
      </c>
      <c r="F21" s="8">
        <v>1</v>
      </c>
      <c r="J21" s="9">
        <v>47466</v>
      </c>
      <c r="K21" s="11">
        <v>3.7039469503164302</v>
      </c>
      <c r="L21" s="9">
        <v>47462</v>
      </c>
      <c r="M21" s="11">
        <v>3.7339159999999998</v>
      </c>
      <c r="O21" s="6">
        <v>5.0136986301369859</v>
      </c>
      <c r="P21" s="7">
        <v>3.7039453856945044</v>
      </c>
      <c r="R21" s="14">
        <v>11</v>
      </c>
      <c r="S21" s="13">
        <v>20241212</v>
      </c>
      <c r="T21" s="13">
        <v>20251212</v>
      </c>
      <c r="U21" s="13">
        <v>20251216</v>
      </c>
      <c r="V21" s="13">
        <v>4.1305002507134439E-2</v>
      </c>
      <c r="W21" s="13">
        <v>4.1878683097511304</v>
      </c>
      <c r="X21" s="13">
        <v>0.9591640077873117</v>
      </c>
      <c r="Y21" s="13">
        <v>20241212</v>
      </c>
      <c r="Z21" s="13">
        <v>20251212</v>
      </c>
      <c r="AA21" s="13">
        <v>20251216</v>
      </c>
      <c r="AB21" s="13">
        <v>3.8309999999999997E-2</v>
      </c>
      <c r="AC21" s="13">
        <v>3.8842083333333326</v>
      </c>
      <c r="AD21" s="13">
        <v>0.9591640077873117</v>
      </c>
      <c r="AG21" s="17">
        <v>45677</v>
      </c>
    </row>
    <row r="22" spans="2:33" x14ac:dyDescent="0.4">
      <c r="B22" s="8" t="s">
        <v>29</v>
      </c>
      <c r="C22" s="9">
        <v>45638</v>
      </c>
      <c r="D22" s="9">
        <v>47833</v>
      </c>
      <c r="E22" s="10">
        <v>3.7135000000000002</v>
      </c>
      <c r="F22" s="8">
        <v>1</v>
      </c>
      <c r="J22" s="9">
        <v>47833</v>
      </c>
      <c r="K22" s="11">
        <v>3.687172777414323</v>
      </c>
      <c r="L22" s="9">
        <v>47827</v>
      </c>
      <c r="M22" s="11">
        <v>3.7001840000000001</v>
      </c>
      <c r="O22" s="6">
        <v>6.0191780821917806</v>
      </c>
      <c r="P22" s="7">
        <v>3.687171734333039</v>
      </c>
      <c r="R22" s="14">
        <v>11</v>
      </c>
      <c r="S22" s="13">
        <v>20251212</v>
      </c>
      <c r="T22" s="13">
        <v>20261214</v>
      </c>
      <c r="U22" s="13">
        <v>20261216</v>
      </c>
      <c r="V22" s="13">
        <v>3.7190129898170075E-2</v>
      </c>
      <c r="W22" s="13">
        <v>3.7913271312856711</v>
      </c>
      <c r="X22" s="13">
        <v>0.92432685700342188</v>
      </c>
      <c r="Y22" s="13">
        <v>20251212</v>
      </c>
      <c r="Z22" s="13">
        <v>20261214</v>
      </c>
      <c r="AA22" s="13">
        <v>20261216</v>
      </c>
      <c r="AB22" s="13">
        <v>3.8309999999999997E-2</v>
      </c>
      <c r="AC22" s="13">
        <v>3.9054916666666659</v>
      </c>
      <c r="AD22" s="13">
        <v>0.92432685700342188</v>
      </c>
      <c r="AG22" s="17">
        <v>45705</v>
      </c>
    </row>
    <row r="23" spans="2:33" x14ac:dyDescent="0.4">
      <c r="B23" s="8" t="s">
        <v>29</v>
      </c>
      <c r="C23" s="9">
        <v>45638</v>
      </c>
      <c r="D23" s="9">
        <v>48198</v>
      </c>
      <c r="E23" s="10">
        <v>3.7045000000000003</v>
      </c>
      <c r="F23" s="8">
        <v>1</v>
      </c>
      <c r="J23" s="9">
        <v>48198</v>
      </c>
      <c r="K23" s="11">
        <v>3.6786666764020923</v>
      </c>
      <c r="L23" s="9">
        <v>48192</v>
      </c>
      <c r="M23" s="11">
        <v>3.6871200000000002</v>
      </c>
      <c r="O23" s="6">
        <v>7.0191780821917806</v>
      </c>
      <c r="P23" s="7">
        <v>3.6786656333208088</v>
      </c>
      <c r="R23" s="14">
        <v>11</v>
      </c>
      <c r="S23" s="13">
        <v>20261214</v>
      </c>
      <c r="T23" s="13">
        <v>20271213</v>
      </c>
      <c r="U23" s="13">
        <v>20271215</v>
      </c>
      <c r="V23" s="13">
        <v>3.6249844475129522E-2</v>
      </c>
      <c r="W23" s="13">
        <v>3.6652620524853186</v>
      </c>
      <c r="X23" s="13">
        <v>0.89164911714584694</v>
      </c>
      <c r="Y23" s="13">
        <v>20261214</v>
      </c>
      <c r="Z23" s="13">
        <v>20271213</v>
      </c>
      <c r="AA23" s="13">
        <v>20271215</v>
      </c>
      <c r="AB23" s="13">
        <v>3.8309999999999997E-2</v>
      </c>
      <c r="AC23" s="13">
        <v>3.8735666666666662</v>
      </c>
      <c r="AD23" s="13">
        <v>0.89164911714584694</v>
      </c>
      <c r="AG23" s="17">
        <v>45803</v>
      </c>
    </row>
    <row r="24" spans="2:33" x14ac:dyDescent="0.4">
      <c r="B24" s="8" t="s">
        <v>29</v>
      </c>
      <c r="C24" s="9">
        <v>45638</v>
      </c>
      <c r="D24" s="9">
        <v>48563</v>
      </c>
      <c r="E24" s="10">
        <v>3.7025000000000001</v>
      </c>
      <c r="F24" s="8">
        <v>1</v>
      </c>
      <c r="J24" s="9">
        <v>48563</v>
      </c>
      <c r="K24" s="11">
        <v>3.6775105291605001</v>
      </c>
      <c r="L24" s="9">
        <v>48558</v>
      </c>
      <c r="M24" s="11">
        <v>3.6887940000000001</v>
      </c>
      <c r="O24" s="6">
        <v>8.0191780821917806</v>
      </c>
      <c r="P24" s="7">
        <v>3.6775334769487382</v>
      </c>
      <c r="R24" s="14">
        <v>12</v>
      </c>
      <c r="S24" s="13">
        <v>20241212</v>
      </c>
      <c r="T24" s="13">
        <v>20251212</v>
      </c>
      <c r="U24" s="13">
        <v>20251216</v>
      </c>
      <c r="V24" s="13">
        <v>4.1305002507134439E-2</v>
      </c>
      <c r="W24" s="13">
        <v>4.1878683097511304</v>
      </c>
      <c r="X24" s="13">
        <v>0.9591640077873117</v>
      </c>
      <c r="Y24" s="13">
        <v>20241212</v>
      </c>
      <c r="Z24" s="13">
        <v>20251212</v>
      </c>
      <c r="AA24" s="13">
        <v>20251216</v>
      </c>
      <c r="AB24" s="13">
        <v>3.7685000000000003E-2</v>
      </c>
      <c r="AC24" s="13">
        <v>3.8208402777777781</v>
      </c>
      <c r="AD24" s="13">
        <v>0.9591640077873117</v>
      </c>
      <c r="AG24" s="17">
        <v>45827</v>
      </c>
    </row>
    <row r="25" spans="2:33" x14ac:dyDescent="0.4">
      <c r="B25" s="8" t="s">
        <v>29</v>
      </c>
      <c r="C25" s="9">
        <v>45638</v>
      </c>
      <c r="D25" s="9">
        <v>48927</v>
      </c>
      <c r="E25" s="10">
        <v>3.7045000000000003</v>
      </c>
      <c r="F25" s="8">
        <v>1</v>
      </c>
      <c r="J25" s="9">
        <v>48927</v>
      </c>
      <c r="K25" s="11">
        <v>3.6806933833360667</v>
      </c>
      <c r="L25" s="9">
        <v>48925</v>
      </c>
      <c r="M25" s="11">
        <v>3.7023899999999998</v>
      </c>
      <c r="O25" s="6">
        <v>9.0164383561643842</v>
      </c>
      <c r="P25" s="7">
        <v>3.68069155794382</v>
      </c>
      <c r="R25" s="14">
        <v>12</v>
      </c>
      <c r="S25" s="13">
        <v>20251212</v>
      </c>
      <c r="T25" s="13">
        <v>20261214</v>
      </c>
      <c r="U25" s="13">
        <v>20261216</v>
      </c>
      <c r="V25" s="13">
        <v>3.7190129898170075E-2</v>
      </c>
      <c r="W25" s="13">
        <v>3.7913271312856711</v>
      </c>
      <c r="X25" s="13">
        <v>0.92432685700342188</v>
      </c>
      <c r="Y25" s="13">
        <v>20251212</v>
      </c>
      <c r="Z25" s="13">
        <v>20261214</v>
      </c>
      <c r="AA25" s="13">
        <v>20261216</v>
      </c>
      <c r="AB25" s="13">
        <v>3.7685000000000003E-2</v>
      </c>
      <c r="AC25" s="13">
        <v>3.8417763888888889</v>
      </c>
      <c r="AD25" s="13">
        <v>0.92432685700342188</v>
      </c>
      <c r="AG25" s="17">
        <v>45842</v>
      </c>
    </row>
    <row r="26" spans="2:33" x14ac:dyDescent="0.4">
      <c r="B26" s="8" t="s">
        <v>29</v>
      </c>
      <c r="C26" s="9">
        <v>45638</v>
      </c>
      <c r="D26" s="9">
        <v>49292</v>
      </c>
      <c r="E26" s="10">
        <v>3.7104999999999997</v>
      </c>
      <c r="F26" s="8">
        <v>1</v>
      </c>
      <c r="J26" s="9">
        <v>49292</v>
      </c>
      <c r="K26" s="11">
        <v>3.6883070300817486</v>
      </c>
      <c r="L26" s="9">
        <v>49289</v>
      </c>
      <c r="M26" s="11">
        <v>3.7227329999999998</v>
      </c>
      <c r="O26" s="6">
        <v>10.016438356164384</v>
      </c>
      <c r="P26" s="7">
        <v>3.6883054654598233</v>
      </c>
      <c r="R26" s="14">
        <v>12</v>
      </c>
      <c r="S26" s="13">
        <v>20261214</v>
      </c>
      <c r="T26" s="13">
        <v>20271213</v>
      </c>
      <c r="U26" s="13">
        <v>20271215</v>
      </c>
      <c r="V26" s="13">
        <v>3.6249844475129522E-2</v>
      </c>
      <c r="W26" s="13">
        <v>3.6652620524853186</v>
      </c>
      <c r="X26" s="13">
        <v>0.89164911714584694</v>
      </c>
      <c r="Y26" s="13">
        <v>20261214</v>
      </c>
      <c r="Z26" s="13">
        <v>20271213</v>
      </c>
      <c r="AA26" s="13">
        <v>20271215</v>
      </c>
      <c r="AB26" s="13">
        <v>3.7685000000000003E-2</v>
      </c>
      <c r="AC26" s="13">
        <v>3.8103722222222225</v>
      </c>
      <c r="AD26" s="13">
        <v>0.89164911714584694</v>
      </c>
      <c r="AG26" s="17">
        <v>45901</v>
      </c>
    </row>
    <row r="27" spans="2:33" x14ac:dyDescent="0.4">
      <c r="B27" s="8" t="s">
        <v>29</v>
      </c>
      <c r="C27" s="9">
        <v>45638</v>
      </c>
      <c r="D27" s="9">
        <v>50025</v>
      </c>
      <c r="E27" s="10">
        <v>3.7295000000000003</v>
      </c>
      <c r="F27" s="8">
        <v>1</v>
      </c>
      <c r="J27" s="9">
        <v>50025</v>
      </c>
      <c r="K27" s="11">
        <v>3.7116950122714027</v>
      </c>
      <c r="L27" s="9">
        <v>50019</v>
      </c>
      <c r="M27" s="11">
        <v>3.781072</v>
      </c>
      <c r="O27" s="6">
        <v>12.024657534246575</v>
      </c>
      <c r="P27" s="7">
        <v>3.7116939691901205</v>
      </c>
      <c r="R27" s="14">
        <v>12</v>
      </c>
      <c r="S27" s="13">
        <v>20271213</v>
      </c>
      <c r="T27" s="13">
        <v>20281212</v>
      </c>
      <c r="U27" s="13">
        <v>20281214</v>
      </c>
      <c r="V27" s="13">
        <v>3.5667535342730552E-2</v>
      </c>
      <c r="W27" s="13">
        <v>3.6162917778046255</v>
      </c>
      <c r="X27" s="13">
        <v>0.86053093602205988</v>
      </c>
      <c r="Y27" s="13">
        <v>20271213</v>
      </c>
      <c r="Z27" s="13">
        <v>20281212</v>
      </c>
      <c r="AA27" s="13">
        <v>20281214</v>
      </c>
      <c r="AB27" s="13">
        <v>3.7685000000000003E-2</v>
      </c>
      <c r="AC27" s="13">
        <v>3.8208402777777781</v>
      </c>
      <c r="AD27" s="13">
        <v>0.86053093602205988</v>
      </c>
      <c r="AG27" s="17">
        <v>45943</v>
      </c>
    </row>
    <row r="28" spans="2:33" x14ac:dyDescent="0.4">
      <c r="B28" s="8" t="s">
        <v>29</v>
      </c>
      <c r="C28" s="9">
        <v>45638</v>
      </c>
      <c r="D28" s="9">
        <v>51118</v>
      </c>
      <c r="E28" s="10">
        <v>3.7525000000000004</v>
      </c>
      <c r="F28" s="8">
        <v>1</v>
      </c>
      <c r="J28" s="9">
        <v>51118</v>
      </c>
      <c r="K28" s="11">
        <v>3.7401711890101428</v>
      </c>
      <c r="L28" s="9">
        <v>51116</v>
      </c>
      <c r="M28" s="11">
        <v>3.8588650000000002</v>
      </c>
      <c r="O28" s="6">
        <v>15.019178082191781</v>
      </c>
      <c r="P28" s="7">
        <v>3.7401701459288601</v>
      </c>
      <c r="R28" s="14">
        <v>13</v>
      </c>
      <c r="S28" s="13">
        <v>20241212</v>
      </c>
      <c r="T28" s="13">
        <v>20251212</v>
      </c>
      <c r="U28" s="13">
        <v>20251216</v>
      </c>
      <c r="V28" s="13">
        <v>4.1305002507134439E-2</v>
      </c>
      <c r="W28" s="13">
        <v>4.1878683097511304</v>
      </c>
      <c r="X28" s="13">
        <v>0.9591640077873117</v>
      </c>
      <c r="Y28" s="13">
        <v>20241212</v>
      </c>
      <c r="Z28" s="13">
        <v>20251212</v>
      </c>
      <c r="AA28" s="13">
        <v>20251216</v>
      </c>
      <c r="AB28" s="13">
        <v>3.7304999999999998E-2</v>
      </c>
      <c r="AC28" s="13">
        <v>3.7823124999999993</v>
      </c>
      <c r="AD28" s="13">
        <v>0.9591640077873117</v>
      </c>
      <c r="AG28" s="17">
        <v>45972</v>
      </c>
    </row>
    <row r="29" spans="2:33" x14ac:dyDescent="0.4">
      <c r="B29" s="8" t="s">
        <v>29</v>
      </c>
      <c r="C29" s="9">
        <v>45638</v>
      </c>
      <c r="D29" s="9">
        <v>52945</v>
      </c>
      <c r="E29" s="10">
        <v>3.7385000000000002</v>
      </c>
      <c r="F29" s="8">
        <v>1</v>
      </c>
      <c r="J29" s="9">
        <v>52945</v>
      </c>
      <c r="K29" s="11">
        <v>3.7199064428210264</v>
      </c>
      <c r="L29" s="9">
        <v>52943</v>
      </c>
      <c r="M29" s="11">
        <v>3.9228260000000001</v>
      </c>
      <c r="O29" s="6">
        <v>20.024657534246575</v>
      </c>
      <c r="P29" s="7">
        <v>3.7199056605100638</v>
      </c>
      <c r="R29" s="14">
        <v>13</v>
      </c>
      <c r="S29" s="13">
        <v>20251212</v>
      </c>
      <c r="T29" s="13">
        <v>20261214</v>
      </c>
      <c r="U29" s="13">
        <v>20261216</v>
      </c>
      <c r="V29" s="13">
        <v>3.7190129898170075E-2</v>
      </c>
      <c r="W29" s="13">
        <v>3.7913271312856711</v>
      </c>
      <c r="X29" s="13">
        <v>0.92432685700342188</v>
      </c>
      <c r="Y29" s="13">
        <v>20251212</v>
      </c>
      <c r="Z29" s="13">
        <v>20261214</v>
      </c>
      <c r="AA29" s="13">
        <v>20261216</v>
      </c>
      <c r="AB29" s="13">
        <v>3.7304999999999998E-2</v>
      </c>
      <c r="AC29" s="13">
        <v>3.8030374999999994</v>
      </c>
      <c r="AD29" s="13">
        <v>0.92432685700342188</v>
      </c>
      <c r="AG29" s="17">
        <v>45988</v>
      </c>
    </row>
    <row r="30" spans="2:33" x14ac:dyDescent="0.4">
      <c r="B30" s="8" t="s">
        <v>29</v>
      </c>
      <c r="C30" s="9">
        <v>45638</v>
      </c>
      <c r="D30" s="9">
        <v>54772</v>
      </c>
      <c r="E30" s="10">
        <v>3.6635</v>
      </c>
      <c r="F30" s="8">
        <v>1</v>
      </c>
      <c r="J30" s="9">
        <v>54772</v>
      </c>
      <c r="K30" s="11">
        <v>3.6104556845724591</v>
      </c>
      <c r="L30" s="9">
        <v>54767</v>
      </c>
      <c r="M30" s="11">
        <v>3.9185319999999999</v>
      </c>
      <c r="O30" s="6">
        <v>25.030136986301368</v>
      </c>
      <c r="P30" s="7">
        <v>3.6104798058271417</v>
      </c>
      <c r="R30" s="14">
        <v>13</v>
      </c>
      <c r="S30" s="13">
        <v>20261214</v>
      </c>
      <c r="T30" s="13">
        <v>20271213</v>
      </c>
      <c r="U30" s="13">
        <v>20271215</v>
      </c>
      <c r="V30" s="13">
        <v>3.6249844475129522E-2</v>
      </c>
      <c r="W30" s="13">
        <v>3.6652620524853186</v>
      </c>
      <c r="X30" s="13">
        <v>0.89164911714584694</v>
      </c>
      <c r="Y30" s="13">
        <v>20261214</v>
      </c>
      <c r="Z30" s="13">
        <v>20271213</v>
      </c>
      <c r="AA30" s="13">
        <v>20271215</v>
      </c>
      <c r="AB30" s="13">
        <v>3.7304999999999998E-2</v>
      </c>
      <c r="AC30" s="13">
        <v>3.7719499999999995</v>
      </c>
      <c r="AD30" s="13">
        <v>0.89164911714584694</v>
      </c>
      <c r="AG30" s="17">
        <v>46016</v>
      </c>
    </row>
    <row r="31" spans="2:33" x14ac:dyDescent="0.4">
      <c r="B31" s="8" t="s">
        <v>29</v>
      </c>
      <c r="C31" s="9">
        <v>45638</v>
      </c>
      <c r="D31" s="9">
        <v>56599</v>
      </c>
      <c r="E31" s="10">
        <v>3.5735000000000001</v>
      </c>
      <c r="F31" s="8">
        <v>1</v>
      </c>
      <c r="J31" s="9">
        <v>56599</v>
      </c>
      <c r="K31" s="11">
        <v>3.4747822844088101</v>
      </c>
      <c r="L31" s="9">
        <v>56593</v>
      </c>
      <c r="M31" s="11">
        <v>3.865094</v>
      </c>
      <c r="O31" s="6">
        <v>30.035616438356165</v>
      </c>
      <c r="P31" s="7">
        <v>3.4748071879744549</v>
      </c>
      <c r="R31" s="14">
        <v>13</v>
      </c>
      <c r="S31" s="13">
        <v>20271213</v>
      </c>
      <c r="T31" s="13">
        <v>20281212</v>
      </c>
      <c r="U31" s="13">
        <v>20281214</v>
      </c>
      <c r="V31" s="13">
        <v>3.5667535342730552E-2</v>
      </c>
      <c r="W31" s="13">
        <v>3.6162917778046255</v>
      </c>
      <c r="X31" s="13">
        <v>0.86053093602205988</v>
      </c>
      <c r="Y31" s="13">
        <v>20271213</v>
      </c>
      <c r="Z31" s="13">
        <v>20281212</v>
      </c>
      <c r="AA31" s="13">
        <v>20281214</v>
      </c>
      <c r="AB31" s="13">
        <v>3.7304999999999998E-2</v>
      </c>
      <c r="AC31" s="13">
        <v>3.7823124999999993</v>
      </c>
      <c r="AD31" s="13">
        <v>0.86053093602205988</v>
      </c>
      <c r="AG31" s="17">
        <v>46023</v>
      </c>
    </row>
    <row r="32" spans="2:33" x14ac:dyDescent="0.4">
      <c r="B32" s="8" t="s">
        <v>29</v>
      </c>
      <c r="C32" s="9">
        <v>45638</v>
      </c>
      <c r="D32" s="9">
        <v>60252</v>
      </c>
      <c r="E32" s="10">
        <v>3.3740000000000001</v>
      </c>
      <c r="F32" s="8">
        <v>1</v>
      </c>
      <c r="J32" s="9">
        <v>60252</v>
      </c>
      <c r="K32" s="11">
        <v>3.1613456031084057</v>
      </c>
      <c r="L32" s="9">
        <v>60246</v>
      </c>
      <c r="M32" s="11">
        <v>3.6799140000000001</v>
      </c>
      <c r="O32" s="6">
        <v>40.043835616438358</v>
      </c>
      <c r="P32" s="7">
        <v>3.1613369976878163</v>
      </c>
      <c r="R32" s="14">
        <v>13</v>
      </c>
      <c r="S32" s="13">
        <v>20281212</v>
      </c>
      <c r="T32" s="13">
        <v>20291212</v>
      </c>
      <c r="U32" s="13">
        <v>20291214</v>
      </c>
      <c r="V32" s="13">
        <v>3.5640296597922359E-2</v>
      </c>
      <c r="W32" s="13">
        <v>3.6135300717337948</v>
      </c>
      <c r="X32" s="13">
        <v>0.83051884497735229</v>
      </c>
      <c r="Y32" s="13">
        <v>20281212</v>
      </c>
      <c r="Z32" s="13">
        <v>20291212</v>
      </c>
      <c r="AA32" s="13">
        <v>20291214</v>
      </c>
      <c r="AB32" s="13">
        <v>3.7304999999999998E-2</v>
      </c>
      <c r="AC32" s="13">
        <v>3.7823124999999993</v>
      </c>
      <c r="AD32" s="13">
        <v>0.83051884497735229</v>
      </c>
      <c r="AG32" s="17">
        <v>46041</v>
      </c>
    </row>
    <row r="33" spans="2:33" x14ac:dyDescent="0.4">
      <c r="B33" s="8" t="s">
        <v>29</v>
      </c>
      <c r="C33" s="9">
        <v>45638</v>
      </c>
      <c r="D33" s="9">
        <v>63902</v>
      </c>
      <c r="E33" s="10">
        <v>3.1739999999999999</v>
      </c>
      <c r="F33" s="8">
        <v>1</v>
      </c>
      <c r="J33" s="9">
        <v>63902</v>
      </c>
      <c r="K33" s="11">
        <v>2.839030501782895</v>
      </c>
      <c r="L33" s="9">
        <v>63898</v>
      </c>
      <c r="M33" s="11">
        <v>3.4503180000000002</v>
      </c>
      <c r="O33" s="6">
        <v>50.043835616438358</v>
      </c>
      <c r="P33" s="7">
        <v>2.8390250256061558</v>
      </c>
      <c r="R33" s="14">
        <v>14</v>
      </c>
      <c r="S33" s="13">
        <v>20241212</v>
      </c>
      <c r="T33" s="13">
        <v>20251212</v>
      </c>
      <c r="U33" s="13">
        <v>20251216</v>
      </c>
      <c r="V33" s="13">
        <v>4.1305002507134439E-2</v>
      </c>
      <c r="W33" s="13">
        <v>4.1878683097511304</v>
      </c>
      <c r="X33" s="13">
        <v>0.9591640077873117</v>
      </c>
      <c r="Y33" s="13">
        <v>20241212</v>
      </c>
      <c r="Z33" s="13">
        <v>20251212</v>
      </c>
      <c r="AA33" s="13">
        <v>20251216</v>
      </c>
      <c r="AB33" s="13">
        <v>3.7135000000000001E-2</v>
      </c>
      <c r="AC33" s="13">
        <v>3.7650763888888887</v>
      </c>
      <c r="AD33" s="13">
        <v>0.9591640077873117</v>
      </c>
      <c r="AG33" s="17">
        <v>46069</v>
      </c>
    </row>
    <row r="34" spans="2:33" x14ac:dyDescent="0.4">
      <c r="R34" s="14">
        <v>14</v>
      </c>
      <c r="S34" s="13">
        <v>20251212</v>
      </c>
      <c r="T34" s="13">
        <v>20261214</v>
      </c>
      <c r="U34" s="13">
        <v>20261216</v>
      </c>
      <c r="V34" s="13">
        <v>3.7190129898170075E-2</v>
      </c>
      <c r="W34" s="13">
        <v>3.7913271312856711</v>
      </c>
      <c r="X34" s="13">
        <v>0.92432685700342188</v>
      </c>
      <c r="Y34" s="13">
        <v>20251212</v>
      </c>
      <c r="Z34" s="13">
        <v>20261214</v>
      </c>
      <c r="AA34" s="13">
        <v>20261216</v>
      </c>
      <c r="AB34" s="13">
        <v>3.7135000000000001E-2</v>
      </c>
      <c r="AC34" s="13">
        <v>3.7857069444444442</v>
      </c>
      <c r="AD34" s="13">
        <v>0.92432685700342188</v>
      </c>
      <c r="AG34" s="17">
        <v>46167</v>
      </c>
    </row>
    <row r="35" spans="2:33" x14ac:dyDescent="0.4">
      <c r="R35" s="14">
        <v>14</v>
      </c>
      <c r="S35" s="13">
        <v>20261214</v>
      </c>
      <c r="T35" s="13">
        <v>20271213</v>
      </c>
      <c r="U35" s="13">
        <v>20271215</v>
      </c>
      <c r="V35" s="13">
        <v>3.6249844475129522E-2</v>
      </c>
      <c r="W35" s="13">
        <v>3.6652620524853186</v>
      </c>
      <c r="X35" s="13">
        <v>0.89164911714584694</v>
      </c>
      <c r="Y35" s="13">
        <v>20261214</v>
      </c>
      <c r="Z35" s="13">
        <v>20271213</v>
      </c>
      <c r="AA35" s="13">
        <v>20271215</v>
      </c>
      <c r="AB35" s="13">
        <v>3.7135000000000001E-2</v>
      </c>
      <c r="AC35" s="13">
        <v>3.7547611111111112</v>
      </c>
      <c r="AD35" s="13">
        <v>0.89164911714584694</v>
      </c>
      <c r="AG35" s="17">
        <v>46192</v>
      </c>
    </row>
    <row r="36" spans="2:33" x14ac:dyDescent="0.4">
      <c r="R36" s="14">
        <v>14</v>
      </c>
      <c r="S36" s="13">
        <v>20271213</v>
      </c>
      <c r="T36" s="13">
        <v>20281212</v>
      </c>
      <c r="U36" s="13">
        <v>20281214</v>
      </c>
      <c r="V36" s="13">
        <v>3.5667535342730552E-2</v>
      </c>
      <c r="W36" s="13">
        <v>3.6162917778046255</v>
      </c>
      <c r="X36" s="13">
        <v>0.86053093602205988</v>
      </c>
      <c r="Y36" s="13">
        <v>20271213</v>
      </c>
      <c r="Z36" s="13">
        <v>20281212</v>
      </c>
      <c r="AA36" s="13">
        <v>20281214</v>
      </c>
      <c r="AB36" s="13">
        <v>3.7135000000000001E-2</v>
      </c>
      <c r="AC36" s="13">
        <v>3.7650763888888887</v>
      </c>
      <c r="AD36" s="13">
        <v>0.86053093602205988</v>
      </c>
      <c r="AG36" s="17">
        <v>46206</v>
      </c>
    </row>
    <row r="37" spans="2:33" x14ac:dyDescent="0.4">
      <c r="R37" s="14">
        <v>14</v>
      </c>
      <c r="S37" s="13">
        <v>20281212</v>
      </c>
      <c r="T37" s="13">
        <v>20291212</v>
      </c>
      <c r="U37" s="13">
        <v>20291214</v>
      </c>
      <c r="V37" s="13">
        <v>3.5640296597922359E-2</v>
      </c>
      <c r="W37" s="13">
        <v>3.6135300717337948</v>
      </c>
      <c r="X37" s="13">
        <v>0.83051884497735229</v>
      </c>
      <c r="Y37" s="13">
        <v>20281212</v>
      </c>
      <c r="Z37" s="13">
        <v>20291212</v>
      </c>
      <c r="AA37" s="13">
        <v>20291214</v>
      </c>
      <c r="AB37" s="13">
        <v>3.7135000000000001E-2</v>
      </c>
      <c r="AC37" s="13">
        <v>3.7650763888888887</v>
      </c>
      <c r="AD37" s="13">
        <v>0.83051884497735229</v>
      </c>
      <c r="AG37" s="17">
        <v>46272</v>
      </c>
    </row>
    <row r="38" spans="2:33" x14ac:dyDescent="0.4">
      <c r="R38" s="14">
        <v>14</v>
      </c>
      <c r="S38" s="13">
        <v>20291212</v>
      </c>
      <c r="T38" s="13">
        <v>20301212</v>
      </c>
      <c r="U38" s="13">
        <v>20301216</v>
      </c>
      <c r="V38" s="13">
        <v>3.618654070816156E-2</v>
      </c>
      <c r="W38" s="13">
        <v>3.6689131551330467</v>
      </c>
      <c r="X38" s="13">
        <v>0.80096547686545005</v>
      </c>
      <c r="Y38" s="13">
        <v>20291212</v>
      </c>
      <c r="Z38" s="13">
        <v>20301212</v>
      </c>
      <c r="AA38" s="13">
        <v>20301216</v>
      </c>
      <c r="AB38" s="13">
        <v>3.7135000000000001E-2</v>
      </c>
      <c r="AC38" s="13">
        <v>3.7650763888888887</v>
      </c>
      <c r="AD38" s="13">
        <v>0.80096547686545005</v>
      </c>
      <c r="AG38" s="17">
        <v>46307</v>
      </c>
    </row>
    <row r="39" spans="2:33" x14ac:dyDescent="0.4">
      <c r="R39" s="14">
        <v>15</v>
      </c>
      <c r="S39" s="13">
        <v>20241212</v>
      </c>
      <c r="T39" s="13">
        <v>20251212</v>
      </c>
      <c r="U39" s="13">
        <v>20251216</v>
      </c>
      <c r="V39" s="13">
        <v>4.1305002507134439E-2</v>
      </c>
      <c r="W39" s="13">
        <v>4.1878683097511304</v>
      </c>
      <c r="X39" s="13">
        <v>0.9591640077873117</v>
      </c>
      <c r="Y39" s="13">
        <v>20241212</v>
      </c>
      <c r="Z39" s="13">
        <v>20251212</v>
      </c>
      <c r="AA39" s="13">
        <v>20251216</v>
      </c>
      <c r="AB39" s="13">
        <v>3.7045000000000002E-2</v>
      </c>
      <c r="AC39" s="13">
        <v>3.7559513888888891</v>
      </c>
      <c r="AD39" s="13">
        <v>0.9591640077873117</v>
      </c>
      <c r="AG39" s="17">
        <v>46337</v>
      </c>
    </row>
    <row r="40" spans="2:33" x14ac:dyDescent="0.4">
      <c r="R40" s="14">
        <v>15</v>
      </c>
      <c r="S40" s="13">
        <v>20251212</v>
      </c>
      <c r="T40" s="13">
        <v>20261214</v>
      </c>
      <c r="U40" s="13">
        <v>20261216</v>
      </c>
      <c r="V40" s="13">
        <v>3.7190129898170075E-2</v>
      </c>
      <c r="W40" s="13">
        <v>3.7913271312856711</v>
      </c>
      <c r="X40" s="13">
        <v>0.92432685700342188</v>
      </c>
      <c r="Y40" s="13">
        <v>20251212</v>
      </c>
      <c r="Z40" s="13">
        <v>20261214</v>
      </c>
      <c r="AA40" s="13">
        <v>20261216</v>
      </c>
      <c r="AB40" s="13">
        <v>3.7045000000000002E-2</v>
      </c>
      <c r="AC40" s="13">
        <v>3.7765319444444447</v>
      </c>
      <c r="AD40" s="13">
        <v>0.92432685700342188</v>
      </c>
      <c r="AG40" s="17">
        <v>46352</v>
      </c>
    </row>
    <row r="41" spans="2:33" x14ac:dyDescent="0.4">
      <c r="R41" s="14">
        <v>15</v>
      </c>
      <c r="S41" s="13">
        <v>20261214</v>
      </c>
      <c r="T41" s="13">
        <v>20271213</v>
      </c>
      <c r="U41" s="13">
        <v>20271215</v>
      </c>
      <c r="V41" s="13">
        <v>3.6249844475129522E-2</v>
      </c>
      <c r="W41" s="13">
        <v>3.6652620524853186</v>
      </c>
      <c r="X41" s="13">
        <v>0.89164911714584694</v>
      </c>
      <c r="Y41" s="13">
        <v>20261214</v>
      </c>
      <c r="Z41" s="13">
        <v>20271213</v>
      </c>
      <c r="AA41" s="13">
        <v>20271215</v>
      </c>
      <c r="AB41" s="13">
        <v>3.7045000000000002E-2</v>
      </c>
      <c r="AC41" s="13">
        <v>3.7456611111111111</v>
      </c>
      <c r="AD41" s="13">
        <v>0.89164911714584694</v>
      </c>
      <c r="AG41" s="17">
        <v>46381</v>
      </c>
    </row>
    <row r="42" spans="2:33" x14ac:dyDescent="0.4">
      <c r="R42" s="14">
        <v>15</v>
      </c>
      <c r="S42" s="13">
        <v>20271213</v>
      </c>
      <c r="T42" s="13">
        <v>20281212</v>
      </c>
      <c r="U42" s="13">
        <v>20281214</v>
      </c>
      <c r="V42" s="13">
        <v>3.5667535342730552E-2</v>
      </c>
      <c r="W42" s="13">
        <v>3.6162917778046255</v>
      </c>
      <c r="X42" s="13">
        <v>0.86053093602205988</v>
      </c>
      <c r="Y42" s="13">
        <v>20271213</v>
      </c>
      <c r="Z42" s="13">
        <v>20281212</v>
      </c>
      <c r="AA42" s="13">
        <v>20281214</v>
      </c>
      <c r="AB42" s="13">
        <v>3.7045000000000002E-2</v>
      </c>
      <c r="AC42" s="13">
        <v>3.7559513888888891</v>
      </c>
      <c r="AD42" s="13">
        <v>0.86053093602205988</v>
      </c>
      <c r="AG42" s="17">
        <v>46388</v>
      </c>
    </row>
    <row r="43" spans="2:33" x14ac:dyDescent="0.4">
      <c r="R43" s="14">
        <v>15</v>
      </c>
      <c r="S43" s="13">
        <v>20281212</v>
      </c>
      <c r="T43" s="13">
        <v>20291212</v>
      </c>
      <c r="U43" s="13">
        <v>20291214</v>
      </c>
      <c r="V43" s="13">
        <v>3.5640296597922359E-2</v>
      </c>
      <c r="W43" s="13">
        <v>3.6135300717337948</v>
      </c>
      <c r="X43" s="13">
        <v>0.83051884497735229</v>
      </c>
      <c r="Y43" s="13">
        <v>20281212</v>
      </c>
      <c r="Z43" s="13">
        <v>20291212</v>
      </c>
      <c r="AA43" s="13">
        <v>20291214</v>
      </c>
      <c r="AB43" s="13">
        <v>3.7045000000000002E-2</v>
      </c>
      <c r="AC43" s="13">
        <v>3.7559513888888891</v>
      </c>
      <c r="AD43" s="13">
        <v>0.83051884497735229</v>
      </c>
      <c r="AG43" s="17">
        <v>46405</v>
      </c>
    </row>
    <row r="44" spans="2:33" x14ac:dyDescent="0.4">
      <c r="R44" s="14">
        <v>15</v>
      </c>
      <c r="S44" s="13">
        <v>20291212</v>
      </c>
      <c r="T44" s="13">
        <v>20301212</v>
      </c>
      <c r="U44" s="13">
        <v>20301216</v>
      </c>
      <c r="V44" s="13">
        <v>3.618654070816156E-2</v>
      </c>
      <c r="W44" s="13">
        <v>3.6689131551330467</v>
      </c>
      <c r="X44" s="13">
        <v>0.80096547686545005</v>
      </c>
      <c r="Y44" s="13">
        <v>20291212</v>
      </c>
      <c r="Z44" s="13">
        <v>20301212</v>
      </c>
      <c r="AA44" s="13">
        <v>20301216</v>
      </c>
      <c r="AB44" s="13">
        <v>3.7045000000000002E-2</v>
      </c>
      <c r="AC44" s="13">
        <v>3.7559513888888891</v>
      </c>
      <c r="AD44" s="13">
        <v>0.80096547686545005</v>
      </c>
      <c r="AG44" s="17">
        <v>46433</v>
      </c>
    </row>
    <row r="45" spans="2:33" x14ac:dyDescent="0.4">
      <c r="R45" s="14">
        <v>15</v>
      </c>
      <c r="S45" s="13">
        <v>20301212</v>
      </c>
      <c r="T45" s="13">
        <v>20311212</v>
      </c>
      <c r="U45" s="13">
        <v>20311216</v>
      </c>
      <c r="V45" s="13">
        <v>3.6430977521579304E-2</v>
      </c>
      <c r="W45" s="13">
        <v>3.6936963320490124</v>
      </c>
      <c r="X45" s="13">
        <v>0.77243138832952019</v>
      </c>
      <c r="Y45" s="13">
        <v>20301212</v>
      </c>
      <c r="Z45" s="13">
        <v>20311212</v>
      </c>
      <c r="AA45" s="13">
        <v>20311216</v>
      </c>
      <c r="AB45" s="13">
        <v>3.7045000000000002E-2</v>
      </c>
      <c r="AC45" s="13">
        <v>3.7559513888888891</v>
      </c>
      <c r="AD45" s="13">
        <v>0.77243138832952019</v>
      </c>
      <c r="AG45" s="17">
        <v>46538</v>
      </c>
    </row>
    <row r="46" spans="2:33" x14ac:dyDescent="0.4">
      <c r="R46" s="14">
        <v>16</v>
      </c>
      <c r="S46" s="13">
        <v>20241212</v>
      </c>
      <c r="T46" s="13">
        <v>20251212</v>
      </c>
      <c r="U46" s="13">
        <v>20251216</v>
      </c>
      <c r="V46" s="13">
        <v>4.1305002507134439E-2</v>
      </c>
      <c r="W46" s="13">
        <v>4.1878683097511304</v>
      </c>
      <c r="X46" s="13">
        <v>0.9591640077873117</v>
      </c>
      <c r="Y46" s="13">
        <v>20241212</v>
      </c>
      <c r="Z46" s="13">
        <v>20251212</v>
      </c>
      <c r="AA46" s="13">
        <v>20251216</v>
      </c>
      <c r="AB46" s="13">
        <v>3.7025000000000002E-2</v>
      </c>
      <c r="AC46" s="13">
        <v>3.7539236111111109</v>
      </c>
      <c r="AD46" s="13">
        <v>0.9591640077873117</v>
      </c>
      <c r="AG46" s="17">
        <v>46556</v>
      </c>
    </row>
    <row r="47" spans="2:33" x14ac:dyDescent="0.4">
      <c r="R47" s="14">
        <v>16</v>
      </c>
      <c r="S47" s="13">
        <v>20251212</v>
      </c>
      <c r="T47" s="13">
        <v>20261214</v>
      </c>
      <c r="U47" s="13">
        <v>20261216</v>
      </c>
      <c r="V47" s="13">
        <v>3.7190129898170075E-2</v>
      </c>
      <c r="W47" s="13">
        <v>3.7913271312856711</v>
      </c>
      <c r="X47" s="13">
        <v>0.92432685700342188</v>
      </c>
      <c r="Y47" s="13">
        <v>20251212</v>
      </c>
      <c r="Z47" s="13">
        <v>20261214</v>
      </c>
      <c r="AA47" s="13">
        <v>20261216</v>
      </c>
      <c r="AB47" s="13">
        <v>3.7025000000000002E-2</v>
      </c>
      <c r="AC47" s="13">
        <v>3.7744930555555554</v>
      </c>
      <c r="AD47" s="13">
        <v>0.92432685700342188</v>
      </c>
      <c r="AG47" s="17">
        <v>46573</v>
      </c>
    </row>
    <row r="48" spans="2:33" x14ac:dyDescent="0.4">
      <c r="R48" s="14">
        <v>16</v>
      </c>
      <c r="S48" s="13">
        <v>20261214</v>
      </c>
      <c r="T48" s="13">
        <v>20271213</v>
      </c>
      <c r="U48" s="13">
        <v>20271215</v>
      </c>
      <c r="V48" s="13">
        <v>3.6249844475129522E-2</v>
      </c>
      <c r="W48" s="13">
        <v>3.6652620524853186</v>
      </c>
      <c r="X48" s="13">
        <v>0.89164911714584694</v>
      </c>
      <c r="Y48" s="13">
        <v>20261214</v>
      </c>
      <c r="Z48" s="13">
        <v>20271213</v>
      </c>
      <c r="AA48" s="13">
        <v>20271215</v>
      </c>
      <c r="AB48" s="13">
        <v>3.7025000000000002E-2</v>
      </c>
      <c r="AC48" s="13">
        <v>3.743638888888889</v>
      </c>
      <c r="AD48" s="13">
        <v>0.89164911714584694</v>
      </c>
      <c r="AG48" s="17">
        <v>46636</v>
      </c>
    </row>
    <row r="49" spans="18:33" x14ac:dyDescent="0.4">
      <c r="R49" s="14">
        <v>16</v>
      </c>
      <c r="S49" s="13">
        <v>20271213</v>
      </c>
      <c r="T49" s="13">
        <v>20281212</v>
      </c>
      <c r="U49" s="13">
        <v>20281214</v>
      </c>
      <c r="V49" s="13">
        <v>3.5667535342730552E-2</v>
      </c>
      <c r="W49" s="13">
        <v>3.6162917778046255</v>
      </c>
      <c r="X49" s="13">
        <v>0.86053093602205988</v>
      </c>
      <c r="Y49" s="13">
        <v>20271213</v>
      </c>
      <c r="Z49" s="13">
        <v>20281212</v>
      </c>
      <c r="AA49" s="13">
        <v>20281214</v>
      </c>
      <c r="AB49" s="13">
        <v>3.7025000000000002E-2</v>
      </c>
      <c r="AC49" s="13">
        <v>3.7539236111111109</v>
      </c>
      <c r="AD49" s="13">
        <v>0.86053093602205988</v>
      </c>
      <c r="AG49" s="17">
        <v>46671</v>
      </c>
    </row>
    <row r="50" spans="18:33" x14ac:dyDescent="0.4">
      <c r="R50" s="14">
        <v>16</v>
      </c>
      <c r="S50" s="13">
        <v>20281212</v>
      </c>
      <c r="T50" s="13">
        <v>20291212</v>
      </c>
      <c r="U50" s="13">
        <v>20291214</v>
      </c>
      <c r="V50" s="13">
        <v>3.5640296597922359E-2</v>
      </c>
      <c r="W50" s="13">
        <v>3.6135300717337948</v>
      </c>
      <c r="X50" s="13">
        <v>0.83051884497735229</v>
      </c>
      <c r="Y50" s="13">
        <v>20281212</v>
      </c>
      <c r="Z50" s="13">
        <v>20291212</v>
      </c>
      <c r="AA50" s="13">
        <v>20291214</v>
      </c>
      <c r="AB50" s="13">
        <v>3.7025000000000002E-2</v>
      </c>
      <c r="AC50" s="13">
        <v>3.7539236111111109</v>
      </c>
      <c r="AD50" s="13">
        <v>0.83051884497735229</v>
      </c>
      <c r="AG50" s="17">
        <v>46702</v>
      </c>
    </row>
    <row r="51" spans="18:33" x14ac:dyDescent="0.4">
      <c r="R51" s="14">
        <v>16</v>
      </c>
      <c r="S51" s="13">
        <v>20291212</v>
      </c>
      <c r="T51" s="13">
        <v>20301212</v>
      </c>
      <c r="U51" s="13">
        <v>20301216</v>
      </c>
      <c r="V51" s="13">
        <v>3.618654070816156E-2</v>
      </c>
      <c r="W51" s="13">
        <v>3.6689131551330467</v>
      </c>
      <c r="X51" s="13">
        <v>0.80096547686545005</v>
      </c>
      <c r="Y51" s="13">
        <v>20291212</v>
      </c>
      <c r="Z51" s="13">
        <v>20301212</v>
      </c>
      <c r="AA51" s="13">
        <v>20301216</v>
      </c>
      <c r="AB51" s="13">
        <v>3.7025000000000002E-2</v>
      </c>
      <c r="AC51" s="13">
        <v>3.7539236111111109</v>
      </c>
      <c r="AD51" s="13">
        <v>0.80096547686545005</v>
      </c>
      <c r="AG51" s="17">
        <v>46716</v>
      </c>
    </row>
    <row r="52" spans="18:33" x14ac:dyDescent="0.4">
      <c r="R52" s="14">
        <v>16</v>
      </c>
      <c r="S52" s="13">
        <v>20301212</v>
      </c>
      <c r="T52" s="13">
        <v>20311212</v>
      </c>
      <c r="U52" s="13">
        <v>20311216</v>
      </c>
      <c r="V52" s="13">
        <v>3.6430977521579304E-2</v>
      </c>
      <c r="W52" s="13">
        <v>3.6936963320490124</v>
      </c>
      <c r="X52" s="13">
        <v>0.77243138832952019</v>
      </c>
      <c r="Y52" s="13">
        <v>20301212</v>
      </c>
      <c r="Z52" s="13">
        <v>20311212</v>
      </c>
      <c r="AA52" s="13">
        <v>20311216</v>
      </c>
      <c r="AB52" s="13">
        <v>3.7025000000000002E-2</v>
      </c>
      <c r="AC52" s="13">
        <v>3.7539236111111109</v>
      </c>
      <c r="AD52" s="13">
        <v>0.77243138832952019</v>
      </c>
      <c r="AG52" s="17">
        <v>46745</v>
      </c>
    </row>
    <row r="53" spans="18:33" x14ac:dyDescent="0.4">
      <c r="R53" s="14">
        <v>16</v>
      </c>
      <c r="S53" s="13">
        <v>20311212</v>
      </c>
      <c r="T53" s="13">
        <v>20321213</v>
      </c>
      <c r="U53" s="13">
        <v>20321215</v>
      </c>
      <c r="V53" s="13">
        <v>3.6863607227084962E-2</v>
      </c>
      <c r="W53" s="13">
        <v>3.7580399589833835</v>
      </c>
      <c r="X53" s="13">
        <v>0.74460011838752405</v>
      </c>
      <c r="Y53" s="13">
        <v>20311212</v>
      </c>
      <c r="Z53" s="13">
        <v>20321213</v>
      </c>
      <c r="AA53" s="13">
        <v>20321215</v>
      </c>
      <c r="AB53" s="13">
        <v>3.7025000000000002E-2</v>
      </c>
      <c r="AC53" s="13">
        <v>3.7744930555555554</v>
      </c>
      <c r="AD53" s="13">
        <v>0.74460011838752405</v>
      </c>
      <c r="AG53" s="17">
        <v>46753</v>
      </c>
    </row>
    <row r="54" spans="18:33" x14ac:dyDescent="0.4">
      <c r="R54" s="14">
        <v>17</v>
      </c>
      <c r="S54" s="13">
        <v>20241212</v>
      </c>
      <c r="T54" s="13">
        <v>20251212</v>
      </c>
      <c r="U54" s="13">
        <v>20251216</v>
      </c>
      <c r="V54" s="13">
        <v>4.1305002507134439E-2</v>
      </c>
      <c r="W54" s="13">
        <v>4.1878683097511304</v>
      </c>
      <c r="X54" s="13">
        <v>0.9591640077873117</v>
      </c>
      <c r="Y54" s="13">
        <v>20241212</v>
      </c>
      <c r="Z54" s="13">
        <v>20251212</v>
      </c>
      <c r="AA54" s="13">
        <v>20251216</v>
      </c>
      <c r="AB54" s="13">
        <v>3.7045000000000002E-2</v>
      </c>
      <c r="AC54" s="13">
        <v>3.7559513888888891</v>
      </c>
      <c r="AD54" s="13">
        <v>0.9591640077873117</v>
      </c>
      <c r="AG54" s="17">
        <v>46769</v>
      </c>
    </row>
    <row r="55" spans="18:33" x14ac:dyDescent="0.4">
      <c r="R55" s="14">
        <v>17</v>
      </c>
      <c r="S55" s="13">
        <v>20251212</v>
      </c>
      <c r="T55" s="13">
        <v>20261214</v>
      </c>
      <c r="U55" s="13">
        <v>20261216</v>
      </c>
      <c r="V55" s="13">
        <v>3.7190129898170075E-2</v>
      </c>
      <c r="W55" s="13">
        <v>3.7913271312856711</v>
      </c>
      <c r="X55" s="13">
        <v>0.92432685700342188</v>
      </c>
      <c r="Y55" s="13">
        <v>20251212</v>
      </c>
      <c r="Z55" s="13">
        <v>20261214</v>
      </c>
      <c r="AA55" s="13">
        <v>20261216</v>
      </c>
      <c r="AB55" s="13">
        <v>3.7045000000000002E-2</v>
      </c>
      <c r="AC55" s="13">
        <v>3.7765319444444447</v>
      </c>
      <c r="AD55" s="13">
        <v>0.92432685700342188</v>
      </c>
      <c r="AG55" s="17">
        <v>46804</v>
      </c>
    </row>
    <row r="56" spans="18:33" x14ac:dyDescent="0.4">
      <c r="R56" s="14">
        <v>17</v>
      </c>
      <c r="S56" s="13">
        <v>20261214</v>
      </c>
      <c r="T56" s="13">
        <v>20271213</v>
      </c>
      <c r="U56" s="13">
        <v>20271215</v>
      </c>
      <c r="V56" s="13">
        <v>3.6249844475129522E-2</v>
      </c>
      <c r="W56" s="13">
        <v>3.6652620524853186</v>
      </c>
      <c r="X56" s="13">
        <v>0.89164911714584694</v>
      </c>
      <c r="Y56" s="13">
        <v>20261214</v>
      </c>
      <c r="Z56" s="13">
        <v>20271213</v>
      </c>
      <c r="AA56" s="13">
        <v>20271215</v>
      </c>
      <c r="AB56" s="13">
        <v>3.7045000000000002E-2</v>
      </c>
      <c r="AC56" s="13">
        <v>3.7456611111111111</v>
      </c>
      <c r="AD56" s="13">
        <v>0.89164911714584694</v>
      </c>
      <c r="AG56" s="17">
        <v>46902</v>
      </c>
    </row>
    <row r="57" spans="18:33" x14ac:dyDescent="0.4">
      <c r="R57" s="14">
        <v>17</v>
      </c>
      <c r="S57" s="13">
        <v>20271213</v>
      </c>
      <c r="T57" s="13">
        <v>20281212</v>
      </c>
      <c r="U57" s="13">
        <v>20281214</v>
      </c>
      <c r="V57" s="13">
        <v>3.5667535342730552E-2</v>
      </c>
      <c r="W57" s="13">
        <v>3.6162917778046255</v>
      </c>
      <c r="X57" s="13">
        <v>0.86053093602205988</v>
      </c>
      <c r="Y57" s="13">
        <v>20271213</v>
      </c>
      <c r="Z57" s="13">
        <v>20281212</v>
      </c>
      <c r="AA57" s="13">
        <v>20281214</v>
      </c>
      <c r="AB57" s="13">
        <v>3.7045000000000002E-2</v>
      </c>
      <c r="AC57" s="13">
        <v>3.7559513888888891</v>
      </c>
      <c r="AD57" s="13">
        <v>0.86053093602205988</v>
      </c>
      <c r="AG57" s="17">
        <v>46923</v>
      </c>
    </row>
    <row r="58" spans="18:33" x14ac:dyDescent="0.4">
      <c r="R58" s="14">
        <v>17</v>
      </c>
      <c r="S58" s="13">
        <v>20281212</v>
      </c>
      <c r="T58" s="13">
        <v>20291212</v>
      </c>
      <c r="U58" s="13">
        <v>20291214</v>
      </c>
      <c r="V58" s="13">
        <v>3.5640296597922359E-2</v>
      </c>
      <c r="W58" s="13">
        <v>3.6135300717337948</v>
      </c>
      <c r="X58" s="13">
        <v>0.83051884497735229</v>
      </c>
      <c r="Y58" s="13">
        <v>20281212</v>
      </c>
      <c r="Z58" s="13">
        <v>20291212</v>
      </c>
      <c r="AA58" s="13">
        <v>20291214</v>
      </c>
      <c r="AB58" s="13">
        <v>3.7045000000000002E-2</v>
      </c>
      <c r="AC58" s="13">
        <v>3.7559513888888891</v>
      </c>
      <c r="AD58" s="13">
        <v>0.83051884497735229</v>
      </c>
      <c r="AG58" s="17">
        <v>46938</v>
      </c>
    </row>
    <row r="59" spans="18:33" x14ac:dyDescent="0.4">
      <c r="R59" s="14">
        <v>17</v>
      </c>
      <c r="S59" s="13">
        <v>20291212</v>
      </c>
      <c r="T59" s="13">
        <v>20301212</v>
      </c>
      <c r="U59" s="13">
        <v>20301216</v>
      </c>
      <c r="V59" s="13">
        <v>3.618654070816156E-2</v>
      </c>
      <c r="W59" s="13">
        <v>3.6689131551330467</v>
      </c>
      <c r="X59" s="13">
        <v>0.80096547686545005</v>
      </c>
      <c r="Y59" s="13">
        <v>20291212</v>
      </c>
      <c r="Z59" s="13">
        <v>20301212</v>
      </c>
      <c r="AA59" s="13">
        <v>20301216</v>
      </c>
      <c r="AB59" s="13">
        <v>3.7045000000000002E-2</v>
      </c>
      <c r="AC59" s="13">
        <v>3.7559513888888891</v>
      </c>
      <c r="AD59" s="13">
        <v>0.80096547686545005</v>
      </c>
      <c r="AG59" s="17">
        <v>47000</v>
      </c>
    </row>
    <row r="60" spans="18:33" x14ac:dyDescent="0.4">
      <c r="R60" s="14">
        <v>17</v>
      </c>
      <c r="S60" s="13">
        <v>20301212</v>
      </c>
      <c r="T60" s="13">
        <v>20311212</v>
      </c>
      <c r="U60" s="13">
        <v>20311216</v>
      </c>
      <c r="V60" s="13">
        <v>3.6430977521579304E-2</v>
      </c>
      <c r="W60" s="13">
        <v>3.6936963320490124</v>
      </c>
      <c r="X60" s="13">
        <v>0.77243138832952019</v>
      </c>
      <c r="Y60" s="13">
        <v>20301212</v>
      </c>
      <c r="Z60" s="13">
        <v>20311212</v>
      </c>
      <c r="AA60" s="13">
        <v>20311216</v>
      </c>
      <c r="AB60" s="13">
        <v>3.7045000000000002E-2</v>
      </c>
      <c r="AC60" s="13">
        <v>3.7559513888888891</v>
      </c>
      <c r="AD60" s="13">
        <v>0.77243138832952019</v>
      </c>
      <c r="AG60" s="17">
        <v>47035</v>
      </c>
    </row>
    <row r="61" spans="18:33" x14ac:dyDescent="0.4">
      <c r="R61" s="14">
        <v>17</v>
      </c>
      <c r="S61" s="13">
        <v>20311212</v>
      </c>
      <c r="T61" s="13">
        <v>20321213</v>
      </c>
      <c r="U61" s="13">
        <v>20321215</v>
      </c>
      <c r="V61" s="13">
        <v>3.6863607227084962E-2</v>
      </c>
      <c r="W61" s="13">
        <v>3.7580399589833835</v>
      </c>
      <c r="X61" s="13">
        <v>0.74460011838752405</v>
      </c>
      <c r="Y61" s="13">
        <v>20311212</v>
      </c>
      <c r="Z61" s="13">
        <v>20321213</v>
      </c>
      <c r="AA61" s="13">
        <v>20321215</v>
      </c>
      <c r="AB61" s="13">
        <v>3.7045000000000002E-2</v>
      </c>
      <c r="AC61" s="13">
        <v>3.7765319444444447</v>
      </c>
      <c r="AD61" s="13">
        <v>0.74460011838752405</v>
      </c>
      <c r="AG61" s="17">
        <v>47067</v>
      </c>
    </row>
    <row r="62" spans="18:33" x14ac:dyDescent="0.4">
      <c r="R62" s="14">
        <v>17</v>
      </c>
      <c r="S62" s="13">
        <v>20321213</v>
      </c>
      <c r="T62" s="13">
        <v>20331212</v>
      </c>
      <c r="U62" s="13">
        <v>20331214</v>
      </c>
      <c r="V62" s="13">
        <v>3.7234777829027323E-2</v>
      </c>
      <c r="W62" s="13">
        <v>3.7648497582683182</v>
      </c>
      <c r="X62" s="13">
        <v>0.7175825502145613</v>
      </c>
      <c r="Y62" s="13">
        <v>20321213</v>
      </c>
      <c r="Z62" s="13">
        <v>20331212</v>
      </c>
      <c r="AA62" s="13">
        <v>20331214</v>
      </c>
      <c r="AB62" s="13">
        <v>3.7045000000000002E-2</v>
      </c>
      <c r="AC62" s="13">
        <v>3.7456611111111111</v>
      </c>
      <c r="AD62" s="13">
        <v>0.7175825502145613</v>
      </c>
      <c r="AG62" s="17">
        <v>47080</v>
      </c>
    </row>
    <row r="63" spans="18:33" x14ac:dyDescent="0.4">
      <c r="R63" s="14">
        <v>18</v>
      </c>
      <c r="S63" s="13">
        <v>20241212</v>
      </c>
      <c r="T63" s="13">
        <v>20251212</v>
      </c>
      <c r="U63" s="13">
        <v>20251216</v>
      </c>
      <c r="V63" s="13">
        <v>4.1305002507134439E-2</v>
      </c>
      <c r="W63" s="13">
        <v>4.1878683097511304</v>
      </c>
      <c r="X63" s="13">
        <v>0.9591640077873117</v>
      </c>
      <c r="Y63" s="13">
        <v>20241212</v>
      </c>
      <c r="Z63" s="13">
        <v>20251212</v>
      </c>
      <c r="AA63" s="13">
        <v>20251216</v>
      </c>
      <c r="AB63" s="13">
        <v>3.7104999999999999E-2</v>
      </c>
      <c r="AC63" s="13">
        <v>3.7620347222222219</v>
      </c>
      <c r="AD63" s="13">
        <v>0.9591640077873117</v>
      </c>
      <c r="AG63" s="17">
        <v>47112</v>
      </c>
    </row>
    <row r="64" spans="18:33" x14ac:dyDescent="0.4">
      <c r="R64" s="14">
        <v>18</v>
      </c>
      <c r="S64" s="13">
        <v>20251212</v>
      </c>
      <c r="T64" s="13">
        <v>20261214</v>
      </c>
      <c r="U64" s="13">
        <v>20261216</v>
      </c>
      <c r="V64" s="13">
        <v>3.7190129898170075E-2</v>
      </c>
      <c r="W64" s="13">
        <v>3.7913271312856711</v>
      </c>
      <c r="X64" s="13">
        <v>0.92432685700342188</v>
      </c>
      <c r="Y64" s="13">
        <v>20251212</v>
      </c>
      <c r="Z64" s="13">
        <v>20261214</v>
      </c>
      <c r="AA64" s="13">
        <v>20261216</v>
      </c>
      <c r="AB64" s="13">
        <v>3.7104999999999999E-2</v>
      </c>
      <c r="AC64" s="13">
        <v>3.7826486111111106</v>
      </c>
      <c r="AD64" s="13">
        <v>0.92432685700342188</v>
      </c>
      <c r="AG64" s="17">
        <v>47119</v>
      </c>
    </row>
    <row r="65" spans="18:33" x14ac:dyDescent="0.4">
      <c r="R65" s="14">
        <v>18</v>
      </c>
      <c r="S65" s="13">
        <v>20261214</v>
      </c>
      <c r="T65" s="13">
        <v>20271213</v>
      </c>
      <c r="U65" s="13">
        <v>20271215</v>
      </c>
      <c r="V65" s="13">
        <v>3.6249844475129522E-2</v>
      </c>
      <c r="W65" s="13">
        <v>3.6652620524853186</v>
      </c>
      <c r="X65" s="13">
        <v>0.89164911714584694</v>
      </c>
      <c r="Y65" s="13">
        <v>20261214</v>
      </c>
      <c r="Z65" s="13">
        <v>20271213</v>
      </c>
      <c r="AA65" s="13">
        <v>20271215</v>
      </c>
      <c r="AB65" s="13">
        <v>3.7104999999999999E-2</v>
      </c>
      <c r="AC65" s="13">
        <v>3.7517277777777771</v>
      </c>
      <c r="AD65" s="13">
        <v>0.89164911714584694</v>
      </c>
      <c r="AG65" s="17">
        <v>47133</v>
      </c>
    </row>
    <row r="66" spans="18:33" x14ac:dyDescent="0.4">
      <c r="R66" s="14">
        <v>18</v>
      </c>
      <c r="S66" s="13">
        <v>20271213</v>
      </c>
      <c r="T66" s="13">
        <v>20281212</v>
      </c>
      <c r="U66" s="13">
        <v>20281214</v>
      </c>
      <c r="V66" s="13">
        <v>3.5667535342730552E-2</v>
      </c>
      <c r="W66" s="13">
        <v>3.6162917778046255</v>
      </c>
      <c r="X66" s="13">
        <v>0.86053093602205988</v>
      </c>
      <c r="Y66" s="13">
        <v>20271213</v>
      </c>
      <c r="Z66" s="13">
        <v>20281212</v>
      </c>
      <c r="AA66" s="13">
        <v>20281214</v>
      </c>
      <c r="AB66" s="13">
        <v>3.7104999999999999E-2</v>
      </c>
      <c r="AC66" s="13">
        <v>3.7620347222222219</v>
      </c>
      <c r="AD66" s="13">
        <v>0.86053093602205988</v>
      </c>
      <c r="AG66" s="17">
        <v>47168</v>
      </c>
    </row>
    <row r="67" spans="18:33" x14ac:dyDescent="0.4">
      <c r="R67" s="14">
        <v>18</v>
      </c>
      <c r="S67" s="13">
        <v>20281212</v>
      </c>
      <c r="T67" s="13">
        <v>20291212</v>
      </c>
      <c r="U67" s="13">
        <v>20291214</v>
      </c>
      <c r="V67" s="13">
        <v>3.5640296597922359E-2</v>
      </c>
      <c r="W67" s="13">
        <v>3.6135300717337948</v>
      </c>
      <c r="X67" s="13">
        <v>0.83051884497735229</v>
      </c>
      <c r="Y67" s="13">
        <v>20281212</v>
      </c>
      <c r="Z67" s="13">
        <v>20291212</v>
      </c>
      <c r="AA67" s="13">
        <v>20291214</v>
      </c>
      <c r="AB67" s="13">
        <v>3.7104999999999999E-2</v>
      </c>
      <c r="AC67" s="13">
        <v>3.7620347222222219</v>
      </c>
      <c r="AD67" s="13">
        <v>0.83051884497735229</v>
      </c>
      <c r="AG67" s="17">
        <v>47266</v>
      </c>
    </row>
    <row r="68" spans="18:33" x14ac:dyDescent="0.4">
      <c r="R68" s="14">
        <v>18</v>
      </c>
      <c r="S68" s="13">
        <v>20291212</v>
      </c>
      <c r="T68" s="13">
        <v>20301212</v>
      </c>
      <c r="U68" s="13">
        <v>20301216</v>
      </c>
      <c r="V68" s="13">
        <v>3.618654070816156E-2</v>
      </c>
      <c r="W68" s="13">
        <v>3.6689131551330467</v>
      </c>
      <c r="X68" s="13">
        <v>0.80096547686545005</v>
      </c>
      <c r="Y68" s="13">
        <v>20291212</v>
      </c>
      <c r="Z68" s="13">
        <v>20301212</v>
      </c>
      <c r="AA68" s="13">
        <v>20301216</v>
      </c>
      <c r="AB68" s="13">
        <v>3.7104999999999999E-2</v>
      </c>
      <c r="AC68" s="13">
        <v>3.7620347222222219</v>
      </c>
      <c r="AD68" s="13">
        <v>0.80096547686545005</v>
      </c>
      <c r="AG68" s="17">
        <v>47288</v>
      </c>
    </row>
    <row r="69" spans="18:33" x14ac:dyDescent="0.4">
      <c r="R69" s="14">
        <v>18</v>
      </c>
      <c r="S69" s="13">
        <v>20301212</v>
      </c>
      <c r="T69" s="13">
        <v>20311212</v>
      </c>
      <c r="U69" s="13">
        <v>20311216</v>
      </c>
      <c r="V69" s="13">
        <v>3.6430977521579304E-2</v>
      </c>
      <c r="W69" s="13">
        <v>3.6936963320490124</v>
      </c>
      <c r="X69" s="13">
        <v>0.77243138832952019</v>
      </c>
      <c r="Y69" s="13">
        <v>20301212</v>
      </c>
      <c r="Z69" s="13">
        <v>20311212</v>
      </c>
      <c r="AA69" s="13">
        <v>20311216</v>
      </c>
      <c r="AB69" s="13">
        <v>3.7104999999999999E-2</v>
      </c>
      <c r="AC69" s="13">
        <v>3.7620347222222219</v>
      </c>
      <c r="AD69" s="13">
        <v>0.77243138832952019</v>
      </c>
      <c r="AG69" s="17">
        <v>47303</v>
      </c>
    </row>
    <row r="70" spans="18:33" x14ac:dyDescent="0.4">
      <c r="R70" s="14">
        <v>18</v>
      </c>
      <c r="S70" s="13">
        <v>20311212</v>
      </c>
      <c r="T70" s="13">
        <v>20321213</v>
      </c>
      <c r="U70" s="13">
        <v>20321215</v>
      </c>
      <c r="V70" s="13">
        <v>3.6863607227084962E-2</v>
      </c>
      <c r="W70" s="13">
        <v>3.7580399589833835</v>
      </c>
      <c r="X70" s="13">
        <v>0.74460011838752405</v>
      </c>
      <c r="Y70" s="13">
        <v>20311212</v>
      </c>
      <c r="Z70" s="13">
        <v>20321213</v>
      </c>
      <c r="AA70" s="13">
        <v>20321215</v>
      </c>
      <c r="AB70" s="13">
        <v>3.7104999999999999E-2</v>
      </c>
      <c r="AC70" s="13">
        <v>3.7826486111111106</v>
      </c>
      <c r="AD70" s="13">
        <v>0.74460011838752405</v>
      </c>
      <c r="AG70" s="17">
        <v>47364</v>
      </c>
    </row>
    <row r="71" spans="18:33" x14ac:dyDescent="0.4">
      <c r="R71" s="14">
        <v>18</v>
      </c>
      <c r="S71" s="13">
        <v>20321213</v>
      </c>
      <c r="T71" s="13">
        <v>20331212</v>
      </c>
      <c r="U71" s="13">
        <v>20331214</v>
      </c>
      <c r="V71" s="13">
        <v>3.7234777829027323E-2</v>
      </c>
      <c r="W71" s="13">
        <v>3.7648497582683182</v>
      </c>
      <c r="X71" s="13">
        <v>0.7175825502145613</v>
      </c>
      <c r="Y71" s="13">
        <v>20321213</v>
      </c>
      <c r="Z71" s="13">
        <v>20331212</v>
      </c>
      <c r="AA71" s="13">
        <v>20331214</v>
      </c>
      <c r="AB71" s="13">
        <v>3.7104999999999999E-2</v>
      </c>
      <c r="AC71" s="13">
        <v>3.7517277777777771</v>
      </c>
      <c r="AD71" s="13">
        <v>0.7175825502145613</v>
      </c>
      <c r="AG71" s="17">
        <v>47399</v>
      </c>
    </row>
    <row r="72" spans="18:33" x14ac:dyDescent="0.4">
      <c r="R72" s="14">
        <v>18</v>
      </c>
      <c r="S72" s="13">
        <v>20331212</v>
      </c>
      <c r="T72" s="13">
        <v>20341212</v>
      </c>
      <c r="U72" s="13">
        <v>20341214</v>
      </c>
      <c r="V72" s="13">
        <v>3.7756671073764299E-2</v>
      </c>
      <c r="W72" s="13">
        <v>3.8281069283122138</v>
      </c>
      <c r="X72" s="13">
        <v>0.69112343183170022</v>
      </c>
      <c r="Y72" s="13">
        <v>20331212</v>
      </c>
      <c r="Z72" s="13">
        <v>20341212</v>
      </c>
      <c r="AA72" s="13">
        <v>20341214</v>
      </c>
      <c r="AB72" s="13">
        <v>3.7104999999999999E-2</v>
      </c>
      <c r="AC72" s="13">
        <v>3.7620347222222219</v>
      </c>
      <c r="AD72" s="13">
        <v>0.69112343183170022</v>
      </c>
      <c r="AG72" s="17">
        <v>47434</v>
      </c>
    </row>
    <row r="73" spans="18:33" x14ac:dyDescent="0.4">
      <c r="R73" s="14">
        <v>19</v>
      </c>
      <c r="S73" s="13">
        <v>20241212</v>
      </c>
      <c r="T73" s="13">
        <v>20251212</v>
      </c>
      <c r="U73" s="13">
        <v>20251216</v>
      </c>
      <c r="V73" s="13">
        <v>4.1305002507134439E-2</v>
      </c>
      <c r="W73" s="13">
        <v>4.1878683097511304</v>
      </c>
      <c r="X73" s="13">
        <v>0.9591640077873117</v>
      </c>
      <c r="Y73" s="13">
        <v>20241212</v>
      </c>
      <c r="Z73" s="13">
        <v>20251212</v>
      </c>
      <c r="AA73" s="13">
        <v>20251216</v>
      </c>
      <c r="AB73" s="13">
        <v>3.7295000000000002E-2</v>
      </c>
      <c r="AC73" s="13">
        <v>3.7812986111111111</v>
      </c>
      <c r="AD73" s="13">
        <v>0.9591640077873117</v>
      </c>
      <c r="AG73" s="17">
        <v>47444</v>
      </c>
    </row>
    <row r="74" spans="18:33" x14ac:dyDescent="0.4">
      <c r="R74" s="14">
        <v>19</v>
      </c>
      <c r="S74" s="13">
        <v>20251212</v>
      </c>
      <c r="T74" s="13">
        <v>20261214</v>
      </c>
      <c r="U74" s="13">
        <v>20261216</v>
      </c>
      <c r="V74" s="13">
        <v>3.7190129898170075E-2</v>
      </c>
      <c r="W74" s="13">
        <v>3.7913271312856711</v>
      </c>
      <c r="X74" s="13">
        <v>0.92432685700342188</v>
      </c>
      <c r="Y74" s="13">
        <v>20251212</v>
      </c>
      <c r="Z74" s="13">
        <v>20261214</v>
      </c>
      <c r="AA74" s="13">
        <v>20261216</v>
      </c>
      <c r="AB74" s="13">
        <v>3.7295000000000002E-2</v>
      </c>
      <c r="AC74" s="13">
        <v>3.8020180555555556</v>
      </c>
      <c r="AD74" s="13">
        <v>0.92432685700342188</v>
      </c>
      <c r="AG74" s="17">
        <v>47477</v>
      </c>
    </row>
    <row r="75" spans="18:33" x14ac:dyDescent="0.4">
      <c r="R75" s="14">
        <v>19</v>
      </c>
      <c r="S75" s="13">
        <v>20261214</v>
      </c>
      <c r="T75" s="13">
        <v>20271213</v>
      </c>
      <c r="U75" s="13">
        <v>20271215</v>
      </c>
      <c r="V75" s="13">
        <v>3.6249844475129522E-2</v>
      </c>
      <c r="W75" s="13">
        <v>3.6652620524853186</v>
      </c>
      <c r="X75" s="13">
        <v>0.89164911714584694</v>
      </c>
      <c r="Y75" s="13">
        <v>20261214</v>
      </c>
      <c r="Z75" s="13">
        <v>20271213</v>
      </c>
      <c r="AA75" s="13">
        <v>20271215</v>
      </c>
      <c r="AB75" s="13">
        <v>3.7295000000000002E-2</v>
      </c>
      <c r="AC75" s="13">
        <v>3.7709388888888888</v>
      </c>
      <c r="AD75" s="13">
        <v>0.89164911714584694</v>
      </c>
      <c r="AG75" s="17">
        <v>47484</v>
      </c>
    </row>
    <row r="76" spans="18:33" x14ac:dyDescent="0.4">
      <c r="R76" s="14">
        <v>19</v>
      </c>
      <c r="S76" s="13">
        <v>20271213</v>
      </c>
      <c r="T76" s="13">
        <v>20281212</v>
      </c>
      <c r="U76" s="13">
        <v>20281214</v>
      </c>
      <c r="V76" s="13">
        <v>3.5667535342730552E-2</v>
      </c>
      <c r="W76" s="13">
        <v>3.6162917778046255</v>
      </c>
      <c r="X76" s="13">
        <v>0.86053093602205988</v>
      </c>
      <c r="Y76" s="13">
        <v>20271213</v>
      </c>
      <c r="Z76" s="13">
        <v>20281212</v>
      </c>
      <c r="AA76" s="13">
        <v>20281214</v>
      </c>
      <c r="AB76" s="13">
        <v>3.7295000000000002E-2</v>
      </c>
      <c r="AC76" s="13">
        <v>3.7812986111111111</v>
      </c>
      <c r="AD76" s="13">
        <v>0.86053093602205988</v>
      </c>
      <c r="AG76" s="17">
        <v>47504</v>
      </c>
    </row>
    <row r="77" spans="18:33" x14ac:dyDescent="0.4">
      <c r="R77" s="14">
        <v>19</v>
      </c>
      <c r="S77" s="13">
        <v>20281212</v>
      </c>
      <c r="T77" s="13">
        <v>20291212</v>
      </c>
      <c r="U77" s="13">
        <v>20291214</v>
      </c>
      <c r="V77" s="13">
        <v>3.5640296597922359E-2</v>
      </c>
      <c r="W77" s="13">
        <v>3.6135300717337948</v>
      </c>
      <c r="X77" s="13">
        <v>0.83051884497735229</v>
      </c>
      <c r="Y77" s="13">
        <v>20281212</v>
      </c>
      <c r="Z77" s="13">
        <v>20291212</v>
      </c>
      <c r="AA77" s="13">
        <v>20291214</v>
      </c>
      <c r="AB77" s="13">
        <v>3.7295000000000002E-2</v>
      </c>
      <c r="AC77" s="13">
        <v>3.7812986111111111</v>
      </c>
      <c r="AD77" s="13">
        <v>0.83051884497735229</v>
      </c>
      <c r="AG77" s="17">
        <v>47532</v>
      </c>
    </row>
    <row r="78" spans="18:33" x14ac:dyDescent="0.4">
      <c r="R78" s="14">
        <v>19</v>
      </c>
      <c r="S78" s="13">
        <v>20291212</v>
      </c>
      <c r="T78" s="13">
        <v>20301212</v>
      </c>
      <c r="U78" s="13">
        <v>20301216</v>
      </c>
      <c r="V78" s="13">
        <v>3.618654070816156E-2</v>
      </c>
      <c r="W78" s="13">
        <v>3.6689131551330467</v>
      </c>
      <c r="X78" s="13">
        <v>0.80096547686545005</v>
      </c>
      <c r="Y78" s="13">
        <v>20291212</v>
      </c>
      <c r="Z78" s="13">
        <v>20301212</v>
      </c>
      <c r="AA78" s="13">
        <v>20301216</v>
      </c>
      <c r="AB78" s="13">
        <v>3.7295000000000002E-2</v>
      </c>
      <c r="AC78" s="13">
        <v>3.7812986111111111</v>
      </c>
      <c r="AD78" s="13">
        <v>0.80096547686545005</v>
      </c>
      <c r="AG78" s="17">
        <v>47630</v>
      </c>
    </row>
    <row r="79" spans="18:33" x14ac:dyDescent="0.4">
      <c r="R79" s="14">
        <v>19</v>
      </c>
      <c r="S79" s="13">
        <v>20301212</v>
      </c>
      <c r="T79" s="13">
        <v>20311212</v>
      </c>
      <c r="U79" s="13">
        <v>20311216</v>
      </c>
      <c r="V79" s="13">
        <v>3.6430977521579304E-2</v>
      </c>
      <c r="W79" s="13">
        <v>3.6936963320490124</v>
      </c>
      <c r="X79" s="13">
        <v>0.77243138832952019</v>
      </c>
      <c r="Y79" s="13">
        <v>20301212</v>
      </c>
      <c r="Z79" s="13">
        <v>20311212</v>
      </c>
      <c r="AA79" s="13">
        <v>20311216</v>
      </c>
      <c r="AB79" s="13">
        <v>3.7295000000000002E-2</v>
      </c>
      <c r="AC79" s="13">
        <v>3.7812986111111111</v>
      </c>
      <c r="AD79" s="13">
        <v>0.77243138832952019</v>
      </c>
      <c r="AG79" s="17">
        <v>47653</v>
      </c>
    </row>
    <row r="80" spans="18:33" x14ac:dyDescent="0.4">
      <c r="R80" s="14">
        <v>19</v>
      </c>
      <c r="S80" s="13">
        <v>20311212</v>
      </c>
      <c r="T80" s="13">
        <v>20321213</v>
      </c>
      <c r="U80" s="13">
        <v>20321215</v>
      </c>
      <c r="V80" s="13">
        <v>3.6863607227084962E-2</v>
      </c>
      <c r="W80" s="13">
        <v>3.7580399589833835</v>
      </c>
      <c r="X80" s="13">
        <v>0.74460011838752405</v>
      </c>
      <c r="Y80" s="13">
        <v>20311212</v>
      </c>
      <c r="Z80" s="13">
        <v>20321213</v>
      </c>
      <c r="AA80" s="13">
        <v>20321215</v>
      </c>
      <c r="AB80" s="13">
        <v>3.7295000000000002E-2</v>
      </c>
      <c r="AC80" s="13">
        <v>3.8020180555555556</v>
      </c>
      <c r="AD80" s="13">
        <v>0.74460011838752405</v>
      </c>
      <c r="AG80" s="17">
        <v>47668</v>
      </c>
    </row>
    <row r="81" spans="18:33" x14ac:dyDescent="0.4">
      <c r="R81" s="14">
        <v>19</v>
      </c>
      <c r="S81" s="13">
        <v>20321213</v>
      </c>
      <c r="T81" s="13">
        <v>20331212</v>
      </c>
      <c r="U81" s="13">
        <v>20331214</v>
      </c>
      <c r="V81" s="13">
        <v>3.7234777829027323E-2</v>
      </c>
      <c r="W81" s="13">
        <v>3.7648497582683182</v>
      </c>
      <c r="X81" s="13">
        <v>0.7175825502145613</v>
      </c>
      <c r="Y81" s="13">
        <v>20321213</v>
      </c>
      <c r="Z81" s="13">
        <v>20331212</v>
      </c>
      <c r="AA81" s="13">
        <v>20331214</v>
      </c>
      <c r="AB81" s="13">
        <v>3.7295000000000002E-2</v>
      </c>
      <c r="AC81" s="13">
        <v>3.7709388888888888</v>
      </c>
      <c r="AD81" s="13">
        <v>0.7175825502145613</v>
      </c>
      <c r="AG81" s="17">
        <v>47728</v>
      </c>
    </row>
    <row r="82" spans="18:33" x14ac:dyDescent="0.4">
      <c r="R82" s="14">
        <v>19</v>
      </c>
      <c r="S82" s="13">
        <v>20331212</v>
      </c>
      <c r="T82" s="13">
        <v>20341212</v>
      </c>
      <c r="U82" s="13">
        <v>20341214</v>
      </c>
      <c r="V82" s="13">
        <v>3.7756671073764299E-2</v>
      </c>
      <c r="W82" s="13">
        <v>3.8281069283122138</v>
      </c>
      <c r="X82" s="13">
        <v>0.69112343183170022</v>
      </c>
      <c r="Y82" s="13">
        <v>20331212</v>
      </c>
      <c r="Z82" s="13">
        <v>20341212</v>
      </c>
      <c r="AA82" s="13">
        <v>20341214</v>
      </c>
      <c r="AB82" s="13">
        <v>3.7295000000000002E-2</v>
      </c>
      <c r="AC82" s="13">
        <v>3.7812986111111111</v>
      </c>
      <c r="AD82" s="13">
        <v>0.69112343183170022</v>
      </c>
      <c r="AG82" s="17">
        <v>47770</v>
      </c>
    </row>
    <row r="83" spans="18:33" x14ac:dyDescent="0.4">
      <c r="R83" s="14">
        <v>19</v>
      </c>
      <c r="S83" s="13">
        <v>20341212</v>
      </c>
      <c r="T83" s="13">
        <v>20351212</v>
      </c>
      <c r="U83" s="13">
        <v>20351214</v>
      </c>
      <c r="V83" s="13">
        <v>3.8367248928884545E-2</v>
      </c>
      <c r="W83" s="13">
        <v>3.8900127386230166</v>
      </c>
      <c r="X83" s="13">
        <v>0.66524298415157745</v>
      </c>
      <c r="Y83" s="13">
        <v>20341212</v>
      </c>
      <c r="Z83" s="13">
        <v>20351212</v>
      </c>
      <c r="AA83" s="13">
        <v>20351214</v>
      </c>
      <c r="AB83" s="13">
        <v>3.7295000000000002E-2</v>
      </c>
      <c r="AC83" s="13">
        <v>3.7812986111111111</v>
      </c>
      <c r="AD83" s="13">
        <v>0.66524298415157745</v>
      </c>
      <c r="AG83" s="17">
        <v>47798</v>
      </c>
    </row>
    <row r="84" spans="18:33" x14ac:dyDescent="0.4">
      <c r="R84" s="14">
        <v>19</v>
      </c>
      <c r="S84" s="13">
        <v>20351212</v>
      </c>
      <c r="T84" s="13">
        <v>20361212</v>
      </c>
      <c r="U84" s="13">
        <v>20361216</v>
      </c>
      <c r="V84" s="13">
        <v>3.8610588540386098E-2</v>
      </c>
      <c r="W84" s="13">
        <v>3.925409834939253</v>
      </c>
      <c r="X84" s="13">
        <v>0.63997991334819559</v>
      </c>
      <c r="Y84" s="13">
        <v>20351212</v>
      </c>
      <c r="Z84" s="13">
        <v>20361212</v>
      </c>
      <c r="AA84" s="13">
        <v>20361216</v>
      </c>
      <c r="AB84" s="13">
        <v>3.7295000000000002E-2</v>
      </c>
      <c r="AC84" s="13">
        <v>3.7916583333333334</v>
      </c>
      <c r="AD84" s="13">
        <v>0.63997991334819559</v>
      </c>
      <c r="AG84" s="17">
        <v>47815</v>
      </c>
    </row>
    <row r="85" spans="18:33" x14ac:dyDescent="0.4">
      <c r="R85" s="14">
        <v>20</v>
      </c>
      <c r="S85" s="13">
        <v>20241212</v>
      </c>
      <c r="T85" s="13">
        <v>20251212</v>
      </c>
      <c r="U85" s="13">
        <v>20251216</v>
      </c>
      <c r="V85" s="13">
        <v>4.1305002507134439E-2</v>
      </c>
      <c r="W85" s="13">
        <v>4.1878683097511304</v>
      </c>
      <c r="X85" s="13">
        <v>0.9591640077873117</v>
      </c>
      <c r="Y85" s="13">
        <v>20241212</v>
      </c>
      <c r="Z85" s="13">
        <v>20251212</v>
      </c>
      <c r="AA85" s="13">
        <v>20251216</v>
      </c>
      <c r="AB85" s="13">
        <v>3.7525000000000003E-2</v>
      </c>
      <c r="AC85" s="13">
        <v>3.8046180555555558</v>
      </c>
      <c r="AD85" s="13">
        <v>0.9591640077873117</v>
      </c>
      <c r="AG85" s="17">
        <v>47842</v>
      </c>
    </row>
    <row r="86" spans="18:33" x14ac:dyDescent="0.4">
      <c r="R86" s="14">
        <v>20</v>
      </c>
      <c r="S86" s="13">
        <v>20251212</v>
      </c>
      <c r="T86" s="13">
        <v>20261214</v>
      </c>
      <c r="U86" s="13">
        <v>20261216</v>
      </c>
      <c r="V86" s="13">
        <v>3.7190129898170075E-2</v>
      </c>
      <c r="W86" s="13">
        <v>3.7913271312856711</v>
      </c>
      <c r="X86" s="13">
        <v>0.92432685700342188</v>
      </c>
      <c r="Y86" s="13">
        <v>20251212</v>
      </c>
      <c r="Z86" s="13">
        <v>20261214</v>
      </c>
      <c r="AA86" s="13">
        <v>20261216</v>
      </c>
      <c r="AB86" s="13">
        <v>3.7525000000000003E-2</v>
      </c>
      <c r="AC86" s="13">
        <v>3.825465277777778</v>
      </c>
      <c r="AD86" s="13">
        <v>0.92432685700342188</v>
      </c>
      <c r="AG86" s="17">
        <v>47849</v>
      </c>
    </row>
    <row r="87" spans="18:33" x14ac:dyDescent="0.4">
      <c r="R87" s="14">
        <v>20</v>
      </c>
      <c r="S87" s="13">
        <v>20261214</v>
      </c>
      <c r="T87" s="13">
        <v>20271213</v>
      </c>
      <c r="U87" s="13">
        <v>20271215</v>
      </c>
      <c r="V87" s="13">
        <v>3.6249844475129522E-2</v>
      </c>
      <c r="W87" s="13">
        <v>3.6652620524853186</v>
      </c>
      <c r="X87" s="13">
        <v>0.89164911714584694</v>
      </c>
      <c r="Y87" s="13">
        <v>20261214</v>
      </c>
      <c r="Z87" s="13">
        <v>20271213</v>
      </c>
      <c r="AA87" s="13">
        <v>20271215</v>
      </c>
      <c r="AB87" s="13">
        <v>3.7525000000000003E-2</v>
      </c>
      <c r="AC87" s="13">
        <v>3.7941944444444449</v>
      </c>
      <c r="AD87" s="13">
        <v>0.89164911714584694</v>
      </c>
      <c r="AG87" s="17">
        <v>47868</v>
      </c>
    </row>
    <row r="88" spans="18:33" x14ac:dyDescent="0.4">
      <c r="R88" s="14">
        <v>20</v>
      </c>
      <c r="S88" s="13">
        <v>20271213</v>
      </c>
      <c r="T88" s="13">
        <v>20281212</v>
      </c>
      <c r="U88" s="13">
        <v>20281214</v>
      </c>
      <c r="V88" s="13">
        <v>3.5667535342730552E-2</v>
      </c>
      <c r="W88" s="13">
        <v>3.6162917778046255</v>
      </c>
      <c r="X88" s="13">
        <v>0.86053093602205988</v>
      </c>
      <c r="Y88" s="13">
        <v>20271213</v>
      </c>
      <c r="Z88" s="13">
        <v>20281212</v>
      </c>
      <c r="AA88" s="13">
        <v>20281214</v>
      </c>
      <c r="AB88" s="13">
        <v>3.7525000000000003E-2</v>
      </c>
      <c r="AC88" s="13">
        <v>3.8046180555555558</v>
      </c>
      <c r="AD88" s="13">
        <v>0.86053093602205988</v>
      </c>
      <c r="AG88" s="17">
        <v>47896</v>
      </c>
    </row>
    <row r="89" spans="18:33" x14ac:dyDescent="0.4">
      <c r="R89" s="14">
        <v>20</v>
      </c>
      <c r="S89" s="13">
        <v>20281212</v>
      </c>
      <c r="T89" s="13">
        <v>20291212</v>
      </c>
      <c r="U89" s="13">
        <v>20291214</v>
      </c>
      <c r="V89" s="13">
        <v>3.5640296597922359E-2</v>
      </c>
      <c r="W89" s="13">
        <v>3.6135300717337948</v>
      </c>
      <c r="X89" s="13">
        <v>0.83051884497735229</v>
      </c>
      <c r="Y89" s="13">
        <v>20281212</v>
      </c>
      <c r="Z89" s="13">
        <v>20291212</v>
      </c>
      <c r="AA89" s="13">
        <v>20291214</v>
      </c>
      <c r="AB89" s="13">
        <v>3.7525000000000003E-2</v>
      </c>
      <c r="AC89" s="13">
        <v>3.8046180555555558</v>
      </c>
      <c r="AD89" s="13">
        <v>0.83051884497735229</v>
      </c>
      <c r="AG89" s="17">
        <v>47994</v>
      </c>
    </row>
    <row r="90" spans="18:33" x14ac:dyDescent="0.4">
      <c r="R90" s="14">
        <v>20</v>
      </c>
      <c r="S90" s="13">
        <v>20291212</v>
      </c>
      <c r="T90" s="13">
        <v>20301212</v>
      </c>
      <c r="U90" s="13">
        <v>20301216</v>
      </c>
      <c r="V90" s="13">
        <v>3.618654070816156E-2</v>
      </c>
      <c r="W90" s="13">
        <v>3.6689131551330467</v>
      </c>
      <c r="X90" s="13">
        <v>0.80096547686545005</v>
      </c>
      <c r="Y90" s="13">
        <v>20291212</v>
      </c>
      <c r="Z90" s="13">
        <v>20301212</v>
      </c>
      <c r="AA90" s="13">
        <v>20301216</v>
      </c>
      <c r="AB90" s="13">
        <v>3.7525000000000003E-2</v>
      </c>
      <c r="AC90" s="13">
        <v>3.8046180555555558</v>
      </c>
      <c r="AD90" s="13">
        <v>0.80096547686545005</v>
      </c>
      <c r="AG90" s="17">
        <v>48018</v>
      </c>
    </row>
    <row r="91" spans="18:33" x14ac:dyDescent="0.4">
      <c r="R91" s="14">
        <v>20</v>
      </c>
      <c r="S91" s="13">
        <v>20301212</v>
      </c>
      <c r="T91" s="13">
        <v>20311212</v>
      </c>
      <c r="U91" s="13">
        <v>20311216</v>
      </c>
      <c r="V91" s="13">
        <v>3.6430977521579304E-2</v>
      </c>
      <c r="W91" s="13">
        <v>3.6936963320490124</v>
      </c>
      <c r="X91" s="13">
        <v>0.77243138832952019</v>
      </c>
      <c r="Y91" s="13">
        <v>20301212</v>
      </c>
      <c r="Z91" s="13">
        <v>20311212</v>
      </c>
      <c r="AA91" s="13">
        <v>20311216</v>
      </c>
      <c r="AB91" s="13">
        <v>3.7525000000000003E-2</v>
      </c>
      <c r="AC91" s="13">
        <v>3.8046180555555558</v>
      </c>
      <c r="AD91" s="13">
        <v>0.77243138832952019</v>
      </c>
      <c r="AG91" s="17">
        <v>48033</v>
      </c>
    </row>
    <row r="92" spans="18:33" x14ac:dyDescent="0.4">
      <c r="R92" s="14">
        <v>20</v>
      </c>
      <c r="S92" s="13">
        <v>20311212</v>
      </c>
      <c r="T92" s="13">
        <v>20321213</v>
      </c>
      <c r="U92" s="13">
        <v>20321215</v>
      </c>
      <c r="V92" s="13">
        <v>3.6863607227084962E-2</v>
      </c>
      <c r="W92" s="13">
        <v>3.7580399589833835</v>
      </c>
      <c r="X92" s="13">
        <v>0.74460011838752405</v>
      </c>
      <c r="Y92" s="13">
        <v>20311212</v>
      </c>
      <c r="Z92" s="13">
        <v>20321213</v>
      </c>
      <c r="AA92" s="13">
        <v>20321215</v>
      </c>
      <c r="AB92" s="13">
        <v>3.7525000000000003E-2</v>
      </c>
      <c r="AC92" s="13">
        <v>3.825465277777778</v>
      </c>
      <c r="AD92" s="13">
        <v>0.74460011838752405</v>
      </c>
      <c r="AG92" s="17">
        <v>48092</v>
      </c>
    </row>
    <row r="93" spans="18:33" x14ac:dyDescent="0.4">
      <c r="R93" s="14">
        <v>20</v>
      </c>
      <c r="S93" s="13">
        <v>20321213</v>
      </c>
      <c r="T93" s="13">
        <v>20331212</v>
      </c>
      <c r="U93" s="13">
        <v>20331214</v>
      </c>
      <c r="V93" s="13">
        <v>3.7234777829027323E-2</v>
      </c>
      <c r="W93" s="13">
        <v>3.7648497582683182</v>
      </c>
      <c r="X93" s="13">
        <v>0.7175825502145613</v>
      </c>
      <c r="Y93" s="13">
        <v>20321213</v>
      </c>
      <c r="Z93" s="13">
        <v>20331212</v>
      </c>
      <c r="AA93" s="13">
        <v>20331214</v>
      </c>
      <c r="AB93" s="13">
        <v>3.7525000000000003E-2</v>
      </c>
      <c r="AC93" s="13">
        <v>3.7941944444444449</v>
      </c>
      <c r="AD93" s="13">
        <v>0.7175825502145613</v>
      </c>
      <c r="AG93" s="17">
        <v>48134</v>
      </c>
    </row>
    <row r="94" spans="18:33" x14ac:dyDescent="0.4">
      <c r="R94" s="14">
        <v>20</v>
      </c>
      <c r="S94" s="13">
        <v>20331212</v>
      </c>
      <c r="T94" s="13">
        <v>20341212</v>
      </c>
      <c r="U94" s="13">
        <v>20341214</v>
      </c>
      <c r="V94" s="13">
        <v>3.7756671073764299E-2</v>
      </c>
      <c r="W94" s="13">
        <v>3.8281069283122138</v>
      </c>
      <c r="X94" s="13">
        <v>0.69112343183170022</v>
      </c>
      <c r="Y94" s="13">
        <v>20331212</v>
      </c>
      <c r="Z94" s="13">
        <v>20341212</v>
      </c>
      <c r="AA94" s="13">
        <v>20341214</v>
      </c>
      <c r="AB94" s="13">
        <v>3.7525000000000003E-2</v>
      </c>
      <c r="AC94" s="13">
        <v>3.8046180555555558</v>
      </c>
      <c r="AD94" s="13">
        <v>0.69112343183170022</v>
      </c>
      <c r="AG94" s="17">
        <v>48163</v>
      </c>
    </row>
    <row r="95" spans="18:33" x14ac:dyDescent="0.4">
      <c r="R95" s="14">
        <v>20</v>
      </c>
      <c r="S95" s="13">
        <v>20341212</v>
      </c>
      <c r="T95" s="13">
        <v>20351212</v>
      </c>
      <c r="U95" s="13">
        <v>20351214</v>
      </c>
      <c r="V95" s="13">
        <v>3.8367248928884545E-2</v>
      </c>
      <c r="W95" s="13">
        <v>3.8900127386230166</v>
      </c>
      <c r="X95" s="13">
        <v>0.66524298415157745</v>
      </c>
      <c r="Y95" s="13">
        <v>20341212</v>
      </c>
      <c r="Z95" s="13">
        <v>20351212</v>
      </c>
      <c r="AA95" s="13">
        <v>20351214</v>
      </c>
      <c r="AB95" s="13">
        <v>3.7525000000000003E-2</v>
      </c>
      <c r="AC95" s="13">
        <v>3.8046180555555558</v>
      </c>
      <c r="AD95" s="13">
        <v>0.66524298415157745</v>
      </c>
      <c r="AG95" s="17">
        <v>48179</v>
      </c>
    </row>
    <row r="96" spans="18:33" x14ac:dyDescent="0.4">
      <c r="R96" s="14">
        <v>20</v>
      </c>
      <c r="S96" s="13">
        <v>20351212</v>
      </c>
      <c r="T96" s="13">
        <v>20361212</v>
      </c>
      <c r="U96" s="13">
        <v>20361216</v>
      </c>
      <c r="V96" s="13">
        <v>3.8610588540386098E-2</v>
      </c>
      <c r="W96" s="13">
        <v>3.925409834939253</v>
      </c>
      <c r="X96" s="13">
        <v>0.63997991334819559</v>
      </c>
      <c r="Y96" s="13">
        <v>20351212</v>
      </c>
      <c r="Z96" s="13">
        <v>20361212</v>
      </c>
      <c r="AA96" s="13">
        <v>20361216</v>
      </c>
      <c r="AB96" s="13">
        <v>3.7525000000000003E-2</v>
      </c>
      <c r="AC96" s="13">
        <v>3.8150416666666667</v>
      </c>
      <c r="AD96" s="13">
        <v>0.63997991334819559</v>
      </c>
      <c r="AG96" s="17">
        <v>48207</v>
      </c>
    </row>
    <row r="97" spans="18:33" x14ac:dyDescent="0.4">
      <c r="R97" s="14">
        <v>20</v>
      </c>
      <c r="S97" s="13">
        <v>20361212</v>
      </c>
      <c r="T97" s="13">
        <v>20371214</v>
      </c>
      <c r="U97" s="13">
        <v>20371216</v>
      </c>
      <c r="V97" s="13">
        <v>3.8570298248271365E-2</v>
      </c>
      <c r="W97" s="13">
        <v>3.9320276269765531</v>
      </c>
      <c r="X97" s="13">
        <v>0.61589794763212258</v>
      </c>
      <c r="Y97" s="13">
        <v>20361212</v>
      </c>
      <c r="Z97" s="13">
        <v>20371214</v>
      </c>
      <c r="AA97" s="13">
        <v>20371216</v>
      </c>
      <c r="AB97" s="13">
        <v>3.7525000000000003E-2</v>
      </c>
      <c r="AC97" s="13">
        <v>3.825465277777778</v>
      </c>
      <c r="AD97" s="13">
        <v>0.61589794763212258</v>
      </c>
      <c r="AG97" s="17">
        <v>48214</v>
      </c>
    </row>
    <row r="98" spans="18:33" x14ac:dyDescent="0.4">
      <c r="R98" s="14">
        <v>20</v>
      </c>
      <c r="S98" s="13">
        <v>20371214</v>
      </c>
      <c r="T98" s="13">
        <v>20381213</v>
      </c>
      <c r="U98" s="13">
        <v>20381215</v>
      </c>
      <c r="V98" s="13">
        <v>3.8756495131578507E-2</v>
      </c>
      <c r="W98" s="13">
        <v>3.9187122855262713</v>
      </c>
      <c r="X98" s="13">
        <v>0.59267218963755686</v>
      </c>
      <c r="Y98" s="13">
        <v>20371214</v>
      </c>
      <c r="Z98" s="13">
        <v>20381213</v>
      </c>
      <c r="AA98" s="13">
        <v>20381215</v>
      </c>
      <c r="AB98" s="13">
        <v>3.7525000000000003E-2</v>
      </c>
      <c r="AC98" s="13">
        <v>3.7941944444444449</v>
      </c>
      <c r="AD98" s="13">
        <v>0.59267218963755686</v>
      </c>
      <c r="AG98" s="17">
        <v>48232</v>
      </c>
    </row>
    <row r="99" spans="18:33" x14ac:dyDescent="0.4">
      <c r="R99" s="14">
        <v>20</v>
      </c>
      <c r="S99" s="13">
        <v>20381213</v>
      </c>
      <c r="T99" s="13">
        <v>20391212</v>
      </c>
      <c r="U99" s="13">
        <v>20391214</v>
      </c>
      <c r="V99" s="13">
        <v>3.8950913531044427E-2</v>
      </c>
      <c r="W99" s="13">
        <v>3.9383701459167142</v>
      </c>
      <c r="X99" s="13">
        <v>0.57021441923429228</v>
      </c>
      <c r="Y99" s="13">
        <v>20381213</v>
      </c>
      <c r="Z99" s="13">
        <v>20391212</v>
      </c>
      <c r="AA99" s="13">
        <v>20391214</v>
      </c>
      <c r="AB99" s="13">
        <v>3.7525000000000003E-2</v>
      </c>
      <c r="AC99" s="13">
        <v>3.7941944444444449</v>
      </c>
      <c r="AD99" s="13">
        <v>0.57021441923429228</v>
      </c>
      <c r="AG99" s="17">
        <v>48260</v>
      </c>
    </row>
    <row r="100" spans="18:33" x14ac:dyDescent="0.4">
      <c r="R100" s="14">
        <v>21</v>
      </c>
      <c r="S100" s="13">
        <v>20241212</v>
      </c>
      <c r="T100" s="13">
        <v>20251212</v>
      </c>
      <c r="U100" s="13">
        <v>20251216</v>
      </c>
      <c r="V100" s="13">
        <v>4.1305002507134439E-2</v>
      </c>
      <c r="W100" s="13">
        <v>4.1878683097511304</v>
      </c>
      <c r="X100" s="13">
        <v>0.9591640077873117</v>
      </c>
      <c r="Y100" s="13">
        <v>20241212</v>
      </c>
      <c r="Z100" s="13">
        <v>20251212</v>
      </c>
      <c r="AA100" s="13">
        <v>20251216</v>
      </c>
      <c r="AB100" s="13">
        <v>3.7385000000000002E-2</v>
      </c>
      <c r="AC100" s="13">
        <v>3.7904236111111111</v>
      </c>
      <c r="AD100" s="13">
        <v>0.9591640077873117</v>
      </c>
      <c r="AG100" s="17">
        <v>48365</v>
      </c>
    </row>
    <row r="101" spans="18:33" x14ac:dyDescent="0.4">
      <c r="R101" s="14">
        <v>21</v>
      </c>
      <c r="S101" s="13">
        <v>20251212</v>
      </c>
      <c r="T101" s="13">
        <v>20261214</v>
      </c>
      <c r="U101" s="13">
        <v>20261216</v>
      </c>
      <c r="V101" s="13">
        <v>3.7190129898170075E-2</v>
      </c>
      <c r="W101" s="13">
        <v>3.7913271312856711</v>
      </c>
      <c r="X101" s="13">
        <v>0.92432685700342188</v>
      </c>
      <c r="Y101" s="13">
        <v>20251212</v>
      </c>
      <c r="Z101" s="13">
        <v>20261214</v>
      </c>
      <c r="AA101" s="13">
        <v>20261216</v>
      </c>
      <c r="AB101" s="13">
        <v>3.7385000000000002E-2</v>
      </c>
      <c r="AC101" s="13">
        <v>3.8111930555555555</v>
      </c>
      <c r="AD101" s="13">
        <v>0.92432685700342188</v>
      </c>
      <c r="AG101" s="17">
        <v>48383</v>
      </c>
    </row>
    <row r="102" spans="18:33" x14ac:dyDescent="0.4">
      <c r="R102" s="14">
        <v>21</v>
      </c>
      <c r="S102" s="13">
        <v>20261214</v>
      </c>
      <c r="T102" s="13">
        <v>20271213</v>
      </c>
      <c r="U102" s="13">
        <v>20271215</v>
      </c>
      <c r="V102" s="13">
        <v>3.6249844475129522E-2</v>
      </c>
      <c r="W102" s="13">
        <v>3.6652620524853186</v>
      </c>
      <c r="X102" s="13">
        <v>0.89164911714584694</v>
      </c>
      <c r="Y102" s="13">
        <v>20261214</v>
      </c>
      <c r="Z102" s="13">
        <v>20271213</v>
      </c>
      <c r="AA102" s="13">
        <v>20271215</v>
      </c>
      <c r="AB102" s="13">
        <v>3.7385000000000002E-2</v>
      </c>
      <c r="AC102" s="13">
        <v>3.7800388888888889</v>
      </c>
      <c r="AD102" s="13">
        <v>0.89164911714584694</v>
      </c>
      <c r="AG102" s="17">
        <v>48400</v>
      </c>
    </row>
    <row r="103" spans="18:33" x14ac:dyDescent="0.4">
      <c r="R103" s="14">
        <v>21</v>
      </c>
      <c r="S103" s="13">
        <v>20271213</v>
      </c>
      <c r="T103" s="13">
        <v>20281212</v>
      </c>
      <c r="U103" s="13">
        <v>20281214</v>
      </c>
      <c r="V103" s="13">
        <v>3.5667535342730552E-2</v>
      </c>
      <c r="W103" s="13">
        <v>3.6162917778046255</v>
      </c>
      <c r="X103" s="13">
        <v>0.86053093602205988</v>
      </c>
      <c r="Y103" s="13">
        <v>20271213</v>
      </c>
      <c r="Z103" s="13">
        <v>20281212</v>
      </c>
      <c r="AA103" s="13">
        <v>20281214</v>
      </c>
      <c r="AB103" s="13">
        <v>3.7385000000000002E-2</v>
      </c>
      <c r="AC103" s="13">
        <v>3.7904236111111111</v>
      </c>
      <c r="AD103" s="13">
        <v>0.86053093602205988</v>
      </c>
      <c r="AG103" s="17">
        <v>48463</v>
      </c>
    </row>
    <row r="104" spans="18:33" x14ac:dyDescent="0.4">
      <c r="R104" s="14">
        <v>21</v>
      </c>
      <c r="S104" s="13">
        <v>20281212</v>
      </c>
      <c r="T104" s="13">
        <v>20291212</v>
      </c>
      <c r="U104" s="13">
        <v>20291214</v>
      </c>
      <c r="V104" s="13">
        <v>3.5640296597922359E-2</v>
      </c>
      <c r="W104" s="13">
        <v>3.6135300717337948</v>
      </c>
      <c r="X104" s="13">
        <v>0.83051884497735229</v>
      </c>
      <c r="Y104" s="13">
        <v>20281212</v>
      </c>
      <c r="Z104" s="13">
        <v>20291212</v>
      </c>
      <c r="AA104" s="13">
        <v>20291214</v>
      </c>
      <c r="AB104" s="13">
        <v>3.7385000000000002E-2</v>
      </c>
      <c r="AC104" s="13">
        <v>3.7904236111111111</v>
      </c>
      <c r="AD104" s="13">
        <v>0.83051884497735229</v>
      </c>
      <c r="AG104" s="17">
        <v>48498</v>
      </c>
    </row>
    <row r="105" spans="18:33" x14ac:dyDescent="0.4">
      <c r="R105" s="14">
        <v>21</v>
      </c>
      <c r="S105" s="13">
        <v>20291212</v>
      </c>
      <c r="T105" s="13">
        <v>20301212</v>
      </c>
      <c r="U105" s="13">
        <v>20301216</v>
      </c>
      <c r="V105" s="13">
        <v>3.618654070816156E-2</v>
      </c>
      <c r="W105" s="13">
        <v>3.6689131551330467</v>
      </c>
      <c r="X105" s="13">
        <v>0.80096547686545005</v>
      </c>
      <c r="Y105" s="13">
        <v>20291212</v>
      </c>
      <c r="Z105" s="13">
        <v>20301212</v>
      </c>
      <c r="AA105" s="13">
        <v>20301216</v>
      </c>
      <c r="AB105" s="13">
        <v>3.7385000000000002E-2</v>
      </c>
      <c r="AC105" s="13">
        <v>3.7904236111111111</v>
      </c>
      <c r="AD105" s="13">
        <v>0.80096547686545005</v>
      </c>
      <c r="AG105" s="17">
        <v>48529</v>
      </c>
    </row>
    <row r="106" spans="18:33" x14ac:dyDescent="0.4">
      <c r="R106" s="14">
        <v>21</v>
      </c>
      <c r="S106" s="13">
        <v>20301212</v>
      </c>
      <c r="T106" s="13">
        <v>20311212</v>
      </c>
      <c r="U106" s="13">
        <v>20311216</v>
      </c>
      <c r="V106" s="13">
        <v>3.6430977521579304E-2</v>
      </c>
      <c r="W106" s="13">
        <v>3.6936963320490124</v>
      </c>
      <c r="X106" s="13">
        <v>0.77243138832952019</v>
      </c>
      <c r="Y106" s="13">
        <v>20301212</v>
      </c>
      <c r="Z106" s="13">
        <v>20311212</v>
      </c>
      <c r="AA106" s="13">
        <v>20311216</v>
      </c>
      <c r="AB106" s="13">
        <v>3.7385000000000002E-2</v>
      </c>
      <c r="AC106" s="13">
        <v>3.7904236111111111</v>
      </c>
      <c r="AD106" s="13">
        <v>0.77243138832952019</v>
      </c>
      <c r="AG106" s="17">
        <v>48543</v>
      </c>
    </row>
    <row r="107" spans="18:33" x14ac:dyDescent="0.4">
      <c r="R107" s="14">
        <v>21</v>
      </c>
      <c r="S107" s="13">
        <v>20311212</v>
      </c>
      <c r="T107" s="13">
        <v>20321213</v>
      </c>
      <c r="U107" s="13">
        <v>20321215</v>
      </c>
      <c r="V107" s="13">
        <v>3.6863607227084962E-2</v>
      </c>
      <c r="W107" s="13">
        <v>3.7580399589833835</v>
      </c>
      <c r="X107" s="13">
        <v>0.74460011838752405</v>
      </c>
      <c r="Y107" s="13">
        <v>20311212</v>
      </c>
      <c r="Z107" s="13">
        <v>20321213</v>
      </c>
      <c r="AA107" s="13">
        <v>20321215</v>
      </c>
      <c r="AB107" s="13">
        <v>3.7385000000000002E-2</v>
      </c>
      <c r="AC107" s="13">
        <v>3.8111930555555555</v>
      </c>
      <c r="AD107" s="13">
        <v>0.74460011838752405</v>
      </c>
      <c r="AG107" s="17">
        <v>48572</v>
      </c>
    </row>
    <row r="108" spans="18:33" x14ac:dyDescent="0.4">
      <c r="R108" s="14">
        <v>21</v>
      </c>
      <c r="S108" s="13">
        <v>20321213</v>
      </c>
      <c r="T108" s="13">
        <v>20331212</v>
      </c>
      <c r="U108" s="13">
        <v>20331214</v>
      </c>
      <c r="V108" s="13">
        <v>3.7234777829027323E-2</v>
      </c>
      <c r="W108" s="13">
        <v>3.7648497582683182</v>
      </c>
      <c r="X108" s="13">
        <v>0.7175825502145613</v>
      </c>
      <c r="Y108" s="13">
        <v>20321213</v>
      </c>
      <c r="Z108" s="13">
        <v>20331212</v>
      </c>
      <c r="AA108" s="13">
        <v>20331214</v>
      </c>
      <c r="AB108" s="13">
        <v>3.7385000000000002E-2</v>
      </c>
      <c r="AC108" s="13">
        <v>3.7800388888888889</v>
      </c>
      <c r="AD108" s="13">
        <v>0.7175825502145613</v>
      </c>
      <c r="AG108" s="17">
        <v>48580</v>
      </c>
    </row>
    <row r="109" spans="18:33" x14ac:dyDescent="0.4">
      <c r="R109" s="14">
        <v>21</v>
      </c>
      <c r="S109" s="13">
        <v>20331212</v>
      </c>
      <c r="T109" s="13">
        <v>20341212</v>
      </c>
      <c r="U109" s="13">
        <v>20341214</v>
      </c>
      <c r="V109" s="13">
        <v>3.7756671073764299E-2</v>
      </c>
      <c r="W109" s="13">
        <v>3.8281069283122138</v>
      </c>
      <c r="X109" s="13">
        <v>0.69112343183170022</v>
      </c>
      <c r="Y109" s="13">
        <v>20331212</v>
      </c>
      <c r="Z109" s="13">
        <v>20341212</v>
      </c>
      <c r="AA109" s="13">
        <v>20341214</v>
      </c>
      <c r="AB109" s="13">
        <v>3.7385000000000002E-2</v>
      </c>
      <c r="AC109" s="13">
        <v>3.7904236111111111</v>
      </c>
      <c r="AD109" s="13">
        <v>0.69112343183170022</v>
      </c>
      <c r="AG109" s="17">
        <v>48596</v>
      </c>
    </row>
    <row r="110" spans="18:33" x14ac:dyDescent="0.4">
      <c r="R110" s="14">
        <v>21</v>
      </c>
      <c r="S110" s="13">
        <v>20341212</v>
      </c>
      <c r="T110" s="13">
        <v>20351212</v>
      </c>
      <c r="U110" s="13">
        <v>20351214</v>
      </c>
      <c r="V110" s="13">
        <v>3.8367248928884545E-2</v>
      </c>
      <c r="W110" s="13">
        <v>3.8900127386230166</v>
      </c>
      <c r="X110" s="13">
        <v>0.66524298415157745</v>
      </c>
      <c r="Y110" s="13">
        <v>20341212</v>
      </c>
      <c r="Z110" s="13">
        <v>20351212</v>
      </c>
      <c r="AA110" s="13">
        <v>20351214</v>
      </c>
      <c r="AB110" s="13">
        <v>3.7385000000000002E-2</v>
      </c>
      <c r="AC110" s="13">
        <v>3.7904236111111111</v>
      </c>
      <c r="AD110" s="13">
        <v>0.66524298415157745</v>
      </c>
      <c r="AG110" s="17">
        <v>48631</v>
      </c>
    </row>
    <row r="111" spans="18:33" x14ac:dyDescent="0.4">
      <c r="R111" s="14">
        <v>21</v>
      </c>
      <c r="S111" s="13">
        <v>20351212</v>
      </c>
      <c r="T111" s="13">
        <v>20361212</v>
      </c>
      <c r="U111" s="13">
        <v>20361216</v>
      </c>
      <c r="V111" s="13">
        <v>3.8610588540386098E-2</v>
      </c>
      <c r="W111" s="13">
        <v>3.925409834939253</v>
      </c>
      <c r="X111" s="13">
        <v>0.63997991334819559</v>
      </c>
      <c r="Y111" s="13">
        <v>20351212</v>
      </c>
      <c r="Z111" s="13">
        <v>20361212</v>
      </c>
      <c r="AA111" s="13">
        <v>20361216</v>
      </c>
      <c r="AB111" s="13">
        <v>3.7385000000000002E-2</v>
      </c>
      <c r="AC111" s="13">
        <v>3.8008083333333333</v>
      </c>
      <c r="AD111" s="13">
        <v>0.63997991334819559</v>
      </c>
      <c r="AG111" s="17">
        <v>48729</v>
      </c>
    </row>
    <row r="112" spans="18:33" x14ac:dyDescent="0.4">
      <c r="R112" s="14">
        <v>21</v>
      </c>
      <c r="S112" s="13">
        <v>20361212</v>
      </c>
      <c r="T112" s="13">
        <v>20371214</v>
      </c>
      <c r="U112" s="13">
        <v>20371216</v>
      </c>
      <c r="V112" s="13">
        <v>3.8570298248271365E-2</v>
      </c>
      <c r="W112" s="13">
        <v>3.9320276269765531</v>
      </c>
      <c r="X112" s="13">
        <v>0.61589794763212258</v>
      </c>
      <c r="Y112" s="13">
        <v>20361212</v>
      </c>
      <c r="Z112" s="13">
        <v>20371214</v>
      </c>
      <c r="AA112" s="13">
        <v>20371216</v>
      </c>
      <c r="AB112" s="13">
        <v>3.7385000000000002E-2</v>
      </c>
      <c r="AC112" s="13">
        <v>3.8111930555555555</v>
      </c>
      <c r="AD112" s="13">
        <v>0.61589794763212258</v>
      </c>
      <c r="AG112" s="17">
        <v>48750</v>
      </c>
    </row>
    <row r="113" spans="18:33" x14ac:dyDescent="0.4">
      <c r="R113" s="14">
        <v>21</v>
      </c>
      <c r="S113" s="13">
        <v>20371214</v>
      </c>
      <c r="T113" s="13">
        <v>20381213</v>
      </c>
      <c r="U113" s="13">
        <v>20381215</v>
      </c>
      <c r="V113" s="13">
        <v>3.8756495131578507E-2</v>
      </c>
      <c r="W113" s="13">
        <v>3.9187122855262713</v>
      </c>
      <c r="X113" s="13">
        <v>0.59267218963755686</v>
      </c>
      <c r="Y113" s="13">
        <v>20371214</v>
      </c>
      <c r="Z113" s="13">
        <v>20381213</v>
      </c>
      <c r="AA113" s="13">
        <v>20381215</v>
      </c>
      <c r="AB113" s="13">
        <v>3.7385000000000002E-2</v>
      </c>
      <c r="AC113" s="13">
        <v>3.7800388888888889</v>
      </c>
      <c r="AD113" s="13">
        <v>0.59267218963755686</v>
      </c>
      <c r="AG113" s="17">
        <v>48764</v>
      </c>
    </row>
    <row r="114" spans="18:33" x14ac:dyDescent="0.4">
      <c r="R114" s="14">
        <v>21</v>
      </c>
      <c r="S114" s="13">
        <v>20381213</v>
      </c>
      <c r="T114" s="13">
        <v>20391212</v>
      </c>
      <c r="U114" s="13">
        <v>20391214</v>
      </c>
      <c r="V114" s="13">
        <v>3.8950913531044427E-2</v>
      </c>
      <c r="W114" s="13">
        <v>3.9383701459167142</v>
      </c>
      <c r="X114" s="13">
        <v>0.57021441923429228</v>
      </c>
      <c r="Y114" s="13">
        <v>20381213</v>
      </c>
      <c r="Z114" s="13">
        <v>20391212</v>
      </c>
      <c r="AA114" s="13">
        <v>20391214</v>
      </c>
      <c r="AB114" s="13">
        <v>3.7385000000000002E-2</v>
      </c>
      <c r="AC114" s="13">
        <v>3.7800388888888889</v>
      </c>
      <c r="AD114" s="13">
        <v>0.57021441923429228</v>
      </c>
      <c r="AG114" s="17">
        <v>48827</v>
      </c>
    </row>
    <row r="115" spans="18:33" x14ac:dyDescent="0.4">
      <c r="R115" s="14">
        <v>21</v>
      </c>
      <c r="S115" s="13">
        <v>20391212</v>
      </c>
      <c r="T115" s="13">
        <v>20401212</v>
      </c>
      <c r="U115" s="13">
        <v>20401214</v>
      </c>
      <c r="V115" s="13">
        <v>3.6937679282251633E-2</v>
      </c>
      <c r="W115" s="13">
        <v>3.755330727028916</v>
      </c>
      <c r="X115" s="13">
        <v>0.54958239632160966</v>
      </c>
      <c r="Y115" s="13">
        <v>20391212</v>
      </c>
      <c r="Z115" s="13">
        <v>20401212</v>
      </c>
      <c r="AA115" s="13">
        <v>20401214</v>
      </c>
      <c r="AB115" s="13">
        <v>3.7385000000000002E-2</v>
      </c>
      <c r="AC115" s="13">
        <v>3.8008083333333333</v>
      </c>
      <c r="AD115" s="13">
        <v>0.54958239632160966</v>
      </c>
      <c r="AG115" s="17">
        <v>48862</v>
      </c>
    </row>
    <row r="116" spans="18:33" x14ac:dyDescent="0.4">
      <c r="R116" s="14">
        <v>21</v>
      </c>
      <c r="S116" s="13">
        <v>20401212</v>
      </c>
      <c r="T116" s="13">
        <v>20411212</v>
      </c>
      <c r="U116" s="13">
        <v>20411216</v>
      </c>
      <c r="V116" s="13">
        <v>3.6841466149631082E-2</v>
      </c>
      <c r="W116" s="13">
        <v>3.7353153179487064</v>
      </c>
      <c r="X116" s="13">
        <v>0.52968686477828919</v>
      </c>
      <c r="Y116" s="13">
        <v>20401212</v>
      </c>
      <c r="Z116" s="13">
        <v>20411212</v>
      </c>
      <c r="AA116" s="13">
        <v>20411216</v>
      </c>
      <c r="AB116" s="13">
        <v>3.7385000000000002E-2</v>
      </c>
      <c r="AC116" s="13">
        <v>3.7904236111111111</v>
      </c>
      <c r="AD116" s="13">
        <v>0.52968686477828919</v>
      </c>
      <c r="AG116" s="17">
        <v>48894</v>
      </c>
    </row>
    <row r="117" spans="18:33" x14ac:dyDescent="0.4">
      <c r="R117" s="14">
        <v>21</v>
      </c>
      <c r="S117" s="13">
        <v>20411212</v>
      </c>
      <c r="T117" s="13">
        <v>20421212</v>
      </c>
      <c r="U117" s="13">
        <v>20421216</v>
      </c>
      <c r="V117" s="13">
        <v>3.6758626438003941E-2</v>
      </c>
      <c r="W117" s="13">
        <v>3.7269162916309551</v>
      </c>
      <c r="X117" s="13">
        <v>0.51065562702965217</v>
      </c>
      <c r="Y117" s="13">
        <v>20411212</v>
      </c>
      <c r="Z117" s="13">
        <v>20421212</v>
      </c>
      <c r="AA117" s="13">
        <v>20421216</v>
      </c>
      <c r="AB117" s="13">
        <v>3.7385000000000002E-2</v>
      </c>
      <c r="AC117" s="13">
        <v>3.7904236111111111</v>
      </c>
      <c r="AD117" s="13">
        <v>0.51065562702965217</v>
      </c>
      <c r="AG117" s="17">
        <v>48907</v>
      </c>
    </row>
    <row r="118" spans="18:33" x14ac:dyDescent="0.4">
      <c r="R118" s="14">
        <v>21</v>
      </c>
      <c r="S118" s="13">
        <v>20421212</v>
      </c>
      <c r="T118" s="13">
        <v>20431214</v>
      </c>
      <c r="U118" s="13">
        <v>20431216</v>
      </c>
      <c r="V118" s="13">
        <v>3.6679257660919735E-2</v>
      </c>
      <c r="W118" s="13">
        <v>3.7392465448770951</v>
      </c>
      <c r="X118" s="13">
        <v>0.49234803029187446</v>
      </c>
      <c r="Y118" s="13">
        <v>20421212</v>
      </c>
      <c r="Z118" s="13">
        <v>20431214</v>
      </c>
      <c r="AA118" s="13">
        <v>20431216</v>
      </c>
      <c r="AB118" s="13">
        <v>3.7385000000000002E-2</v>
      </c>
      <c r="AC118" s="13">
        <v>3.8111930555555555</v>
      </c>
      <c r="AD118" s="13">
        <v>0.49234803029187446</v>
      </c>
      <c r="AG118" s="17">
        <v>48939</v>
      </c>
    </row>
    <row r="119" spans="18:33" x14ac:dyDescent="0.4">
      <c r="R119" s="14">
        <v>21</v>
      </c>
      <c r="S119" s="13">
        <v>20431214</v>
      </c>
      <c r="T119" s="13">
        <v>20441212</v>
      </c>
      <c r="U119" s="13">
        <v>20441214</v>
      </c>
      <c r="V119" s="13">
        <v>3.6590789660482972E-2</v>
      </c>
      <c r="W119" s="13">
        <v>3.6997353990043891</v>
      </c>
      <c r="X119" s="13">
        <v>0.47478255005914777</v>
      </c>
      <c r="Y119" s="13">
        <v>20431214</v>
      </c>
      <c r="Z119" s="13">
        <v>20441212</v>
      </c>
      <c r="AA119" s="13">
        <v>20441214</v>
      </c>
      <c r="AB119" s="13">
        <v>3.7385000000000002E-2</v>
      </c>
      <c r="AC119" s="13">
        <v>3.7800388888888889</v>
      </c>
      <c r="AD119" s="13">
        <v>0.47478255005914777</v>
      </c>
      <c r="AG119" s="17">
        <v>48946</v>
      </c>
    </row>
    <row r="120" spans="18:33" x14ac:dyDescent="0.4">
      <c r="R120" s="14">
        <v>22</v>
      </c>
      <c r="S120" s="13">
        <v>20241212</v>
      </c>
      <c r="T120" s="13">
        <v>20251212</v>
      </c>
      <c r="U120" s="13">
        <v>20251216</v>
      </c>
      <c r="V120" s="13">
        <v>4.1305002507134439E-2</v>
      </c>
      <c r="W120" s="13">
        <v>4.1878683097511304</v>
      </c>
      <c r="X120" s="13">
        <v>0.9591640077873117</v>
      </c>
      <c r="Y120" s="13">
        <v>20241212</v>
      </c>
      <c r="Z120" s="13">
        <v>20251212</v>
      </c>
      <c r="AA120" s="13">
        <v>20251216</v>
      </c>
      <c r="AB120" s="13">
        <v>3.6635000000000001E-2</v>
      </c>
      <c r="AC120" s="13">
        <v>3.7143819444444444</v>
      </c>
      <c r="AD120" s="13">
        <v>0.9591640077873117</v>
      </c>
      <c r="AG120" s="17">
        <v>48960</v>
      </c>
    </row>
    <row r="121" spans="18:33" x14ac:dyDescent="0.4">
      <c r="R121" s="14">
        <v>22</v>
      </c>
      <c r="S121" s="13">
        <v>20251212</v>
      </c>
      <c r="T121" s="13">
        <v>20261214</v>
      </c>
      <c r="U121" s="13">
        <v>20261216</v>
      </c>
      <c r="V121" s="13">
        <v>3.7190129898170075E-2</v>
      </c>
      <c r="W121" s="13">
        <v>3.7913271312856711</v>
      </c>
      <c r="X121" s="13">
        <v>0.92432685700342188</v>
      </c>
      <c r="Y121" s="13">
        <v>20251212</v>
      </c>
      <c r="Z121" s="13">
        <v>20261214</v>
      </c>
      <c r="AA121" s="13">
        <v>20261216</v>
      </c>
      <c r="AB121" s="13">
        <v>3.6635000000000001E-2</v>
      </c>
      <c r="AC121" s="13">
        <v>3.734734722222222</v>
      </c>
      <c r="AD121" s="13">
        <v>0.92432685700342188</v>
      </c>
      <c r="AG121" s="17">
        <v>48995</v>
      </c>
    </row>
    <row r="122" spans="18:33" x14ac:dyDescent="0.4">
      <c r="R122" s="14">
        <v>22</v>
      </c>
      <c r="S122" s="13">
        <v>20261214</v>
      </c>
      <c r="T122" s="13">
        <v>20271213</v>
      </c>
      <c r="U122" s="13">
        <v>20271215</v>
      </c>
      <c r="V122" s="13">
        <v>3.6249844475129522E-2</v>
      </c>
      <c r="W122" s="13">
        <v>3.6652620524853186</v>
      </c>
      <c r="X122" s="13">
        <v>0.89164911714584694</v>
      </c>
      <c r="Y122" s="13">
        <v>20261214</v>
      </c>
      <c r="Z122" s="13">
        <v>20271213</v>
      </c>
      <c r="AA122" s="13">
        <v>20271215</v>
      </c>
      <c r="AB122" s="13">
        <v>3.6635000000000001E-2</v>
      </c>
      <c r="AC122" s="13">
        <v>3.7042055555555553</v>
      </c>
      <c r="AD122" s="13">
        <v>0.89164911714584694</v>
      </c>
      <c r="AG122" s="17">
        <v>49093</v>
      </c>
    </row>
    <row r="123" spans="18:33" x14ac:dyDescent="0.4">
      <c r="R123" s="14">
        <v>22</v>
      </c>
      <c r="S123" s="13">
        <v>20271213</v>
      </c>
      <c r="T123" s="13">
        <v>20281212</v>
      </c>
      <c r="U123" s="13">
        <v>20281214</v>
      </c>
      <c r="V123" s="13">
        <v>3.5667535342730552E-2</v>
      </c>
      <c r="W123" s="13">
        <v>3.6162917778046255</v>
      </c>
      <c r="X123" s="13">
        <v>0.86053093602205988</v>
      </c>
      <c r="Y123" s="13">
        <v>20271213</v>
      </c>
      <c r="Z123" s="13">
        <v>20281212</v>
      </c>
      <c r="AA123" s="13">
        <v>20281214</v>
      </c>
      <c r="AB123" s="13">
        <v>3.6635000000000001E-2</v>
      </c>
      <c r="AC123" s="13">
        <v>3.7143819444444444</v>
      </c>
      <c r="AD123" s="13">
        <v>0.86053093602205988</v>
      </c>
      <c r="AG123" s="17">
        <v>49114</v>
      </c>
    </row>
    <row r="124" spans="18:33" x14ac:dyDescent="0.4">
      <c r="R124" s="14">
        <v>22</v>
      </c>
      <c r="S124" s="13">
        <v>20281212</v>
      </c>
      <c r="T124" s="13">
        <v>20291212</v>
      </c>
      <c r="U124" s="13">
        <v>20291214</v>
      </c>
      <c r="V124" s="13">
        <v>3.5640296597922359E-2</v>
      </c>
      <c r="W124" s="13">
        <v>3.6135300717337948</v>
      </c>
      <c r="X124" s="13">
        <v>0.83051884497735229</v>
      </c>
      <c r="Y124" s="13">
        <v>20281212</v>
      </c>
      <c r="Z124" s="13">
        <v>20291212</v>
      </c>
      <c r="AA124" s="13">
        <v>20291214</v>
      </c>
      <c r="AB124" s="13">
        <v>3.6635000000000001E-2</v>
      </c>
      <c r="AC124" s="13">
        <v>3.7143819444444444</v>
      </c>
      <c r="AD124" s="13">
        <v>0.83051884497735229</v>
      </c>
      <c r="AG124" s="17">
        <v>49129</v>
      </c>
    </row>
    <row r="125" spans="18:33" x14ac:dyDescent="0.4">
      <c r="R125" s="14">
        <v>22</v>
      </c>
      <c r="S125" s="13">
        <v>20291212</v>
      </c>
      <c r="T125" s="13">
        <v>20301212</v>
      </c>
      <c r="U125" s="13">
        <v>20301216</v>
      </c>
      <c r="V125" s="13">
        <v>3.618654070816156E-2</v>
      </c>
      <c r="W125" s="13">
        <v>3.6689131551330467</v>
      </c>
      <c r="X125" s="13">
        <v>0.80096547686545005</v>
      </c>
      <c r="Y125" s="13">
        <v>20291212</v>
      </c>
      <c r="Z125" s="13">
        <v>20301212</v>
      </c>
      <c r="AA125" s="13">
        <v>20301216</v>
      </c>
      <c r="AB125" s="13">
        <v>3.6635000000000001E-2</v>
      </c>
      <c r="AC125" s="13">
        <v>3.7143819444444444</v>
      </c>
      <c r="AD125" s="13">
        <v>0.80096547686545005</v>
      </c>
      <c r="AG125" s="17">
        <v>49191</v>
      </c>
    </row>
    <row r="126" spans="18:33" x14ac:dyDescent="0.4">
      <c r="R126" s="14">
        <v>22</v>
      </c>
      <c r="S126" s="13">
        <v>20301212</v>
      </c>
      <c r="T126" s="13">
        <v>20311212</v>
      </c>
      <c r="U126" s="13">
        <v>20311216</v>
      </c>
      <c r="V126" s="13">
        <v>3.6430977521579304E-2</v>
      </c>
      <c r="W126" s="13">
        <v>3.6936963320490124</v>
      </c>
      <c r="X126" s="13">
        <v>0.77243138832952019</v>
      </c>
      <c r="Y126" s="13">
        <v>20301212</v>
      </c>
      <c r="Z126" s="13">
        <v>20311212</v>
      </c>
      <c r="AA126" s="13">
        <v>20311216</v>
      </c>
      <c r="AB126" s="13">
        <v>3.6635000000000001E-2</v>
      </c>
      <c r="AC126" s="13">
        <v>3.7143819444444444</v>
      </c>
      <c r="AD126" s="13">
        <v>0.77243138832952019</v>
      </c>
      <c r="AG126" s="17">
        <v>49226</v>
      </c>
    </row>
    <row r="127" spans="18:33" x14ac:dyDescent="0.4">
      <c r="R127" s="14">
        <v>22</v>
      </c>
      <c r="S127" s="13">
        <v>20311212</v>
      </c>
      <c r="T127" s="13">
        <v>20321213</v>
      </c>
      <c r="U127" s="13">
        <v>20321215</v>
      </c>
      <c r="V127" s="13">
        <v>3.6863607227084962E-2</v>
      </c>
      <c r="W127" s="13">
        <v>3.7580399589833835</v>
      </c>
      <c r="X127" s="13">
        <v>0.74460011838752405</v>
      </c>
      <c r="Y127" s="13">
        <v>20311212</v>
      </c>
      <c r="Z127" s="13">
        <v>20321213</v>
      </c>
      <c r="AA127" s="13">
        <v>20321215</v>
      </c>
      <c r="AB127" s="13">
        <v>3.6635000000000001E-2</v>
      </c>
      <c r="AC127" s="13">
        <v>3.734734722222222</v>
      </c>
      <c r="AD127" s="13">
        <v>0.74460011838752405</v>
      </c>
      <c r="AG127" s="17">
        <v>49258</v>
      </c>
    </row>
    <row r="128" spans="18:33" x14ac:dyDescent="0.4">
      <c r="R128" s="14">
        <v>22</v>
      </c>
      <c r="S128" s="13">
        <v>20321213</v>
      </c>
      <c r="T128" s="13">
        <v>20331212</v>
      </c>
      <c r="U128" s="13">
        <v>20331214</v>
      </c>
      <c r="V128" s="13">
        <v>3.7234777829027323E-2</v>
      </c>
      <c r="W128" s="13">
        <v>3.7648497582683182</v>
      </c>
      <c r="X128" s="13">
        <v>0.7175825502145613</v>
      </c>
      <c r="Y128" s="13">
        <v>20321213</v>
      </c>
      <c r="Z128" s="13">
        <v>20331212</v>
      </c>
      <c r="AA128" s="13">
        <v>20331214</v>
      </c>
      <c r="AB128" s="13">
        <v>3.6635000000000001E-2</v>
      </c>
      <c r="AC128" s="13">
        <v>3.7042055555555553</v>
      </c>
      <c r="AD128" s="13">
        <v>0.7175825502145613</v>
      </c>
      <c r="AG128" s="17">
        <v>49271</v>
      </c>
    </row>
    <row r="129" spans="18:33" x14ac:dyDescent="0.4">
      <c r="R129" s="14">
        <v>22</v>
      </c>
      <c r="S129" s="13">
        <v>20331212</v>
      </c>
      <c r="T129" s="13">
        <v>20341212</v>
      </c>
      <c r="U129" s="13">
        <v>20341214</v>
      </c>
      <c r="V129" s="13">
        <v>3.7756671073764299E-2</v>
      </c>
      <c r="W129" s="13">
        <v>3.8281069283122138</v>
      </c>
      <c r="X129" s="13">
        <v>0.69112343183170022</v>
      </c>
      <c r="Y129" s="13">
        <v>20331212</v>
      </c>
      <c r="Z129" s="13">
        <v>20341212</v>
      </c>
      <c r="AA129" s="13">
        <v>20341214</v>
      </c>
      <c r="AB129" s="13">
        <v>3.6635000000000001E-2</v>
      </c>
      <c r="AC129" s="13">
        <v>3.7143819444444444</v>
      </c>
      <c r="AD129" s="13">
        <v>0.69112343183170022</v>
      </c>
      <c r="AG129" s="17">
        <v>49303</v>
      </c>
    </row>
    <row r="130" spans="18:33" x14ac:dyDescent="0.4">
      <c r="R130" s="14">
        <v>22</v>
      </c>
      <c r="S130" s="13">
        <v>20341212</v>
      </c>
      <c r="T130" s="13">
        <v>20351212</v>
      </c>
      <c r="U130" s="13">
        <v>20351214</v>
      </c>
      <c r="V130" s="13">
        <v>3.8367248928884545E-2</v>
      </c>
      <c r="W130" s="13">
        <v>3.8900127386230166</v>
      </c>
      <c r="X130" s="13">
        <v>0.66524298415157745</v>
      </c>
      <c r="Y130" s="13">
        <v>20341212</v>
      </c>
      <c r="Z130" s="13">
        <v>20351212</v>
      </c>
      <c r="AA130" s="13">
        <v>20351214</v>
      </c>
      <c r="AB130" s="13">
        <v>3.6635000000000001E-2</v>
      </c>
      <c r="AC130" s="13">
        <v>3.7143819444444444</v>
      </c>
      <c r="AD130" s="13">
        <v>0.66524298415157745</v>
      </c>
      <c r="AG130" s="17">
        <v>49310</v>
      </c>
    </row>
    <row r="131" spans="18:33" x14ac:dyDescent="0.4">
      <c r="R131" s="14">
        <v>22</v>
      </c>
      <c r="S131" s="13">
        <v>20351212</v>
      </c>
      <c r="T131" s="13">
        <v>20361212</v>
      </c>
      <c r="U131" s="13">
        <v>20361216</v>
      </c>
      <c r="V131" s="13">
        <v>3.8610588540386098E-2</v>
      </c>
      <c r="W131" s="13">
        <v>3.925409834939253</v>
      </c>
      <c r="X131" s="13">
        <v>0.63997991334819559</v>
      </c>
      <c r="Y131" s="13">
        <v>20351212</v>
      </c>
      <c r="Z131" s="13">
        <v>20361212</v>
      </c>
      <c r="AA131" s="13">
        <v>20361216</v>
      </c>
      <c r="AB131" s="13">
        <v>3.6635000000000001E-2</v>
      </c>
      <c r="AC131" s="13">
        <v>3.724558333333333</v>
      </c>
      <c r="AD131" s="13">
        <v>0.63997991334819559</v>
      </c>
      <c r="AG131" s="17">
        <v>49324</v>
      </c>
    </row>
    <row r="132" spans="18:33" x14ac:dyDescent="0.4">
      <c r="R132" s="14">
        <v>22</v>
      </c>
      <c r="S132" s="13">
        <v>20361212</v>
      </c>
      <c r="T132" s="13">
        <v>20371214</v>
      </c>
      <c r="U132" s="13">
        <v>20371216</v>
      </c>
      <c r="V132" s="13">
        <v>3.8570298248271365E-2</v>
      </c>
      <c r="W132" s="13">
        <v>3.9320276269765531</v>
      </c>
      <c r="X132" s="13">
        <v>0.61589794763212258</v>
      </c>
      <c r="Y132" s="13">
        <v>20361212</v>
      </c>
      <c r="Z132" s="13">
        <v>20371214</v>
      </c>
      <c r="AA132" s="13">
        <v>20371216</v>
      </c>
      <c r="AB132" s="13">
        <v>3.6635000000000001E-2</v>
      </c>
      <c r="AC132" s="13">
        <v>3.734734722222222</v>
      </c>
      <c r="AD132" s="13">
        <v>0.61589794763212258</v>
      </c>
      <c r="AG132" s="17">
        <v>49359</v>
      </c>
    </row>
    <row r="133" spans="18:33" x14ac:dyDescent="0.4">
      <c r="R133" s="14">
        <v>22</v>
      </c>
      <c r="S133" s="13">
        <v>20371214</v>
      </c>
      <c r="T133" s="13">
        <v>20381213</v>
      </c>
      <c r="U133" s="13">
        <v>20381215</v>
      </c>
      <c r="V133" s="13">
        <v>3.8756495131578507E-2</v>
      </c>
      <c r="W133" s="13">
        <v>3.9187122855262713</v>
      </c>
      <c r="X133" s="13">
        <v>0.59267218963755686</v>
      </c>
      <c r="Y133" s="13">
        <v>20371214</v>
      </c>
      <c r="Z133" s="13">
        <v>20381213</v>
      </c>
      <c r="AA133" s="13">
        <v>20381215</v>
      </c>
      <c r="AB133" s="13">
        <v>3.6635000000000001E-2</v>
      </c>
      <c r="AC133" s="13">
        <v>3.7042055555555553</v>
      </c>
      <c r="AD133" s="13">
        <v>0.59267218963755686</v>
      </c>
      <c r="AG133" s="17">
        <v>49457</v>
      </c>
    </row>
    <row r="134" spans="18:33" x14ac:dyDescent="0.4">
      <c r="R134" s="14">
        <v>22</v>
      </c>
      <c r="S134" s="13">
        <v>20381213</v>
      </c>
      <c r="T134" s="13">
        <v>20391212</v>
      </c>
      <c r="U134" s="13">
        <v>20391214</v>
      </c>
      <c r="V134" s="13">
        <v>3.8950913531044427E-2</v>
      </c>
      <c r="W134" s="13">
        <v>3.9383701459167142</v>
      </c>
      <c r="X134" s="13">
        <v>0.57021441923429228</v>
      </c>
      <c r="Y134" s="13">
        <v>20381213</v>
      </c>
      <c r="Z134" s="13">
        <v>20391212</v>
      </c>
      <c r="AA134" s="13">
        <v>20391214</v>
      </c>
      <c r="AB134" s="13">
        <v>3.6635000000000001E-2</v>
      </c>
      <c r="AC134" s="13">
        <v>3.7042055555555553</v>
      </c>
      <c r="AD134" s="13">
        <v>0.57021441923429228</v>
      </c>
      <c r="AG134" s="17">
        <v>49479</v>
      </c>
    </row>
    <row r="135" spans="18:33" x14ac:dyDescent="0.4">
      <c r="R135" s="14">
        <v>22</v>
      </c>
      <c r="S135" s="13">
        <v>20391212</v>
      </c>
      <c r="T135" s="13">
        <v>20401212</v>
      </c>
      <c r="U135" s="13">
        <v>20401214</v>
      </c>
      <c r="V135" s="13">
        <v>3.6937679282251633E-2</v>
      </c>
      <c r="W135" s="13">
        <v>3.755330727028916</v>
      </c>
      <c r="X135" s="13">
        <v>0.54958239632160966</v>
      </c>
      <c r="Y135" s="13">
        <v>20391212</v>
      </c>
      <c r="Z135" s="13">
        <v>20401212</v>
      </c>
      <c r="AA135" s="13">
        <v>20401214</v>
      </c>
      <c r="AB135" s="13">
        <v>3.6635000000000001E-2</v>
      </c>
      <c r="AC135" s="13">
        <v>3.724558333333333</v>
      </c>
      <c r="AD135" s="13">
        <v>0.54958239632160966</v>
      </c>
      <c r="AG135" s="17">
        <v>49494</v>
      </c>
    </row>
    <row r="136" spans="18:33" x14ac:dyDescent="0.4">
      <c r="R136" s="14">
        <v>22</v>
      </c>
      <c r="S136" s="13">
        <v>20401212</v>
      </c>
      <c r="T136" s="13">
        <v>20411212</v>
      </c>
      <c r="U136" s="13">
        <v>20411216</v>
      </c>
      <c r="V136" s="13">
        <v>3.6841466149631082E-2</v>
      </c>
      <c r="W136" s="13">
        <v>3.7353153179487064</v>
      </c>
      <c r="X136" s="13">
        <v>0.52968686477828919</v>
      </c>
      <c r="Y136" s="13">
        <v>20401212</v>
      </c>
      <c r="Z136" s="13">
        <v>20411212</v>
      </c>
      <c r="AA136" s="13">
        <v>20411216</v>
      </c>
      <c r="AB136" s="13">
        <v>3.6635000000000001E-2</v>
      </c>
      <c r="AC136" s="13">
        <v>3.7143819444444444</v>
      </c>
      <c r="AD136" s="13">
        <v>0.52968686477828919</v>
      </c>
      <c r="AG136" s="17">
        <v>49555</v>
      </c>
    </row>
    <row r="137" spans="18:33" x14ac:dyDescent="0.4">
      <c r="R137" s="14">
        <v>22</v>
      </c>
      <c r="S137" s="13">
        <v>20411212</v>
      </c>
      <c r="T137" s="13">
        <v>20421212</v>
      </c>
      <c r="U137" s="13">
        <v>20421216</v>
      </c>
      <c r="V137" s="13">
        <v>3.6758626438003941E-2</v>
      </c>
      <c r="W137" s="13">
        <v>3.7269162916309551</v>
      </c>
      <c r="X137" s="13">
        <v>0.51065562702965217</v>
      </c>
      <c r="Y137" s="13">
        <v>20411212</v>
      </c>
      <c r="Z137" s="13">
        <v>20421212</v>
      </c>
      <c r="AA137" s="13">
        <v>20421216</v>
      </c>
      <c r="AB137" s="13">
        <v>3.6635000000000001E-2</v>
      </c>
      <c r="AC137" s="13">
        <v>3.7143819444444444</v>
      </c>
      <c r="AD137" s="13">
        <v>0.51065562702965217</v>
      </c>
      <c r="AG137" s="17">
        <v>49590</v>
      </c>
    </row>
    <row r="138" spans="18:33" x14ac:dyDescent="0.4">
      <c r="R138" s="14">
        <v>22</v>
      </c>
      <c r="S138" s="13">
        <v>20421212</v>
      </c>
      <c r="T138" s="13">
        <v>20431214</v>
      </c>
      <c r="U138" s="13">
        <v>20431216</v>
      </c>
      <c r="V138" s="13">
        <v>3.6679257660919735E-2</v>
      </c>
      <c r="W138" s="13">
        <v>3.7392465448770951</v>
      </c>
      <c r="X138" s="13">
        <v>0.49234803029187446</v>
      </c>
      <c r="Y138" s="13">
        <v>20421212</v>
      </c>
      <c r="Z138" s="13">
        <v>20431214</v>
      </c>
      <c r="AA138" s="13">
        <v>20431216</v>
      </c>
      <c r="AB138" s="13">
        <v>3.6635000000000001E-2</v>
      </c>
      <c r="AC138" s="13">
        <v>3.734734722222222</v>
      </c>
      <c r="AD138" s="13">
        <v>0.49234803029187446</v>
      </c>
      <c r="AG138" s="17">
        <v>49625</v>
      </c>
    </row>
    <row r="139" spans="18:33" x14ac:dyDescent="0.4">
      <c r="R139" s="14">
        <v>22</v>
      </c>
      <c r="S139" s="13">
        <v>20431214</v>
      </c>
      <c r="T139" s="13">
        <v>20441212</v>
      </c>
      <c r="U139" s="13">
        <v>20441214</v>
      </c>
      <c r="V139" s="13">
        <v>3.6590789660482972E-2</v>
      </c>
      <c r="W139" s="13">
        <v>3.6997353990043891</v>
      </c>
      <c r="X139" s="13">
        <v>0.47478255005914777</v>
      </c>
      <c r="Y139" s="13">
        <v>20431214</v>
      </c>
      <c r="Z139" s="13">
        <v>20441212</v>
      </c>
      <c r="AA139" s="13">
        <v>20441214</v>
      </c>
      <c r="AB139" s="13">
        <v>3.6635000000000001E-2</v>
      </c>
      <c r="AC139" s="13">
        <v>3.7042055555555553</v>
      </c>
      <c r="AD139" s="13">
        <v>0.47478255005914777</v>
      </c>
      <c r="AG139" s="17">
        <v>49635</v>
      </c>
    </row>
    <row r="140" spans="18:33" x14ac:dyDescent="0.4">
      <c r="R140" s="14">
        <v>22</v>
      </c>
      <c r="S140" s="13">
        <v>20441212</v>
      </c>
      <c r="T140" s="13">
        <v>20451212</v>
      </c>
      <c r="U140" s="13">
        <v>20451214</v>
      </c>
      <c r="V140" s="13">
        <v>3.2708484186023908E-2</v>
      </c>
      <c r="W140" s="13">
        <v>3.3162768688607569</v>
      </c>
      <c r="X140" s="13">
        <v>0.45955291756253558</v>
      </c>
      <c r="Y140" s="13">
        <v>20441212</v>
      </c>
      <c r="Z140" s="13">
        <v>20451212</v>
      </c>
      <c r="AA140" s="13">
        <v>20451214</v>
      </c>
      <c r="AB140" s="13">
        <v>3.6635000000000001E-2</v>
      </c>
      <c r="AC140" s="13">
        <v>3.7143819444444444</v>
      </c>
      <c r="AD140" s="13">
        <v>0.45955291756253558</v>
      </c>
      <c r="AG140" s="17">
        <v>49668</v>
      </c>
    </row>
    <row r="141" spans="18:33" x14ac:dyDescent="0.4">
      <c r="R141" s="14">
        <v>22</v>
      </c>
      <c r="S141" s="13">
        <v>20451212</v>
      </c>
      <c r="T141" s="13">
        <v>20461212</v>
      </c>
      <c r="U141" s="13">
        <v>20461214</v>
      </c>
      <c r="V141" s="13">
        <v>3.2243143643384056E-2</v>
      </c>
      <c r="W141" s="13">
        <v>3.2690965082875501</v>
      </c>
      <c r="X141" s="13">
        <v>0.4450063320740012</v>
      </c>
      <c r="Y141" s="13">
        <v>20451212</v>
      </c>
      <c r="Z141" s="13">
        <v>20461212</v>
      </c>
      <c r="AA141" s="13">
        <v>20461214</v>
      </c>
      <c r="AB141" s="13">
        <v>3.6635000000000001E-2</v>
      </c>
      <c r="AC141" s="13">
        <v>3.7143819444444444</v>
      </c>
      <c r="AD141" s="13">
        <v>0.4450063320740012</v>
      </c>
      <c r="AG141" s="17">
        <v>49675</v>
      </c>
    </row>
    <row r="142" spans="18:33" x14ac:dyDescent="0.4">
      <c r="R142" s="14">
        <v>22</v>
      </c>
      <c r="S142" s="13">
        <v>20461212</v>
      </c>
      <c r="T142" s="13">
        <v>20471212</v>
      </c>
      <c r="U142" s="13">
        <v>20471216</v>
      </c>
      <c r="V142" s="13">
        <v>3.1797908604047638E-2</v>
      </c>
      <c r="W142" s="13">
        <v>3.2239546223548299</v>
      </c>
      <c r="X142" s="13">
        <v>0.43103422660704804</v>
      </c>
      <c r="Y142" s="13">
        <v>20461212</v>
      </c>
      <c r="Z142" s="13">
        <v>20471212</v>
      </c>
      <c r="AA142" s="13">
        <v>20471216</v>
      </c>
      <c r="AB142" s="13">
        <v>3.6635000000000001E-2</v>
      </c>
      <c r="AC142" s="13">
        <v>3.7143819444444444</v>
      </c>
      <c r="AD142" s="13">
        <v>0.43103422660704804</v>
      </c>
      <c r="AG142" s="17">
        <v>49695</v>
      </c>
    </row>
    <row r="143" spans="18:33" x14ac:dyDescent="0.4">
      <c r="R143" s="14">
        <v>22</v>
      </c>
      <c r="S143" s="13">
        <v>20471212</v>
      </c>
      <c r="T143" s="13">
        <v>20481214</v>
      </c>
      <c r="U143" s="13">
        <v>20481216</v>
      </c>
      <c r="V143" s="13">
        <v>3.1355092656053282E-2</v>
      </c>
      <c r="W143" s="13">
        <v>3.2051872492854461</v>
      </c>
      <c r="X143" s="13">
        <v>0.41772095349961891</v>
      </c>
      <c r="Y143" s="13">
        <v>20471212</v>
      </c>
      <c r="Z143" s="13">
        <v>20481214</v>
      </c>
      <c r="AA143" s="13">
        <v>20481216</v>
      </c>
      <c r="AB143" s="13">
        <v>3.6635000000000001E-2</v>
      </c>
      <c r="AC143" s="13">
        <v>3.7449111111111106</v>
      </c>
      <c r="AD143" s="13">
        <v>0.41772095349961891</v>
      </c>
      <c r="AG143" s="17">
        <v>49723</v>
      </c>
    </row>
    <row r="144" spans="18:33" x14ac:dyDescent="0.4">
      <c r="R144" s="14">
        <v>22</v>
      </c>
      <c r="S144" s="13">
        <v>20481214</v>
      </c>
      <c r="T144" s="13">
        <v>20491213</v>
      </c>
      <c r="U144" s="13">
        <v>20491215</v>
      </c>
      <c r="V144" s="13">
        <v>3.0903663223749132E-2</v>
      </c>
      <c r="W144" s="13">
        <v>3.1247037259568566</v>
      </c>
      <c r="X144" s="13">
        <v>0.40506487429413734</v>
      </c>
      <c r="Y144" s="13">
        <v>20481214</v>
      </c>
      <c r="Z144" s="13">
        <v>20491213</v>
      </c>
      <c r="AA144" s="13">
        <v>20491215</v>
      </c>
      <c r="AB144" s="13">
        <v>3.6635000000000001E-2</v>
      </c>
      <c r="AC144" s="13">
        <v>3.7042055555555553</v>
      </c>
      <c r="AD144" s="13">
        <v>0.40506487429413734</v>
      </c>
      <c r="AG144" s="17">
        <v>49821</v>
      </c>
    </row>
    <row r="145" spans="18:33" x14ac:dyDescent="0.4">
      <c r="R145" s="14">
        <v>23</v>
      </c>
      <c r="S145" s="13">
        <v>20241212</v>
      </c>
      <c r="T145" s="13">
        <v>20251212</v>
      </c>
      <c r="U145" s="13">
        <v>20251216</v>
      </c>
      <c r="V145" s="13">
        <v>4.1305002507134439E-2</v>
      </c>
      <c r="W145" s="13">
        <v>4.1878683097511304</v>
      </c>
      <c r="X145" s="13">
        <v>0.9591640077873117</v>
      </c>
      <c r="Y145" s="13">
        <v>20241212</v>
      </c>
      <c r="Z145" s="13">
        <v>20251212</v>
      </c>
      <c r="AA145" s="13">
        <v>20251216</v>
      </c>
      <c r="AB145" s="13">
        <v>3.5735000000000003E-2</v>
      </c>
      <c r="AC145" s="13">
        <v>3.6231319444444443</v>
      </c>
      <c r="AD145" s="13">
        <v>0.9591640077873117</v>
      </c>
      <c r="AG145" s="17">
        <v>49845</v>
      </c>
    </row>
    <row r="146" spans="18:33" x14ac:dyDescent="0.4">
      <c r="R146" s="14">
        <v>23</v>
      </c>
      <c r="S146" s="13">
        <v>20251212</v>
      </c>
      <c r="T146" s="13">
        <v>20261214</v>
      </c>
      <c r="U146" s="13">
        <v>20261216</v>
      </c>
      <c r="V146" s="13">
        <v>3.7190129898170075E-2</v>
      </c>
      <c r="W146" s="13">
        <v>3.7913271312856711</v>
      </c>
      <c r="X146" s="13">
        <v>0.92432685700342188</v>
      </c>
      <c r="Y146" s="13">
        <v>20251212</v>
      </c>
      <c r="Z146" s="13">
        <v>20261214</v>
      </c>
      <c r="AA146" s="13">
        <v>20261216</v>
      </c>
      <c r="AB146" s="13">
        <v>3.5735000000000003E-2</v>
      </c>
      <c r="AC146" s="13">
        <v>3.6429847222222222</v>
      </c>
      <c r="AD146" s="13">
        <v>0.92432685700342188</v>
      </c>
      <c r="AG146" s="17">
        <v>49860</v>
      </c>
    </row>
    <row r="147" spans="18:33" x14ac:dyDescent="0.4">
      <c r="R147" s="14">
        <v>23</v>
      </c>
      <c r="S147" s="13">
        <v>20261214</v>
      </c>
      <c r="T147" s="13">
        <v>20271213</v>
      </c>
      <c r="U147" s="13">
        <v>20271215</v>
      </c>
      <c r="V147" s="13">
        <v>3.6249844475129522E-2</v>
      </c>
      <c r="W147" s="13">
        <v>3.6652620524853186</v>
      </c>
      <c r="X147" s="13">
        <v>0.89164911714584694</v>
      </c>
      <c r="Y147" s="13">
        <v>20261214</v>
      </c>
      <c r="Z147" s="13">
        <v>20271213</v>
      </c>
      <c r="AA147" s="13">
        <v>20271215</v>
      </c>
      <c r="AB147" s="13">
        <v>3.5735000000000003E-2</v>
      </c>
      <c r="AC147" s="13">
        <v>3.6132055555555556</v>
      </c>
      <c r="AD147" s="13">
        <v>0.89164911714584694</v>
      </c>
      <c r="AG147" s="17">
        <v>49919</v>
      </c>
    </row>
    <row r="148" spans="18:33" x14ac:dyDescent="0.4">
      <c r="R148" s="14">
        <v>23</v>
      </c>
      <c r="S148" s="13">
        <v>20271213</v>
      </c>
      <c r="T148" s="13">
        <v>20281212</v>
      </c>
      <c r="U148" s="13">
        <v>20281214</v>
      </c>
      <c r="V148" s="13">
        <v>3.5667535342730552E-2</v>
      </c>
      <c r="W148" s="13">
        <v>3.6162917778046255</v>
      </c>
      <c r="X148" s="13">
        <v>0.86053093602205988</v>
      </c>
      <c r="Y148" s="13">
        <v>20271213</v>
      </c>
      <c r="Z148" s="13">
        <v>20281212</v>
      </c>
      <c r="AA148" s="13">
        <v>20281214</v>
      </c>
      <c r="AB148" s="13">
        <v>3.5735000000000003E-2</v>
      </c>
      <c r="AC148" s="13">
        <v>3.6231319444444443</v>
      </c>
      <c r="AD148" s="13">
        <v>0.86053093602205988</v>
      </c>
      <c r="AG148" s="17">
        <v>49961</v>
      </c>
    </row>
    <row r="149" spans="18:33" x14ac:dyDescent="0.4">
      <c r="R149" s="14">
        <v>23</v>
      </c>
      <c r="S149" s="13">
        <v>20281212</v>
      </c>
      <c r="T149" s="13">
        <v>20291212</v>
      </c>
      <c r="U149" s="13">
        <v>20291214</v>
      </c>
      <c r="V149" s="13">
        <v>3.5640296597922359E-2</v>
      </c>
      <c r="W149" s="13">
        <v>3.6135300717337948</v>
      </c>
      <c r="X149" s="13">
        <v>0.83051884497735229</v>
      </c>
      <c r="Y149" s="13">
        <v>20281212</v>
      </c>
      <c r="Z149" s="13">
        <v>20291212</v>
      </c>
      <c r="AA149" s="13">
        <v>20291214</v>
      </c>
      <c r="AB149" s="13">
        <v>3.5735000000000003E-2</v>
      </c>
      <c r="AC149" s="13">
        <v>3.6231319444444443</v>
      </c>
      <c r="AD149" s="13">
        <v>0.83051884497735229</v>
      </c>
      <c r="AG149" s="17">
        <v>49990</v>
      </c>
    </row>
    <row r="150" spans="18:33" x14ac:dyDescent="0.4">
      <c r="R150" s="14">
        <v>23</v>
      </c>
      <c r="S150" s="13">
        <v>20291212</v>
      </c>
      <c r="T150" s="13">
        <v>20301212</v>
      </c>
      <c r="U150" s="13">
        <v>20301216</v>
      </c>
      <c r="V150" s="13">
        <v>3.618654070816156E-2</v>
      </c>
      <c r="W150" s="13">
        <v>3.6689131551330467</v>
      </c>
      <c r="X150" s="13">
        <v>0.80096547686545005</v>
      </c>
      <c r="Y150" s="13">
        <v>20291212</v>
      </c>
      <c r="Z150" s="13">
        <v>20301212</v>
      </c>
      <c r="AA150" s="13">
        <v>20301216</v>
      </c>
      <c r="AB150" s="13">
        <v>3.5735000000000003E-2</v>
      </c>
      <c r="AC150" s="13">
        <v>3.6231319444444443</v>
      </c>
      <c r="AD150" s="13">
        <v>0.80096547686545005</v>
      </c>
      <c r="AG150" s="17">
        <v>50006</v>
      </c>
    </row>
    <row r="151" spans="18:33" x14ac:dyDescent="0.4">
      <c r="R151" s="14">
        <v>23</v>
      </c>
      <c r="S151" s="13">
        <v>20301212</v>
      </c>
      <c r="T151" s="13">
        <v>20311212</v>
      </c>
      <c r="U151" s="13">
        <v>20311216</v>
      </c>
      <c r="V151" s="13">
        <v>3.6430977521579304E-2</v>
      </c>
      <c r="W151" s="13">
        <v>3.6936963320490124</v>
      </c>
      <c r="X151" s="13">
        <v>0.77243138832952019</v>
      </c>
      <c r="Y151" s="13">
        <v>20301212</v>
      </c>
      <c r="Z151" s="13">
        <v>20311212</v>
      </c>
      <c r="AA151" s="13">
        <v>20311216</v>
      </c>
      <c r="AB151" s="13">
        <v>3.5735000000000003E-2</v>
      </c>
      <c r="AC151" s="13">
        <v>3.6231319444444443</v>
      </c>
      <c r="AD151" s="13">
        <v>0.77243138832952019</v>
      </c>
      <c r="AG151" s="17">
        <v>50034</v>
      </c>
    </row>
    <row r="152" spans="18:33" x14ac:dyDescent="0.4">
      <c r="R152" s="14">
        <v>23</v>
      </c>
      <c r="S152" s="13">
        <v>20311212</v>
      </c>
      <c r="T152" s="13">
        <v>20321213</v>
      </c>
      <c r="U152" s="13">
        <v>20321215</v>
      </c>
      <c r="V152" s="13">
        <v>3.6863607227084962E-2</v>
      </c>
      <c r="W152" s="13">
        <v>3.7580399589833835</v>
      </c>
      <c r="X152" s="13">
        <v>0.74460011838752405</v>
      </c>
      <c r="Y152" s="13">
        <v>20311212</v>
      </c>
      <c r="Z152" s="13">
        <v>20321213</v>
      </c>
      <c r="AA152" s="13">
        <v>20321215</v>
      </c>
      <c r="AB152" s="13">
        <v>3.5735000000000003E-2</v>
      </c>
      <c r="AC152" s="13">
        <v>3.6429847222222222</v>
      </c>
      <c r="AD152" s="13">
        <v>0.74460011838752405</v>
      </c>
      <c r="AG152" s="17">
        <v>50041</v>
      </c>
    </row>
    <row r="153" spans="18:33" x14ac:dyDescent="0.4">
      <c r="R153" s="14">
        <v>23</v>
      </c>
      <c r="S153" s="13">
        <v>20321213</v>
      </c>
      <c r="T153" s="13">
        <v>20331212</v>
      </c>
      <c r="U153" s="13">
        <v>20331214</v>
      </c>
      <c r="V153" s="13">
        <v>3.7234777829027323E-2</v>
      </c>
      <c r="W153" s="13">
        <v>3.7648497582683182</v>
      </c>
      <c r="X153" s="13">
        <v>0.7175825502145613</v>
      </c>
      <c r="Y153" s="13">
        <v>20321213</v>
      </c>
      <c r="Z153" s="13">
        <v>20331212</v>
      </c>
      <c r="AA153" s="13">
        <v>20331214</v>
      </c>
      <c r="AB153" s="13">
        <v>3.5735000000000003E-2</v>
      </c>
      <c r="AC153" s="13">
        <v>3.6132055555555556</v>
      </c>
      <c r="AD153" s="13">
        <v>0.7175825502145613</v>
      </c>
      <c r="AG153" s="17">
        <v>50059</v>
      </c>
    </row>
    <row r="154" spans="18:33" x14ac:dyDescent="0.4">
      <c r="R154" s="14">
        <v>23</v>
      </c>
      <c r="S154" s="13">
        <v>20331212</v>
      </c>
      <c r="T154" s="13">
        <v>20341212</v>
      </c>
      <c r="U154" s="13">
        <v>20341214</v>
      </c>
      <c r="V154" s="13">
        <v>3.7756671073764299E-2</v>
      </c>
      <c r="W154" s="13">
        <v>3.8281069283122138</v>
      </c>
      <c r="X154" s="13">
        <v>0.69112343183170022</v>
      </c>
      <c r="Y154" s="13">
        <v>20331212</v>
      </c>
      <c r="Z154" s="13">
        <v>20341212</v>
      </c>
      <c r="AA154" s="13">
        <v>20341214</v>
      </c>
      <c r="AB154" s="13">
        <v>3.5735000000000003E-2</v>
      </c>
      <c r="AC154" s="13">
        <v>3.6231319444444443</v>
      </c>
      <c r="AD154" s="13">
        <v>0.69112343183170022</v>
      </c>
      <c r="AG154" s="17">
        <v>50087</v>
      </c>
    </row>
    <row r="155" spans="18:33" x14ac:dyDescent="0.4">
      <c r="R155" s="14">
        <v>23</v>
      </c>
      <c r="S155" s="13">
        <v>20341212</v>
      </c>
      <c r="T155" s="13">
        <v>20351212</v>
      </c>
      <c r="U155" s="13">
        <v>20351214</v>
      </c>
      <c r="V155" s="13">
        <v>3.8367248928884545E-2</v>
      </c>
      <c r="W155" s="13">
        <v>3.8900127386230166</v>
      </c>
      <c r="X155" s="13">
        <v>0.66524298415157745</v>
      </c>
      <c r="Y155" s="13">
        <v>20341212</v>
      </c>
      <c r="Z155" s="13">
        <v>20351212</v>
      </c>
      <c r="AA155" s="13">
        <v>20351214</v>
      </c>
      <c r="AB155" s="13">
        <v>3.5735000000000003E-2</v>
      </c>
      <c r="AC155" s="13">
        <v>3.6231319444444443</v>
      </c>
      <c r="AD155" s="13">
        <v>0.66524298415157745</v>
      </c>
      <c r="AG155" s="17">
        <v>50185</v>
      </c>
    </row>
    <row r="156" spans="18:33" x14ac:dyDescent="0.4">
      <c r="R156" s="14">
        <v>23</v>
      </c>
      <c r="S156" s="13">
        <v>20351212</v>
      </c>
      <c r="T156" s="13">
        <v>20361212</v>
      </c>
      <c r="U156" s="13">
        <v>20361216</v>
      </c>
      <c r="V156" s="13">
        <v>3.8610588540386098E-2</v>
      </c>
      <c r="W156" s="13">
        <v>3.925409834939253</v>
      </c>
      <c r="X156" s="13">
        <v>0.63997991334819559</v>
      </c>
      <c r="Y156" s="13">
        <v>20351212</v>
      </c>
      <c r="Z156" s="13">
        <v>20361212</v>
      </c>
      <c r="AA156" s="13">
        <v>20361216</v>
      </c>
      <c r="AB156" s="13">
        <v>3.5735000000000003E-2</v>
      </c>
      <c r="AC156" s="13">
        <v>3.6330583333333331</v>
      </c>
      <c r="AD156" s="13">
        <v>0.63997991334819559</v>
      </c>
      <c r="AG156" s="17">
        <v>50210</v>
      </c>
    </row>
    <row r="157" spans="18:33" x14ac:dyDescent="0.4">
      <c r="R157" s="14">
        <v>23</v>
      </c>
      <c r="S157" s="13">
        <v>20361212</v>
      </c>
      <c r="T157" s="13">
        <v>20371214</v>
      </c>
      <c r="U157" s="13">
        <v>20371216</v>
      </c>
      <c r="V157" s="13">
        <v>3.8570298248271365E-2</v>
      </c>
      <c r="W157" s="13">
        <v>3.9320276269765531</v>
      </c>
      <c r="X157" s="13">
        <v>0.61589794763212258</v>
      </c>
      <c r="Y157" s="13">
        <v>20361212</v>
      </c>
      <c r="Z157" s="13">
        <v>20371214</v>
      </c>
      <c r="AA157" s="13">
        <v>20371216</v>
      </c>
      <c r="AB157" s="13">
        <v>3.5735000000000003E-2</v>
      </c>
      <c r="AC157" s="13">
        <v>3.6429847222222222</v>
      </c>
      <c r="AD157" s="13">
        <v>0.61589794763212258</v>
      </c>
      <c r="AG157" s="17">
        <v>50224</v>
      </c>
    </row>
    <row r="158" spans="18:33" x14ac:dyDescent="0.4">
      <c r="R158" s="14">
        <v>23</v>
      </c>
      <c r="S158" s="13">
        <v>20371214</v>
      </c>
      <c r="T158" s="13">
        <v>20381213</v>
      </c>
      <c r="U158" s="13">
        <v>20381215</v>
      </c>
      <c r="V158" s="13">
        <v>3.8756495131578507E-2</v>
      </c>
      <c r="W158" s="13">
        <v>3.9187122855262713</v>
      </c>
      <c r="X158" s="13">
        <v>0.59267218963755686</v>
      </c>
      <c r="Y158" s="13">
        <v>20371214</v>
      </c>
      <c r="Z158" s="13">
        <v>20381213</v>
      </c>
      <c r="AA158" s="13">
        <v>20381215</v>
      </c>
      <c r="AB158" s="13">
        <v>3.5735000000000003E-2</v>
      </c>
      <c r="AC158" s="13">
        <v>3.6132055555555556</v>
      </c>
      <c r="AD158" s="13">
        <v>0.59267218963755686</v>
      </c>
      <c r="AG158" s="17">
        <v>50290</v>
      </c>
    </row>
    <row r="159" spans="18:33" x14ac:dyDescent="0.4">
      <c r="R159" s="14">
        <v>23</v>
      </c>
      <c r="S159" s="13">
        <v>20381213</v>
      </c>
      <c r="T159" s="13">
        <v>20391212</v>
      </c>
      <c r="U159" s="13">
        <v>20391214</v>
      </c>
      <c r="V159" s="13">
        <v>3.8950913531044427E-2</v>
      </c>
      <c r="W159" s="13">
        <v>3.9383701459167142</v>
      </c>
      <c r="X159" s="13">
        <v>0.57021441923429228</v>
      </c>
      <c r="Y159" s="13">
        <v>20381213</v>
      </c>
      <c r="Z159" s="13">
        <v>20391212</v>
      </c>
      <c r="AA159" s="13">
        <v>20391214</v>
      </c>
      <c r="AB159" s="13">
        <v>3.5735000000000003E-2</v>
      </c>
      <c r="AC159" s="13">
        <v>3.6132055555555556</v>
      </c>
      <c r="AD159" s="13">
        <v>0.57021441923429228</v>
      </c>
      <c r="AG159" s="17">
        <v>50325</v>
      </c>
    </row>
    <row r="160" spans="18:33" x14ac:dyDescent="0.4">
      <c r="R160" s="14">
        <v>23</v>
      </c>
      <c r="S160" s="13">
        <v>20391212</v>
      </c>
      <c r="T160" s="13">
        <v>20401212</v>
      </c>
      <c r="U160" s="13">
        <v>20401214</v>
      </c>
      <c r="V160" s="13">
        <v>3.6937679282251633E-2</v>
      </c>
      <c r="W160" s="13">
        <v>3.755330727028916</v>
      </c>
      <c r="X160" s="13">
        <v>0.54958239632160966</v>
      </c>
      <c r="Y160" s="13">
        <v>20391212</v>
      </c>
      <c r="Z160" s="13">
        <v>20401212</v>
      </c>
      <c r="AA160" s="13">
        <v>20401214</v>
      </c>
      <c r="AB160" s="13">
        <v>3.5735000000000003E-2</v>
      </c>
      <c r="AC160" s="13">
        <v>3.6330583333333331</v>
      </c>
      <c r="AD160" s="13">
        <v>0.54958239632160966</v>
      </c>
      <c r="AG160" s="17">
        <v>50355</v>
      </c>
    </row>
    <row r="161" spans="18:33" x14ac:dyDescent="0.4">
      <c r="R161" s="14">
        <v>23</v>
      </c>
      <c r="S161" s="13">
        <v>20401212</v>
      </c>
      <c r="T161" s="13">
        <v>20411212</v>
      </c>
      <c r="U161" s="13">
        <v>20411216</v>
      </c>
      <c r="V161" s="13">
        <v>3.6841466149631082E-2</v>
      </c>
      <c r="W161" s="13">
        <v>3.7353153179487064</v>
      </c>
      <c r="X161" s="13">
        <v>0.52968686477828919</v>
      </c>
      <c r="Y161" s="13">
        <v>20401212</v>
      </c>
      <c r="Z161" s="13">
        <v>20411212</v>
      </c>
      <c r="AA161" s="13">
        <v>20411216</v>
      </c>
      <c r="AB161" s="13">
        <v>3.5735000000000003E-2</v>
      </c>
      <c r="AC161" s="13">
        <v>3.6231319444444443</v>
      </c>
      <c r="AD161" s="13">
        <v>0.52968686477828919</v>
      </c>
      <c r="AG161" s="17">
        <v>50370</v>
      </c>
    </row>
    <row r="162" spans="18:33" x14ac:dyDescent="0.4">
      <c r="R162" s="14">
        <v>23</v>
      </c>
      <c r="S162" s="13">
        <v>20411212</v>
      </c>
      <c r="T162" s="13">
        <v>20421212</v>
      </c>
      <c r="U162" s="13">
        <v>20421216</v>
      </c>
      <c r="V162" s="13">
        <v>3.6758626438003941E-2</v>
      </c>
      <c r="W162" s="13">
        <v>3.7269162916309551</v>
      </c>
      <c r="X162" s="13">
        <v>0.51065562702965217</v>
      </c>
      <c r="Y162" s="13">
        <v>20411212</v>
      </c>
      <c r="Z162" s="13">
        <v>20421212</v>
      </c>
      <c r="AA162" s="13">
        <v>20421216</v>
      </c>
      <c r="AB162" s="13">
        <v>3.5735000000000003E-2</v>
      </c>
      <c r="AC162" s="13">
        <v>3.6231319444444443</v>
      </c>
      <c r="AD162" s="13">
        <v>0.51065562702965217</v>
      </c>
      <c r="AG162" s="17">
        <v>50399</v>
      </c>
    </row>
    <row r="163" spans="18:33" x14ac:dyDescent="0.4">
      <c r="R163" s="14">
        <v>23</v>
      </c>
      <c r="S163" s="13">
        <v>20421212</v>
      </c>
      <c r="T163" s="13">
        <v>20431214</v>
      </c>
      <c r="U163" s="13">
        <v>20431216</v>
      </c>
      <c r="V163" s="13">
        <v>3.6679257660919735E-2</v>
      </c>
      <c r="W163" s="13">
        <v>3.7392465448770951</v>
      </c>
      <c r="X163" s="13">
        <v>0.49234803029187446</v>
      </c>
      <c r="Y163" s="13">
        <v>20421212</v>
      </c>
      <c r="Z163" s="13">
        <v>20431214</v>
      </c>
      <c r="AA163" s="13">
        <v>20431216</v>
      </c>
      <c r="AB163" s="13">
        <v>3.5735000000000003E-2</v>
      </c>
      <c r="AC163" s="13">
        <v>3.6429847222222222</v>
      </c>
      <c r="AD163" s="13">
        <v>0.49234803029187446</v>
      </c>
      <c r="AG163" s="17">
        <v>50406</v>
      </c>
    </row>
    <row r="164" spans="18:33" x14ac:dyDescent="0.4">
      <c r="R164" s="14">
        <v>23</v>
      </c>
      <c r="S164" s="13">
        <v>20431214</v>
      </c>
      <c r="T164" s="13">
        <v>20441212</v>
      </c>
      <c r="U164" s="13">
        <v>20441214</v>
      </c>
      <c r="V164" s="13">
        <v>3.6590789660482972E-2</v>
      </c>
      <c r="W164" s="13">
        <v>3.6997353990043891</v>
      </c>
      <c r="X164" s="13">
        <v>0.47478255005914777</v>
      </c>
      <c r="Y164" s="13">
        <v>20431214</v>
      </c>
      <c r="Z164" s="13">
        <v>20441212</v>
      </c>
      <c r="AA164" s="13">
        <v>20441214</v>
      </c>
      <c r="AB164" s="13">
        <v>3.5735000000000003E-2</v>
      </c>
      <c r="AC164" s="13">
        <v>3.6132055555555556</v>
      </c>
      <c r="AD164" s="13">
        <v>0.47478255005914777</v>
      </c>
      <c r="AG164" s="17">
        <v>50423</v>
      </c>
    </row>
    <row r="165" spans="18:33" x14ac:dyDescent="0.4">
      <c r="R165" s="14">
        <v>23</v>
      </c>
      <c r="S165" s="13">
        <v>20441212</v>
      </c>
      <c r="T165" s="13">
        <v>20451212</v>
      </c>
      <c r="U165" s="13">
        <v>20451214</v>
      </c>
      <c r="V165" s="13">
        <v>3.2708484186023908E-2</v>
      </c>
      <c r="W165" s="13">
        <v>3.3162768688607569</v>
      </c>
      <c r="X165" s="13">
        <v>0.45955291756253558</v>
      </c>
      <c r="Y165" s="13">
        <v>20441212</v>
      </c>
      <c r="Z165" s="13">
        <v>20451212</v>
      </c>
      <c r="AA165" s="13">
        <v>20451214</v>
      </c>
      <c r="AB165" s="13">
        <v>3.5735000000000003E-2</v>
      </c>
      <c r="AC165" s="13">
        <v>3.6231319444444443</v>
      </c>
      <c r="AD165" s="13">
        <v>0.45955291756253558</v>
      </c>
      <c r="AG165" s="17">
        <v>50451</v>
      </c>
    </row>
    <row r="166" spans="18:33" x14ac:dyDescent="0.4">
      <c r="R166" s="14">
        <v>23</v>
      </c>
      <c r="S166" s="13">
        <v>20451212</v>
      </c>
      <c r="T166" s="13">
        <v>20461212</v>
      </c>
      <c r="U166" s="13">
        <v>20461214</v>
      </c>
      <c r="V166" s="13">
        <v>3.2243143643384056E-2</v>
      </c>
      <c r="W166" s="13">
        <v>3.2690965082875501</v>
      </c>
      <c r="X166" s="13">
        <v>0.4450063320740012</v>
      </c>
      <c r="Y166" s="13">
        <v>20451212</v>
      </c>
      <c r="Z166" s="13">
        <v>20461212</v>
      </c>
      <c r="AA166" s="13">
        <v>20461214</v>
      </c>
      <c r="AB166" s="13">
        <v>3.5735000000000003E-2</v>
      </c>
      <c r="AC166" s="13">
        <v>3.6231319444444443</v>
      </c>
      <c r="AD166" s="13">
        <v>0.4450063320740012</v>
      </c>
      <c r="AG166" s="17">
        <v>50556</v>
      </c>
    </row>
    <row r="167" spans="18:33" x14ac:dyDescent="0.4">
      <c r="R167" s="14">
        <v>23</v>
      </c>
      <c r="S167" s="13">
        <v>20461212</v>
      </c>
      <c r="T167" s="13">
        <v>20471212</v>
      </c>
      <c r="U167" s="13">
        <v>20471216</v>
      </c>
      <c r="V167" s="13">
        <v>3.1797908604047638E-2</v>
      </c>
      <c r="W167" s="13">
        <v>3.2239546223548299</v>
      </c>
      <c r="X167" s="13">
        <v>0.43103422660704804</v>
      </c>
      <c r="Y167" s="13">
        <v>20461212</v>
      </c>
      <c r="Z167" s="13">
        <v>20471212</v>
      </c>
      <c r="AA167" s="13">
        <v>20471216</v>
      </c>
      <c r="AB167" s="13">
        <v>3.5735000000000003E-2</v>
      </c>
      <c r="AC167" s="13">
        <v>3.6231319444444443</v>
      </c>
      <c r="AD167" s="13">
        <v>0.43103422660704804</v>
      </c>
      <c r="AG167" s="17">
        <v>50574</v>
      </c>
    </row>
    <row r="168" spans="18:33" x14ac:dyDescent="0.4">
      <c r="R168" s="14">
        <v>23</v>
      </c>
      <c r="S168" s="13">
        <v>20471212</v>
      </c>
      <c r="T168" s="13">
        <v>20481214</v>
      </c>
      <c r="U168" s="13">
        <v>20481216</v>
      </c>
      <c r="V168" s="13">
        <v>3.1355092656053282E-2</v>
      </c>
      <c r="W168" s="13">
        <v>3.2051872492854461</v>
      </c>
      <c r="X168" s="13">
        <v>0.41772095349961891</v>
      </c>
      <c r="Y168" s="13">
        <v>20471212</v>
      </c>
      <c r="Z168" s="13">
        <v>20481214</v>
      </c>
      <c r="AA168" s="13">
        <v>20481216</v>
      </c>
      <c r="AB168" s="13">
        <v>3.5735000000000003E-2</v>
      </c>
      <c r="AC168" s="13">
        <v>3.652911111111111</v>
      </c>
      <c r="AD168" s="13">
        <v>0.41772095349961891</v>
      </c>
      <c r="AG168" s="17">
        <v>50591</v>
      </c>
    </row>
    <row r="169" spans="18:33" x14ac:dyDescent="0.4">
      <c r="R169" s="14">
        <v>23</v>
      </c>
      <c r="S169" s="13">
        <v>20481214</v>
      </c>
      <c r="T169" s="13">
        <v>20491213</v>
      </c>
      <c r="U169" s="13">
        <v>20491215</v>
      </c>
      <c r="V169" s="13">
        <v>3.0903663223749132E-2</v>
      </c>
      <c r="W169" s="13">
        <v>3.1247037259568566</v>
      </c>
      <c r="X169" s="13">
        <v>0.40506487429413734</v>
      </c>
      <c r="Y169" s="13">
        <v>20481214</v>
      </c>
      <c r="Z169" s="13">
        <v>20491213</v>
      </c>
      <c r="AA169" s="13">
        <v>20491215</v>
      </c>
      <c r="AB169" s="13">
        <v>3.5735000000000003E-2</v>
      </c>
      <c r="AC169" s="13">
        <v>3.6132055555555556</v>
      </c>
      <c r="AD169" s="13">
        <v>0.40506487429413734</v>
      </c>
      <c r="AG169" s="17">
        <v>50654</v>
      </c>
    </row>
    <row r="170" spans="18:33" x14ac:dyDescent="0.4">
      <c r="R170" s="14">
        <v>23</v>
      </c>
      <c r="S170" s="13">
        <v>20491213</v>
      </c>
      <c r="T170" s="13">
        <v>20501212</v>
      </c>
      <c r="U170" s="13">
        <v>20501214</v>
      </c>
      <c r="V170" s="13">
        <v>2.9081579542188412E-2</v>
      </c>
      <c r="W170" s="13">
        <v>2.9404708203768282</v>
      </c>
      <c r="X170" s="13">
        <v>0.39349828444659474</v>
      </c>
      <c r="Y170" s="13">
        <v>20491213</v>
      </c>
      <c r="Z170" s="13">
        <v>20501212</v>
      </c>
      <c r="AA170" s="13">
        <v>20501214</v>
      </c>
      <c r="AB170" s="13">
        <v>3.5735000000000003E-2</v>
      </c>
      <c r="AC170" s="13">
        <v>3.6132055555555556</v>
      </c>
      <c r="AD170" s="13">
        <v>0.39349828444659474</v>
      </c>
      <c r="AG170" s="17">
        <v>50689</v>
      </c>
    </row>
    <row r="171" spans="18:33" x14ac:dyDescent="0.4">
      <c r="R171" s="14">
        <v>23</v>
      </c>
      <c r="S171" s="13">
        <v>20501212</v>
      </c>
      <c r="T171" s="13">
        <v>20511212</v>
      </c>
      <c r="U171" s="13">
        <v>20511214</v>
      </c>
      <c r="V171" s="13">
        <v>2.8525892790138622E-2</v>
      </c>
      <c r="W171" s="13">
        <v>2.8922085745557213</v>
      </c>
      <c r="X171" s="13">
        <v>0.38243853324135818</v>
      </c>
      <c r="Y171" s="13">
        <v>20501212</v>
      </c>
      <c r="Z171" s="13">
        <v>20511212</v>
      </c>
      <c r="AA171" s="13">
        <v>20511214</v>
      </c>
      <c r="AB171" s="13">
        <v>3.5735000000000003E-2</v>
      </c>
      <c r="AC171" s="13">
        <v>3.6231319444444443</v>
      </c>
      <c r="AD171" s="13">
        <v>0.38243853324135818</v>
      </c>
      <c r="AG171" s="17">
        <v>50720</v>
      </c>
    </row>
    <row r="172" spans="18:33" x14ac:dyDescent="0.4">
      <c r="R172" s="14">
        <v>23</v>
      </c>
      <c r="S172" s="13">
        <v>20511212</v>
      </c>
      <c r="T172" s="13">
        <v>20521212</v>
      </c>
      <c r="U172" s="13">
        <v>20521216</v>
      </c>
      <c r="V172" s="13">
        <v>2.7976231328997646E-2</v>
      </c>
      <c r="W172" s="13">
        <v>2.8442501851147606</v>
      </c>
      <c r="X172" s="13">
        <v>0.37180653702657662</v>
      </c>
      <c r="Y172" s="13">
        <v>20511212</v>
      </c>
      <c r="Z172" s="13">
        <v>20521212</v>
      </c>
      <c r="AA172" s="13">
        <v>20521216</v>
      </c>
      <c r="AB172" s="13">
        <v>3.5735000000000003E-2</v>
      </c>
      <c r="AC172" s="13">
        <v>3.6330583333333331</v>
      </c>
      <c r="AD172" s="13">
        <v>0.37180653702657662</v>
      </c>
      <c r="AG172" s="17">
        <v>50734</v>
      </c>
    </row>
    <row r="173" spans="18:33" x14ac:dyDescent="0.4">
      <c r="R173" s="14">
        <v>23</v>
      </c>
      <c r="S173" s="13">
        <v>20521212</v>
      </c>
      <c r="T173" s="13">
        <v>20531212</v>
      </c>
      <c r="U173" s="13">
        <v>20531216</v>
      </c>
      <c r="V173" s="13">
        <v>2.7424715045981211E-2</v>
      </c>
      <c r="W173" s="13">
        <v>2.7805613866064283</v>
      </c>
      <c r="X173" s="13">
        <v>0.36175006327929693</v>
      </c>
      <c r="Y173" s="13">
        <v>20521212</v>
      </c>
      <c r="Z173" s="13">
        <v>20531212</v>
      </c>
      <c r="AA173" s="13">
        <v>20531216</v>
      </c>
      <c r="AB173" s="13">
        <v>3.5735000000000003E-2</v>
      </c>
      <c r="AC173" s="13">
        <v>3.6231319444444443</v>
      </c>
      <c r="AD173" s="13">
        <v>0.36175006327929693</v>
      </c>
      <c r="AG173" s="17">
        <v>50763</v>
      </c>
    </row>
    <row r="174" spans="18:33" x14ac:dyDescent="0.4">
      <c r="R174" s="14">
        <v>23</v>
      </c>
      <c r="S174" s="13">
        <v>20531212</v>
      </c>
      <c r="T174" s="13">
        <v>20541214</v>
      </c>
      <c r="U174" s="13">
        <v>20541216</v>
      </c>
      <c r="V174" s="13">
        <v>2.6875810190728395E-2</v>
      </c>
      <c r="W174" s="13">
        <v>2.7398395388881447</v>
      </c>
      <c r="X174" s="13">
        <v>0.35215644399485918</v>
      </c>
      <c r="Y174" s="13">
        <v>20531212</v>
      </c>
      <c r="Z174" s="13">
        <v>20541214</v>
      </c>
      <c r="AA174" s="13">
        <v>20541216</v>
      </c>
      <c r="AB174" s="13">
        <v>3.5735000000000003E-2</v>
      </c>
      <c r="AC174" s="13">
        <v>3.6429847222222222</v>
      </c>
      <c r="AD174" s="13">
        <v>0.35215644399485918</v>
      </c>
      <c r="AG174" s="17">
        <v>50771</v>
      </c>
    </row>
    <row r="175" spans="18:33" x14ac:dyDescent="0.4">
      <c r="R175" s="14">
        <v>24</v>
      </c>
      <c r="S175" s="13">
        <v>20241212</v>
      </c>
      <c r="T175" s="13">
        <v>20251212</v>
      </c>
      <c r="U175" s="13">
        <v>20251216</v>
      </c>
      <c r="V175" s="13">
        <v>4.1305002507134439E-2</v>
      </c>
      <c r="W175" s="13">
        <v>4.1878683097511304</v>
      </c>
      <c r="X175" s="13">
        <v>0.9591640077873117</v>
      </c>
      <c r="Y175" s="13">
        <v>20241212</v>
      </c>
      <c r="Z175" s="13">
        <v>20251212</v>
      </c>
      <c r="AA175" s="13">
        <v>20251216</v>
      </c>
      <c r="AB175" s="13">
        <v>3.3739999999999999E-2</v>
      </c>
      <c r="AC175" s="13">
        <v>3.4208611111111109</v>
      </c>
      <c r="AD175" s="13">
        <v>0.9591640077873117</v>
      </c>
      <c r="AG175" s="17">
        <v>50787</v>
      </c>
    </row>
    <row r="176" spans="18:33" x14ac:dyDescent="0.4">
      <c r="R176" s="14">
        <v>24</v>
      </c>
      <c r="S176" s="13">
        <v>20251212</v>
      </c>
      <c r="T176" s="13">
        <v>20261214</v>
      </c>
      <c r="U176" s="13">
        <v>20261216</v>
      </c>
      <c r="V176" s="13">
        <v>3.7190129898170075E-2</v>
      </c>
      <c r="W176" s="13">
        <v>3.7913271312856711</v>
      </c>
      <c r="X176" s="13">
        <v>0.92432685700342188</v>
      </c>
      <c r="Y176" s="13">
        <v>20251212</v>
      </c>
      <c r="Z176" s="13">
        <v>20261214</v>
      </c>
      <c r="AA176" s="13">
        <v>20261216</v>
      </c>
      <c r="AB176" s="13">
        <v>3.3739999999999999E-2</v>
      </c>
      <c r="AC176" s="13">
        <v>3.4396055555555556</v>
      </c>
      <c r="AD176" s="13">
        <v>0.92432685700342188</v>
      </c>
      <c r="AG176" s="17">
        <v>50822</v>
      </c>
    </row>
    <row r="177" spans="18:33" x14ac:dyDescent="0.4">
      <c r="R177" s="14">
        <v>24</v>
      </c>
      <c r="S177" s="13">
        <v>20261214</v>
      </c>
      <c r="T177" s="13">
        <v>20271213</v>
      </c>
      <c r="U177" s="13">
        <v>20271215</v>
      </c>
      <c r="V177" s="13">
        <v>3.6249844475129522E-2</v>
      </c>
      <c r="W177" s="13">
        <v>3.6652620524853186</v>
      </c>
      <c r="X177" s="13">
        <v>0.89164911714584694</v>
      </c>
      <c r="Y177" s="13">
        <v>20261214</v>
      </c>
      <c r="Z177" s="13">
        <v>20271213</v>
      </c>
      <c r="AA177" s="13">
        <v>20271215</v>
      </c>
      <c r="AB177" s="13">
        <v>3.3739999999999999E-2</v>
      </c>
      <c r="AC177" s="13">
        <v>3.411488888888889</v>
      </c>
      <c r="AD177" s="13">
        <v>0.89164911714584694</v>
      </c>
      <c r="AG177" s="17">
        <v>50920</v>
      </c>
    </row>
    <row r="178" spans="18:33" x14ac:dyDescent="0.4">
      <c r="R178" s="14">
        <v>24</v>
      </c>
      <c r="S178" s="13">
        <v>20271213</v>
      </c>
      <c r="T178" s="13">
        <v>20281212</v>
      </c>
      <c r="U178" s="13">
        <v>20281214</v>
      </c>
      <c r="V178" s="13">
        <v>3.5667535342730552E-2</v>
      </c>
      <c r="W178" s="13">
        <v>3.6162917778046255</v>
      </c>
      <c r="X178" s="13">
        <v>0.86053093602205988</v>
      </c>
      <c r="Y178" s="13">
        <v>20271213</v>
      </c>
      <c r="Z178" s="13">
        <v>20281212</v>
      </c>
      <c r="AA178" s="13">
        <v>20281214</v>
      </c>
      <c r="AB178" s="13">
        <v>3.3739999999999999E-2</v>
      </c>
      <c r="AC178" s="13">
        <v>3.4208611111111109</v>
      </c>
      <c r="AD178" s="13">
        <v>0.86053093602205988</v>
      </c>
      <c r="AG178" s="17">
        <v>50941</v>
      </c>
    </row>
    <row r="179" spans="18:33" x14ac:dyDescent="0.4">
      <c r="R179" s="14">
        <v>24</v>
      </c>
      <c r="S179" s="13">
        <v>20281212</v>
      </c>
      <c r="T179" s="13">
        <v>20291212</v>
      </c>
      <c r="U179" s="13">
        <v>20291214</v>
      </c>
      <c r="V179" s="13">
        <v>3.5640296597922359E-2</v>
      </c>
      <c r="W179" s="13">
        <v>3.6135300717337948</v>
      </c>
      <c r="X179" s="13">
        <v>0.83051884497735229</v>
      </c>
      <c r="Y179" s="13">
        <v>20281212</v>
      </c>
      <c r="Z179" s="13">
        <v>20291212</v>
      </c>
      <c r="AA179" s="13">
        <v>20291214</v>
      </c>
      <c r="AB179" s="13">
        <v>3.3739999999999999E-2</v>
      </c>
      <c r="AC179" s="13">
        <v>3.4208611111111109</v>
      </c>
      <c r="AD179" s="13">
        <v>0.83051884497735229</v>
      </c>
      <c r="AG179" s="17">
        <v>50955</v>
      </c>
    </row>
    <row r="180" spans="18:33" x14ac:dyDescent="0.4">
      <c r="R180" s="14">
        <v>24</v>
      </c>
      <c r="S180" s="13">
        <v>20291212</v>
      </c>
      <c r="T180" s="13">
        <v>20301212</v>
      </c>
      <c r="U180" s="13">
        <v>20301216</v>
      </c>
      <c r="V180" s="13">
        <v>3.618654070816156E-2</v>
      </c>
      <c r="W180" s="13">
        <v>3.6689131551330467</v>
      </c>
      <c r="X180" s="13">
        <v>0.80096547686545005</v>
      </c>
      <c r="Y180" s="13">
        <v>20291212</v>
      </c>
      <c r="Z180" s="13">
        <v>20301212</v>
      </c>
      <c r="AA180" s="13">
        <v>20301216</v>
      </c>
      <c r="AB180" s="13">
        <v>3.3739999999999999E-2</v>
      </c>
      <c r="AC180" s="13">
        <v>3.4208611111111109</v>
      </c>
      <c r="AD180" s="13">
        <v>0.80096547686545005</v>
      </c>
      <c r="AG180" s="17">
        <v>51018</v>
      </c>
    </row>
    <row r="181" spans="18:33" x14ac:dyDescent="0.4">
      <c r="R181" s="14">
        <v>24</v>
      </c>
      <c r="S181" s="13">
        <v>20301212</v>
      </c>
      <c r="T181" s="13">
        <v>20311212</v>
      </c>
      <c r="U181" s="13">
        <v>20311216</v>
      </c>
      <c r="V181" s="13">
        <v>3.6430977521579304E-2</v>
      </c>
      <c r="W181" s="13">
        <v>3.6936963320490124</v>
      </c>
      <c r="X181" s="13">
        <v>0.77243138832952019</v>
      </c>
      <c r="Y181" s="13">
        <v>20301212</v>
      </c>
      <c r="Z181" s="13">
        <v>20311212</v>
      </c>
      <c r="AA181" s="13">
        <v>20311216</v>
      </c>
      <c r="AB181" s="13">
        <v>3.3739999999999999E-2</v>
      </c>
      <c r="AC181" s="13">
        <v>3.4208611111111109</v>
      </c>
      <c r="AD181" s="13">
        <v>0.77243138832952019</v>
      </c>
      <c r="AG181" s="17">
        <v>51053</v>
      </c>
    </row>
    <row r="182" spans="18:33" x14ac:dyDescent="0.4">
      <c r="R182" s="14">
        <v>24</v>
      </c>
      <c r="S182" s="13">
        <v>20311212</v>
      </c>
      <c r="T182" s="13">
        <v>20321213</v>
      </c>
      <c r="U182" s="13">
        <v>20321215</v>
      </c>
      <c r="V182" s="13">
        <v>3.6863607227084962E-2</v>
      </c>
      <c r="W182" s="13">
        <v>3.7580399589833835</v>
      </c>
      <c r="X182" s="13">
        <v>0.74460011838752405</v>
      </c>
      <c r="Y182" s="13">
        <v>20311212</v>
      </c>
      <c r="Z182" s="13">
        <v>20321213</v>
      </c>
      <c r="AA182" s="13">
        <v>20321215</v>
      </c>
      <c r="AB182" s="13">
        <v>3.3739999999999999E-2</v>
      </c>
      <c r="AC182" s="13">
        <v>3.4396055555555556</v>
      </c>
      <c r="AD182" s="13">
        <v>0.74460011838752405</v>
      </c>
      <c r="AG182" s="17">
        <v>51085</v>
      </c>
    </row>
    <row r="183" spans="18:33" x14ac:dyDescent="0.4">
      <c r="R183" s="14">
        <v>24</v>
      </c>
      <c r="S183" s="13">
        <v>20321213</v>
      </c>
      <c r="T183" s="13">
        <v>20331212</v>
      </c>
      <c r="U183" s="13">
        <v>20331214</v>
      </c>
      <c r="V183" s="13">
        <v>3.7234777829027323E-2</v>
      </c>
      <c r="W183" s="13">
        <v>3.7648497582683182</v>
      </c>
      <c r="X183" s="13">
        <v>0.7175825502145613</v>
      </c>
      <c r="Y183" s="13">
        <v>20321213</v>
      </c>
      <c r="Z183" s="13">
        <v>20331212</v>
      </c>
      <c r="AA183" s="13">
        <v>20331214</v>
      </c>
      <c r="AB183" s="13">
        <v>3.3739999999999999E-2</v>
      </c>
      <c r="AC183" s="13">
        <v>3.411488888888889</v>
      </c>
      <c r="AD183" s="13">
        <v>0.7175825502145613</v>
      </c>
      <c r="AG183" s="17">
        <v>51098</v>
      </c>
    </row>
    <row r="184" spans="18:33" x14ac:dyDescent="0.4">
      <c r="R184" s="14">
        <v>24</v>
      </c>
      <c r="S184" s="13">
        <v>20331212</v>
      </c>
      <c r="T184" s="13">
        <v>20341212</v>
      </c>
      <c r="U184" s="13">
        <v>20341214</v>
      </c>
      <c r="V184" s="13">
        <v>3.7756671073764299E-2</v>
      </c>
      <c r="W184" s="13">
        <v>3.8281069283122138</v>
      </c>
      <c r="X184" s="13">
        <v>0.69112343183170022</v>
      </c>
      <c r="Y184" s="13">
        <v>20331212</v>
      </c>
      <c r="Z184" s="13">
        <v>20341212</v>
      </c>
      <c r="AA184" s="13">
        <v>20341214</v>
      </c>
      <c r="AB184" s="13">
        <v>3.3739999999999999E-2</v>
      </c>
      <c r="AC184" s="13">
        <v>3.4208611111111109</v>
      </c>
      <c r="AD184" s="13">
        <v>0.69112343183170022</v>
      </c>
      <c r="AG184" s="17">
        <v>51130</v>
      </c>
    </row>
    <row r="185" spans="18:33" x14ac:dyDescent="0.4">
      <c r="R185" s="14">
        <v>24</v>
      </c>
      <c r="S185" s="13">
        <v>20341212</v>
      </c>
      <c r="T185" s="13">
        <v>20351212</v>
      </c>
      <c r="U185" s="13">
        <v>20351214</v>
      </c>
      <c r="V185" s="13">
        <v>3.8367248928884545E-2</v>
      </c>
      <c r="W185" s="13">
        <v>3.8900127386230166</v>
      </c>
      <c r="X185" s="13">
        <v>0.66524298415157745</v>
      </c>
      <c r="Y185" s="13">
        <v>20341212</v>
      </c>
      <c r="Z185" s="13">
        <v>20351212</v>
      </c>
      <c r="AA185" s="13">
        <v>20351214</v>
      </c>
      <c r="AB185" s="13">
        <v>3.3739999999999999E-2</v>
      </c>
      <c r="AC185" s="13">
        <v>3.4208611111111109</v>
      </c>
      <c r="AD185" s="13">
        <v>0.66524298415157745</v>
      </c>
      <c r="AG185" s="17">
        <v>51137</v>
      </c>
    </row>
    <row r="186" spans="18:33" x14ac:dyDescent="0.4">
      <c r="R186" s="14">
        <v>24</v>
      </c>
      <c r="S186" s="13">
        <v>20351212</v>
      </c>
      <c r="T186" s="13">
        <v>20361212</v>
      </c>
      <c r="U186" s="13">
        <v>20361216</v>
      </c>
      <c r="V186" s="13">
        <v>3.8610588540386098E-2</v>
      </c>
      <c r="W186" s="13">
        <v>3.925409834939253</v>
      </c>
      <c r="X186" s="13">
        <v>0.63997991334819559</v>
      </c>
      <c r="Y186" s="13">
        <v>20351212</v>
      </c>
      <c r="Z186" s="13">
        <v>20361212</v>
      </c>
      <c r="AA186" s="13">
        <v>20361216</v>
      </c>
      <c r="AB186" s="13">
        <v>3.3739999999999999E-2</v>
      </c>
      <c r="AC186" s="13">
        <v>3.4302333333333332</v>
      </c>
      <c r="AD186" s="13">
        <v>0.63997991334819559</v>
      </c>
      <c r="AG186" s="17">
        <v>51151</v>
      </c>
    </row>
    <row r="187" spans="18:33" x14ac:dyDescent="0.4">
      <c r="R187" s="14">
        <v>24</v>
      </c>
      <c r="S187" s="13">
        <v>20361212</v>
      </c>
      <c r="T187" s="13">
        <v>20371214</v>
      </c>
      <c r="U187" s="13">
        <v>20371216</v>
      </c>
      <c r="V187" s="13">
        <v>3.8570298248271365E-2</v>
      </c>
      <c r="W187" s="13">
        <v>3.9320276269765531</v>
      </c>
      <c r="X187" s="13">
        <v>0.61589794763212258</v>
      </c>
      <c r="Y187" s="13">
        <v>20361212</v>
      </c>
      <c r="Z187" s="13">
        <v>20371214</v>
      </c>
      <c r="AA187" s="13">
        <v>20371216</v>
      </c>
      <c r="AB187" s="13">
        <v>3.3739999999999999E-2</v>
      </c>
      <c r="AC187" s="13">
        <v>3.4396055555555556</v>
      </c>
      <c r="AD187" s="13">
        <v>0.61589794763212258</v>
      </c>
      <c r="AG187" s="17">
        <v>51186</v>
      </c>
    </row>
    <row r="188" spans="18:33" x14ac:dyDescent="0.4">
      <c r="R188" s="14">
        <v>24</v>
      </c>
      <c r="S188" s="13">
        <v>20371214</v>
      </c>
      <c r="T188" s="13">
        <v>20381213</v>
      </c>
      <c r="U188" s="13">
        <v>20381215</v>
      </c>
      <c r="V188" s="13">
        <v>3.8756495131578507E-2</v>
      </c>
      <c r="W188" s="13">
        <v>3.9187122855262713</v>
      </c>
      <c r="X188" s="13">
        <v>0.59267218963755686</v>
      </c>
      <c r="Y188" s="13">
        <v>20371214</v>
      </c>
      <c r="Z188" s="13">
        <v>20381213</v>
      </c>
      <c r="AA188" s="13">
        <v>20381215</v>
      </c>
      <c r="AB188" s="13">
        <v>3.3739999999999999E-2</v>
      </c>
      <c r="AC188" s="13">
        <v>3.411488888888889</v>
      </c>
      <c r="AD188" s="13">
        <v>0.59267218963755686</v>
      </c>
      <c r="AG188" s="17">
        <v>51284</v>
      </c>
    </row>
    <row r="189" spans="18:33" x14ac:dyDescent="0.4">
      <c r="R189" s="14">
        <v>24</v>
      </c>
      <c r="S189" s="13">
        <v>20381213</v>
      </c>
      <c r="T189" s="13">
        <v>20391212</v>
      </c>
      <c r="U189" s="13">
        <v>20391214</v>
      </c>
      <c r="V189" s="13">
        <v>3.8950913531044427E-2</v>
      </c>
      <c r="W189" s="13">
        <v>3.9383701459167142</v>
      </c>
      <c r="X189" s="13">
        <v>0.57021441923429228</v>
      </c>
      <c r="Y189" s="13">
        <v>20381213</v>
      </c>
      <c r="Z189" s="13">
        <v>20391212</v>
      </c>
      <c r="AA189" s="13">
        <v>20391214</v>
      </c>
      <c r="AB189" s="13">
        <v>3.3739999999999999E-2</v>
      </c>
      <c r="AC189" s="13">
        <v>3.411488888888889</v>
      </c>
      <c r="AD189" s="13">
        <v>0.57021441923429228</v>
      </c>
      <c r="AG189" s="17">
        <v>51306</v>
      </c>
    </row>
    <row r="190" spans="18:33" x14ac:dyDescent="0.4">
      <c r="R190" s="14">
        <v>24</v>
      </c>
      <c r="S190" s="13">
        <v>20391212</v>
      </c>
      <c r="T190" s="13">
        <v>20401212</v>
      </c>
      <c r="U190" s="13">
        <v>20401214</v>
      </c>
      <c r="V190" s="13">
        <v>3.6937679282251633E-2</v>
      </c>
      <c r="W190" s="13">
        <v>3.755330727028916</v>
      </c>
      <c r="X190" s="13">
        <v>0.54958239632160966</v>
      </c>
      <c r="Y190" s="13">
        <v>20391212</v>
      </c>
      <c r="Z190" s="13">
        <v>20401212</v>
      </c>
      <c r="AA190" s="13">
        <v>20401214</v>
      </c>
      <c r="AB190" s="13">
        <v>3.3739999999999999E-2</v>
      </c>
      <c r="AC190" s="13">
        <v>3.4302333333333332</v>
      </c>
      <c r="AD190" s="13">
        <v>0.54958239632160966</v>
      </c>
      <c r="AG190" s="17">
        <v>51321</v>
      </c>
    </row>
    <row r="191" spans="18:33" x14ac:dyDescent="0.4">
      <c r="R191" s="14">
        <v>24</v>
      </c>
      <c r="S191" s="13">
        <v>20401212</v>
      </c>
      <c r="T191" s="13">
        <v>20411212</v>
      </c>
      <c r="U191" s="13">
        <v>20411216</v>
      </c>
      <c r="V191" s="13">
        <v>3.6841466149631082E-2</v>
      </c>
      <c r="W191" s="13">
        <v>3.7353153179487064</v>
      </c>
      <c r="X191" s="13">
        <v>0.52968686477828919</v>
      </c>
      <c r="Y191" s="13">
        <v>20401212</v>
      </c>
      <c r="Z191" s="13">
        <v>20411212</v>
      </c>
      <c r="AA191" s="13">
        <v>20411216</v>
      </c>
      <c r="AB191" s="13">
        <v>3.3739999999999999E-2</v>
      </c>
      <c r="AC191" s="13">
        <v>3.4208611111111109</v>
      </c>
      <c r="AD191" s="13">
        <v>0.52968686477828919</v>
      </c>
      <c r="AG191" s="17">
        <v>51382</v>
      </c>
    </row>
    <row r="192" spans="18:33" x14ac:dyDescent="0.4">
      <c r="R192" s="14">
        <v>24</v>
      </c>
      <c r="S192" s="13">
        <v>20411212</v>
      </c>
      <c r="T192" s="13">
        <v>20421212</v>
      </c>
      <c r="U192" s="13">
        <v>20421216</v>
      </c>
      <c r="V192" s="13">
        <v>3.6758626438003941E-2</v>
      </c>
      <c r="W192" s="13">
        <v>3.7269162916309551</v>
      </c>
      <c r="X192" s="13">
        <v>0.51065562702965217</v>
      </c>
      <c r="Y192" s="13">
        <v>20411212</v>
      </c>
      <c r="Z192" s="13">
        <v>20421212</v>
      </c>
      <c r="AA192" s="13">
        <v>20421216</v>
      </c>
      <c r="AB192" s="13">
        <v>3.3739999999999999E-2</v>
      </c>
      <c r="AC192" s="13">
        <v>3.4208611111111109</v>
      </c>
      <c r="AD192" s="13">
        <v>0.51065562702965217</v>
      </c>
      <c r="AG192" s="17">
        <v>51417</v>
      </c>
    </row>
    <row r="193" spans="18:33" x14ac:dyDescent="0.4">
      <c r="R193" s="14">
        <v>24</v>
      </c>
      <c r="S193" s="13">
        <v>20421212</v>
      </c>
      <c r="T193" s="13">
        <v>20431214</v>
      </c>
      <c r="U193" s="13">
        <v>20431216</v>
      </c>
      <c r="V193" s="13">
        <v>3.6679257660919735E-2</v>
      </c>
      <c r="W193" s="13">
        <v>3.7392465448770951</v>
      </c>
      <c r="X193" s="13">
        <v>0.49234803029187446</v>
      </c>
      <c r="Y193" s="13">
        <v>20421212</v>
      </c>
      <c r="Z193" s="13">
        <v>20431214</v>
      </c>
      <c r="AA193" s="13">
        <v>20431216</v>
      </c>
      <c r="AB193" s="13">
        <v>3.3739999999999999E-2</v>
      </c>
      <c r="AC193" s="13">
        <v>3.4396055555555556</v>
      </c>
      <c r="AD193" s="13">
        <v>0.49234803029187446</v>
      </c>
      <c r="AG193" s="17">
        <v>51452</v>
      </c>
    </row>
    <row r="194" spans="18:33" x14ac:dyDescent="0.4">
      <c r="R194" s="14">
        <v>24</v>
      </c>
      <c r="S194" s="13">
        <v>20431214</v>
      </c>
      <c r="T194" s="13">
        <v>20441212</v>
      </c>
      <c r="U194" s="13">
        <v>20441214</v>
      </c>
      <c r="V194" s="13">
        <v>3.6590789660482972E-2</v>
      </c>
      <c r="W194" s="13">
        <v>3.6997353990043891</v>
      </c>
      <c r="X194" s="13">
        <v>0.47478255005914777</v>
      </c>
      <c r="Y194" s="13">
        <v>20431214</v>
      </c>
      <c r="Z194" s="13">
        <v>20441212</v>
      </c>
      <c r="AA194" s="13">
        <v>20441214</v>
      </c>
      <c r="AB194" s="13">
        <v>3.3739999999999999E-2</v>
      </c>
      <c r="AC194" s="13">
        <v>3.411488888888889</v>
      </c>
      <c r="AD194" s="13">
        <v>0.47478255005914777</v>
      </c>
      <c r="AG194" s="17">
        <v>51462</v>
      </c>
    </row>
    <row r="195" spans="18:33" x14ac:dyDescent="0.4">
      <c r="R195" s="14">
        <v>24</v>
      </c>
      <c r="S195" s="13">
        <v>20441212</v>
      </c>
      <c r="T195" s="13">
        <v>20451212</v>
      </c>
      <c r="U195" s="13">
        <v>20451214</v>
      </c>
      <c r="V195" s="13">
        <v>3.2708484186023908E-2</v>
      </c>
      <c r="W195" s="13">
        <v>3.3162768688607569</v>
      </c>
      <c r="X195" s="13">
        <v>0.45955291756253558</v>
      </c>
      <c r="Y195" s="13">
        <v>20441212</v>
      </c>
      <c r="Z195" s="13">
        <v>20451212</v>
      </c>
      <c r="AA195" s="13">
        <v>20451214</v>
      </c>
      <c r="AB195" s="13">
        <v>3.3739999999999999E-2</v>
      </c>
      <c r="AC195" s="13">
        <v>3.4208611111111109</v>
      </c>
      <c r="AD195" s="13">
        <v>0.45955291756253558</v>
      </c>
      <c r="AG195" s="17">
        <v>51495</v>
      </c>
    </row>
    <row r="196" spans="18:33" x14ac:dyDescent="0.4">
      <c r="R196" s="14">
        <v>24</v>
      </c>
      <c r="S196" s="13">
        <v>20451212</v>
      </c>
      <c r="T196" s="13">
        <v>20461212</v>
      </c>
      <c r="U196" s="13">
        <v>20461214</v>
      </c>
      <c r="V196" s="13">
        <v>3.2243143643384056E-2</v>
      </c>
      <c r="W196" s="13">
        <v>3.2690965082875501</v>
      </c>
      <c r="X196" s="13">
        <v>0.4450063320740012</v>
      </c>
      <c r="Y196" s="13">
        <v>20451212</v>
      </c>
      <c r="Z196" s="13">
        <v>20461212</v>
      </c>
      <c r="AA196" s="13">
        <v>20461214</v>
      </c>
      <c r="AB196" s="13">
        <v>3.3739999999999999E-2</v>
      </c>
      <c r="AC196" s="13">
        <v>3.4208611111111109</v>
      </c>
      <c r="AD196" s="13">
        <v>0.4450063320740012</v>
      </c>
      <c r="AG196" s="17">
        <v>51502</v>
      </c>
    </row>
    <row r="197" spans="18:33" x14ac:dyDescent="0.4">
      <c r="R197" s="14">
        <v>24</v>
      </c>
      <c r="S197" s="13">
        <v>20461212</v>
      </c>
      <c r="T197" s="13">
        <v>20471212</v>
      </c>
      <c r="U197" s="13">
        <v>20471216</v>
      </c>
      <c r="V197" s="13">
        <v>3.1797908604047638E-2</v>
      </c>
      <c r="W197" s="13">
        <v>3.2239546223548299</v>
      </c>
      <c r="X197" s="13">
        <v>0.43103422660704804</v>
      </c>
      <c r="Y197" s="13">
        <v>20461212</v>
      </c>
      <c r="Z197" s="13">
        <v>20471212</v>
      </c>
      <c r="AA197" s="13">
        <v>20471216</v>
      </c>
      <c r="AB197" s="13">
        <v>3.3739999999999999E-2</v>
      </c>
      <c r="AC197" s="13">
        <v>3.4208611111111109</v>
      </c>
      <c r="AD197" s="13">
        <v>0.43103422660704804</v>
      </c>
      <c r="AG197" s="17">
        <v>51522</v>
      </c>
    </row>
    <row r="198" spans="18:33" x14ac:dyDescent="0.4">
      <c r="R198" s="14">
        <v>24</v>
      </c>
      <c r="S198" s="13">
        <v>20471212</v>
      </c>
      <c r="T198" s="13">
        <v>20481214</v>
      </c>
      <c r="U198" s="13">
        <v>20481216</v>
      </c>
      <c r="V198" s="13">
        <v>3.1355092656053282E-2</v>
      </c>
      <c r="W198" s="13">
        <v>3.2051872492854461</v>
      </c>
      <c r="X198" s="13">
        <v>0.41772095349961891</v>
      </c>
      <c r="Y198" s="13">
        <v>20471212</v>
      </c>
      <c r="Z198" s="13">
        <v>20481214</v>
      </c>
      <c r="AA198" s="13">
        <v>20481216</v>
      </c>
      <c r="AB198" s="13">
        <v>3.3739999999999999E-2</v>
      </c>
      <c r="AC198" s="13">
        <v>3.4489777777777775</v>
      </c>
      <c r="AD198" s="13">
        <v>0.41772095349961891</v>
      </c>
      <c r="AG198" s="17">
        <v>51550</v>
      </c>
    </row>
    <row r="199" spans="18:33" x14ac:dyDescent="0.4">
      <c r="R199" s="14">
        <v>24</v>
      </c>
      <c r="S199" s="13">
        <v>20481214</v>
      </c>
      <c r="T199" s="13">
        <v>20491213</v>
      </c>
      <c r="U199" s="13">
        <v>20491215</v>
      </c>
      <c r="V199" s="13">
        <v>3.0903663223749132E-2</v>
      </c>
      <c r="W199" s="13">
        <v>3.1247037259568566</v>
      </c>
      <c r="X199" s="13">
        <v>0.40506487429413734</v>
      </c>
      <c r="Y199" s="13">
        <v>20481214</v>
      </c>
      <c r="Z199" s="13">
        <v>20491213</v>
      </c>
      <c r="AA199" s="13">
        <v>20491215</v>
      </c>
      <c r="AB199" s="13">
        <v>3.3739999999999999E-2</v>
      </c>
      <c r="AC199" s="13">
        <v>3.411488888888889</v>
      </c>
      <c r="AD199" s="13">
        <v>0.40506487429413734</v>
      </c>
      <c r="AG199" s="17">
        <v>51648</v>
      </c>
    </row>
    <row r="200" spans="18:33" x14ac:dyDescent="0.4">
      <c r="R200" s="14">
        <v>24</v>
      </c>
      <c r="S200" s="13">
        <v>20491213</v>
      </c>
      <c r="T200" s="13">
        <v>20501212</v>
      </c>
      <c r="U200" s="13">
        <v>20501214</v>
      </c>
      <c r="V200" s="13">
        <v>2.9081579542188412E-2</v>
      </c>
      <c r="W200" s="13">
        <v>2.9404708203768282</v>
      </c>
      <c r="X200" s="13">
        <v>0.39349828444659474</v>
      </c>
      <c r="Y200" s="13">
        <v>20491213</v>
      </c>
      <c r="Z200" s="13">
        <v>20501212</v>
      </c>
      <c r="AA200" s="13">
        <v>20501214</v>
      </c>
      <c r="AB200" s="13">
        <v>3.3739999999999999E-2</v>
      </c>
      <c r="AC200" s="13">
        <v>3.411488888888889</v>
      </c>
      <c r="AD200" s="13">
        <v>0.39349828444659474</v>
      </c>
      <c r="AG200" s="17">
        <v>51671</v>
      </c>
    </row>
    <row r="201" spans="18:33" x14ac:dyDescent="0.4">
      <c r="R201" s="14">
        <v>24</v>
      </c>
      <c r="S201" s="13">
        <v>20501212</v>
      </c>
      <c r="T201" s="13">
        <v>20511212</v>
      </c>
      <c r="U201" s="13">
        <v>20511214</v>
      </c>
      <c r="V201" s="13">
        <v>2.8525892790138622E-2</v>
      </c>
      <c r="W201" s="13">
        <v>2.8922085745557213</v>
      </c>
      <c r="X201" s="13">
        <v>0.38243853324135818</v>
      </c>
      <c r="Y201" s="13">
        <v>20501212</v>
      </c>
      <c r="Z201" s="13">
        <v>20511212</v>
      </c>
      <c r="AA201" s="13">
        <v>20511214</v>
      </c>
      <c r="AB201" s="13">
        <v>3.3739999999999999E-2</v>
      </c>
      <c r="AC201" s="13">
        <v>3.4208611111111109</v>
      </c>
      <c r="AD201" s="13">
        <v>0.38243853324135818</v>
      </c>
      <c r="AG201" s="17">
        <v>51686</v>
      </c>
    </row>
    <row r="202" spans="18:33" x14ac:dyDescent="0.4">
      <c r="R202" s="14">
        <v>24</v>
      </c>
      <c r="S202" s="13">
        <v>20511212</v>
      </c>
      <c r="T202" s="13">
        <v>20521212</v>
      </c>
      <c r="U202" s="13">
        <v>20521216</v>
      </c>
      <c r="V202" s="13">
        <v>2.7976231328997646E-2</v>
      </c>
      <c r="W202" s="13">
        <v>2.8442501851147606</v>
      </c>
      <c r="X202" s="13">
        <v>0.37180653702657662</v>
      </c>
      <c r="Y202" s="13">
        <v>20511212</v>
      </c>
      <c r="Z202" s="13">
        <v>20521212</v>
      </c>
      <c r="AA202" s="13">
        <v>20521216</v>
      </c>
      <c r="AB202" s="13">
        <v>3.3739999999999999E-2</v>
      </c>
      <c r="AC202" s="13">
        <v>3.4302333333333332</v>
      </c>
      <c r="AD202" s="13">
        <v>0.37180653702657662</v>
      </c>
      <c r="AG202" s="17">
        <v>51746</v>
      </c>
    </row>
    <row r="203" spans="18:33" x14ac:dyDescent="0.4">
      <c r="R203" s="14">
        <v>24</v>
      </c>
      <c r="S203" s="13">
        <v>20521212</v>
      </c>
      <c r="T203" s="13">
        <v>20531212</v>
      </c>
      <c r="U203" s="13">
        <v>20531216</v>
      </c>
      <c r="V203" s="13">
        <v>2.7424715045981211E-2</v>
      </c>
      <c r="W203" s="13">
        <v>2.7805613866064283</v>
      </c>
      <c r="X203" s="13">
        <v>0.36175006327929693</v>
      </c>
      <c r="Y203" s="13">
        <v>20521212</v>
      </c>
      <c r="Z203" s="13">
        <v>20531212</v>
      </c>
      <c r="AA203" s="13">
        <v>20531216</v>
      </c>
      <c r="AB203" s="13">
        <v>3.3739999999999999E-2</v>
      </c>
      <c r="AC203" s="13">
        <v>3.4208611111111109</v>
      </c>
      <c r="AD203" s="13">
        <v>0.36175006327929693</v>
      </c>
      <c r="AG203" s="17">
        <v>51788</v>
      </c>
    </row>
    <row r="204" spans="18:33" x14ac:dyDescent="0.4">
      <c r="R204" s="14">
        <v>24</v>
      </c>
      <c r="S204" s="13">
        <v>20531212</v>
      </c>
      <c r="T204" s="13">
        <v>20541214</v>
      </c>
      <c r="U204" s="13">
        <v>20541216</v>
      </c>
      <c r="V204" s="13">
        <v>2.6875810190728395E-2</v>
      </c>
      <c r="W204" s="13">
        <v>2.7398395388881447</v>
      </c>
      <c r="X204" s="13">
        <v>0.35215644399485918</v>
      </c>
      <c r="Y204" s="13">
        <v>20531212</v>
      </c>
      <c r="Z204" s="13">
        <v>20541214</v>
      </c>
      <c r="AA204" s="13">
        <v>20541216</v>
      </c>
      <c r="AB204" s="13">
        <v>3.3739999999999999E-2</v>
      </c>
      <c r="AC204" s="13">
        <v>3.4396055555555556</v>
      </c>
      <c r="AD204" s="13">
        <v>0.35215644399485918</v>
      </c>
      <c r="AG204" s="17">
        <v>51816</v>
      </c>
    </row>
    <row r="205" spans="18:33" x14ac:dyDescent="0.4">
      <c r="R205" s="14">
        <v>24</v>
      </c>
      <c r="S205" s="13">
        <v>20541214</v>
      </c>
      <c r="T205" s="13">
        <v>20551213</v>
      </c>
      <c r="U205" s="13">
        <v>20551215</v>
      </c>
      <c r="V205" s="13">
        <v>2.5006480882159021E-2</v>
      </c>
      <c r="W205" s="13">
        <v>2.5284330669738564</v>
      </c>
      <c r="X205" s="13">
        <v>0.34347554355260651</v>
      </c>
      <c r="Y205" s="13">
        <v>20541214</v>
      </c>
      <c r="Z205" s="13">
        <v>20551213</v>
      </c>
      <c r="AA205" s="13">
        <v>20551215</v>
      </c>
      <c r="AB205" s="13">
        <v>3.3739999999999999E-2</v>
      </c>
      <c r="AC205" s="13">
        <v>3.411488888888889</v>
      </c>
      <c r="AD205" s="13">
        <v>0.34347554355260651</v>
      </c>
      <c r="AG205" s="17">
        <v>51833</v>
      </c>
    </row>
    <row r="206" spans="18:33" x14ac:dyDescent="0.4">
      <c r="R206" s="14">
        <v>24</v>
      </c>
      <c r="S206" s="13">
        <v>20551213</v>
      </c>
      <c r="T206" s="13">
        <v>20561212</v>
      </c>
      <c r="U206" s="13">
        <v>20561214</v>
      </c>
      <c r="V206" s="13">
        <v>2.4367866826771969E-2</v>
      </c>
      <c r="W206" s="13">
        <v>2.4706309421588246</v>
      </c>
      <c r="X206" s="13">
        <v>0.33519528411756455</v>
      </c>
      <c r="Y206" s="13">
        <v>20551213</v>
      </c>
      <c r="Z206" s="13">
        <v>20561212</v>
      </c>
      <c r="AA206" s="13">
        <v>20561214</v>
      </c>
      <c r="AB206" s="13">
        <v>3.3739999999999999E-2</v>
      </c>
      <c r="AC206" s="13">
        <v>3.4208611111111109</v>
      </c>
      <c r="AD206" s="13">
        <v>0.33519528411756455</v>
      </c>
      <c r="AG206" s="17">
        <v>51860</v>
      </c>
    </row>
    <row r="207" spans="18:33" x14ac:dyDescent="0.4">
      <c r="R207" s="14">
        <v>24</v>
      </c>
      <c r="S207" s="13">
        <v>20561212</v>
      </c>
      <c r="T207" s="13">
        <v>20571212</v>
      </c>
      <c r="U207" s="13">
        <v>20571214</v>
      </c>
      <c r="V207" s="13">
        <v>2.3734956090859047E-2</v>
      </c>
      <c r="W207" s="13">
        <v>2.4064608258787645</v>
      </c>
      <c r="X207" s="13">
        <v>0.32731961632454382</v>
      </c>
      <c r="Y207" s="13">
        <v>20561212</v>
      </c>
      <c r="Z207" s="13">
        <v>20571212</v>
      </c>
      <c r="AA207" s="13">
        <v>20571214</v>
      </c>
      <c r="AB207" s="13">
        <v>3.3739999999999999E-2</v>
      </c>
      <c r="AC207" s="13">
        <v>3.4208611111111109</v>
      </c>
      <c r="AD207" s="13">
        <v>0.32731961632454382</v>
      </c>
      <c r="AG207" s="17">
        <v>51867</v>
      </c>
    </row>
    <row r="208" spans="18:33" x14ac:dyDescent="0.4">
      <c r="R208" s="14">
        <v>24</v>
      </c>
      <c r="S208" s="13">
        <v>20571212</v>
      </c>
      <c r="T208" s="13">
        <v>20581212</v>
      </c>
      <c r="U208" s="13">
        <v>20581216</v>
      </c>
      <c r="V208" s="13">
        <v>2.3102441702217841E-2</v>
      </c>
      <c r="W208" s="13">
        <v>2.3423308948081978</v>
      </c>
      <c r="X208" s="13">
        <v>0.31978926451663331</v>
      </c>
      <c r="Y208" s="13">
        <v>20571212</v>
      </c>
      <c r="Z208" s="13">
        <v>20581212</v>
      </c>
      <c r="AA208" s="13">
        <v>20581216</v>
      </c>
      <c r="AB208" s="13">
        <v>3.3739999999999999E-2</v>
      </c>
      <c r="AC208" s="13">
        <v>3.4208611111111109</v>
      </c>
      <c r="AD208" s="13">
        <v>0.31978926451663331</v>
      </c>
      <c r="AG208" s="17">
        <v>51886</v>
      </c>
    </row>
    <row r="209" spans="18:33" x14ac:dyDescent="0.4">
      <c r="R209" s="14">
        <v>24</v>
      </c>
      <c r="S209" s="13">
        <v>20581212</v>
      </c>
      <c r="T209" s="13">
        <v>20591212</v>
      </c>
      <c r="U209" s="13">
        <v>20591216</v>
      </c>
      <c r="V209" s="13">
        <v>2.247032341264733E-2</v>
      </c>
      <c r="W209" s="13">
        <v>2.2782411237822986</v>
      </c>
      <c r="X209" s="13">
        <v>0.3126681260291973</v>
      </c>
      <c r="Y209" s="13">
        <v>20581212</v>
      </c>
      <c r="Z209" s="13">
        <v>20591212</v>
      </c>
      <c r="AA209" s="13">
        <v>20591216</v>
      </c>
      <c r="AB209" s="13">
        <v>3.3739999999999999E-2</v>
      </c>
      <c r="AC209" s="13">
        <v>3.4208611111111109</v>
      </c>
      <c r="AD209" s="13">
        <v>0.3126681260291973</v>
      </c>
      <c r="AG209" s="17">
        <v>51914</v>
      </c>
    </row>
    <row r="210" spans="18:33" x14ac:dyDescent="0.4">
      <c r="R210" s="14">
        <v>24</v>
      </c>
      <c r="S210" s="13">
        <v>20591212</v>
      </c>
      <c r="T210" s="13">
        <v>20601213</v>
      </c>
      <c r="U210" s="13">
        <v>20601215</v>
      </c>
      <c r="V210" s="13">
        <v>2.1838185735579278E-2</v>
      </c>
      <c r="W210" s="13">
        <v>2.2262817124882206</v>
      </c>
      <c r="X210" s="13">
        <v>0.30589712439427186</v>
      </c>
      <c r="Y210" s="13">
        <v>20591212</v>
      </c>
      <c r="Z210" s="13">
        <v>20601213</v>
      </c>
      <c r="AA210" s="13">
        <v>20601215</v>
      </c>
      <c r="AB210" s="13">
        <v>3.3739999999999999E-2</v>
      </c>
      <c r="AC210" s="13">
        <v>3.4396055555555556</v>
      </c>
      <c r="AD210" s="13">
        <v>0.30589712439427186</v>
      </c>
      <c r="AG210" s="17">
        <v>52012</v>
      </c>
    </row>
    <row r="211" spans="18:33" x14ac:dyDescent="0.4">
      <c r="R211" s="14">
        <v>24</v>
      </c>
      <c r="S211" s="13">
        <v>20601213</v>
      </c>
      <c r="T211" s="13">
        <v>20611212</v>
      </c>
      <c r="U211" s="13">
        <v>20611214</v>
      </c>
      <c r="V211" s="13">
        <v>2.1204060402820222E-2</v>
      </c>
      <c r="W211" s="13">
        <v>2.1439661073962668</v>
      </c>
      <c r="X211" s="13">
        <v>0.29947747591867729</v>
      </c>
      <c r="Y211" s="13">
        <v>20601213</v>
      </c>
      <c r="Z211" s="13">
        <v>20611212</v>
      </c>
      <c r="AA211" s="13">
        <v>20611214</v>
      </c>
      <c r="AB211" s="13">
        <v>3.3739999999999999E-2</v>
      </c>
      <c r="AC211" s="13">
        <v>3.411488888888889</v>
      </c>
      <c r="AD211" s="13">
        <v>0.29947747591867729</v>
      </c>
      <c r="AG211" s="17">
        <v>52036</v>
      </c>
    </row>
    <row r="212" spans="18:33" x14ac:dyDescent="0.4">
      <c r="R212" s="14">
        <v>24</v>
      </c>
      <c r="S212" s="13">
        <v>20611212</v>
      </c>
      <c r="T212" s="13">
        <v>20621212</v>
      </c>
      <c r="U212" s="13">
        <v>20621214</v>
      </c>
      <c r="V212" s="13">
        <v>2.0574614622111079E-2</v>
      </c>
      <c r="W212" s="13">
        <v>2.0860373158529288</v>
      </c>
      <c r="X212" s="13">
        <v>0.2933589271771575</v>
      </c>
      <c r="Y212" s="13">
        <v>20611212</v>
      </c>
      <c r="Z212" s="13">
        <v>20621212</v>
      </c>
      <c r="AA212" s="13">
        <v>20621214</v>
      </c>
      <c r="AB212" s="13">
        <v>3.3739999999999999E-2</v>
      </c>
      <c r="AC212" s="13">
        <v>3.4208611111111109</v>
      </c>
      <c r="AD212" s="13">
        <v>0.2933589271771575</v>
      </c>
      <c r="AG212" s="17">
        <v>52051</v>
      </c>
    </row>
    <row r="213" spans="18:33" x14ac:dyDescent="0.4">
      <c r="R213" s="14">
        <v>24</v>
      </c>
      <c r="S213" s="13">
        <v>20621212</v>
      </c>
      <c r="T213" s="13">
        <v>20631212</v>
      </c>
      <c r="U213" s="13">
        <v>20631214</v>
      </c>
      <c r="V213" s="13">
        <v>1.9944079332043882E-2</v>
      </c>
      <c r="W213" s="13">
        <v>2.0221080433877825</v>
      </c>
      <c r="X213" s="13">
        <v>0.28754545436310419</v>
      </c>
      <c r="Y213" s="13">
        <v>20621212</v>
      </c>
      <c r="Z213" s="13">
        <v>20631212</v>
      </c>
      <c r="AA213" s="13">
        <v>20631214</v>
      </c>
      <c r="AB213" s="13">
        <v>3.3739999999999999E-2</v>
      </c>
      <c r="AC213" s="13">
        <v>3.4208611111111109</v>
      </c>
      <c r="AD213" s="13">
        <v>0.28754545436310419</v>
      </c>
      <c r="AG213" s="17">
        <v>52110</v>
      </c>
    </row>
    <row r="214" spans="18:33" x14ac:dyDescent="0.4">
      <c r="R214" s="14">
        <v>24</v>
      </c>
      <c r="S214" s="13">
        <v>20631212</v>
      </c>
      <c r="T214" s="13">
        <v>20641212</v>
      </c>
      <c r="U214" s="13">
        <v>20641216</v>
      </c>
      <c r="V214" s="13">
        <v>1.9313590675294215E-2</v>
      </c>
      <c r="W214" s="13">
        <v>1.9635483853215785</v>
      </c>
      <c r="X214" s="13">
        <v>0.28197958884784613</v>
      </c>
      <c r="Y214" s="13">
        <v>20631212</v>
      </c>
      <c r="Z214" s="13">
        <v>20641212</v>
      </c>
      <c r="AA214" s="13">
        <v>20641216</v>
      </c>
      <c r="AB214" s="13">
        <v>3.3739999999999999E-2</v>
      </c>
      <c r="AC214" s="13">
        <v>3.4302333333333332</v>
      </c>
      <c r="AD214" s="13">
        <v>0.28197958884784613</v>
      </c>
      <c r="AG214" s="17">
        <v>52152</v>
      </c>
    </row>
    <row r="215" spans="18:33" x14ac:dyDescent="0.4">
      <c r="R215" s="14">
        <v>25</v>
      </c>
      <c r="S215" s="13">
        <v>20241212</v>
      </c>
      <c r="T215" s="13">
        <v>20251212</v>
      </c>
      <c r="U215" s="13">
        <v>20251216</v>
      </c>
      <c r="V215" s="13">
        <v>4.1305002507134439E-2</v>
      </c>
      <c r="W215" s="13">
        <v>4.1878683097511304</v>
      </c>
      <c r="X215" s="13">
        <v>0.9591640077873117</v>
      </c>
      <c r="Y215" s="13">
        <v>20241212</v>
      </c>
      <c r="Z215" s="13">
        <v>20251212</v>
      </c>
      <c r="AA215" s="13">
        <v>20251216</v>
      </c>
      <c r="AB215" s="13">
        <v>3.1739999999999997E-2</v>
      </c>
      <c r="AC215" s="13">
        <v>3.218083333333333</v>
      </c>
      <c r="AD215" s="13">
        <v>0.9591640077873117</v>
      </c>
      <c r="AG215" s="17">
        <v>52181</v>
      </c>
    </row>
    <row r="216" spans="18:33" x14ac:dyDescent="0.4">
      <c r="R216" s="14">
        <v>25</v>
      </c>
      <c r="S216" s="13">
        <v>20251212</v>
      </c>
      <c r="T216" s="13">
        <v>20261214</v>
      </c>
      <c r="U216" s="13">
        <v>20261216</v>
      </c>
      <c r="V216" s="13">
        <v>3.7190129898170075E-2</v>
      </c>
      <c r="W216" s="13">
        <v>3.7913271312856711</v>
      </c>
      <c r="X216" s="13">
        <v>0.92432685700342188</v>
      </c>
      <c r="Y216" s="13">
        <v>20251212</v>
      </c>
      <c r="Z216" s="13">
        <v>20261214</v>
      </c>
      <c r="AA216" s="13">
        <v>20261216</v>
      </c>
      <c r="AB216" s="13">
        <v>3.1739999999999997E-2</v>
      </c>
      <c r="AC216" s="13">
        <v>3.2357166666666664</v>
      </c>
      <c r="AD216" s="13">
        <v>0.92432685700342188</v>
      </c>
      <c r="AG216" s="17">
        <v>52197</v>
      </c>
    </row>
    <row r="217" spans="18:33" x14ac:dyDescent="0.4">
      <c r="R217" s="14">
        <v>25</v>
      </c>
      <c r="S217" s="13">
        <v>20261214</v>
      </c>
      <c r="T217" s="13">
        <v>20271213</v>
      </c>
      <c r="U217" s="13">
        <v>20271215</v>
      </c>
      <c r="V217" s="13">
        <v>3.6249844475129522E-2</v>
      </c>
      <c r="W217" s="13">
        <v>3.6652620524853186</v>
      </c>
      <c r="X217" s="13">
        <v>0.89164911714584694</v>
      </c>
      <c r="Y217" s="13">
        <v>20261214</v>
      </c>
      <c r="Z217" s="13">
        <v>20271213</v>
      </c>
      <c r="AA217" s="13">
        <v>20271215</v>
      </c>
      <c r="AB217" s="13">
        <v>3.1739999999999997E-2</v>
      </c>
      <c r="AC217" s="13">
        <v>3.2092666666666663</v>
      </c>
      <c r="AD217" s="13">
        <v>0.89164911714584694</v>
      </c>
      <c r="AG217" s="17">
        <v>52225</v>
      </c>
    </row>
    <row r="218" spans="18:33" x14ac:dyDescent="0.4">
      <c r="R218" s="14">
        <v>25</v>
      </c>
      <c r="S218" s="13">
        <v>20271213</v>
      </c>
      <c r="T218" s="13">
        <v>20281212</v>
      </c>
      <c r="U218" s="13">
        <v>20281214</v>
      </c>
      <c r="V218" s="13">
        <v>3.5667535342730552E-2</v>
      </c>
      <c r="W218" s="13">
        <v>3.6162917778046255</v>
      </c>
      <c r="X218" s="13">
        <v>0.86053093602205988</v>
      </c>
      <c r="Y218" s="13">
        <v>20271213</v>
      </c>
      <c r="Z218" s="13">
        <v>20281212</v>
      </c>
      <c r="AA218" s="13">
        <v>20281214</v>
      </c>
      <c r="AB218" s="13">
        <v>3.1739999999999997E-2</v>
      </c>
      <c r="AC218" s="13">
        <v>3.218083333333333</v>
      </c>
      <c r="AD218" s="13">
        <v>0.86053093602205988</v>
      </c>
      <c r="AG218" s="17">
        <v>52232</v>
      </c>
    </row>
    <row r="219" spans="18:33" x14ac:dyDescent="0.4">
      <c r="R219" s="14">
        <v>25</v>
      </c>
      <c r="S219" s="13">
        <v>20281212</v>
      </c>
      <c r="T219" s="13">
        <v>20291212</v>
      </c>
      <c r="U219" s="13">
        <v>20291214</v>
      </c>
      <c r="V219" s="13">
        <v>3.5640296597922359E-2</v>
      </c>
      <c r="W219" s="13">
        <v>3.6135300717337948</v>
      </c>
      <c r="X219" s="13">
        <v>0.83051884497735229</v>
      </c>
      <c r="Y219" s="13">
        <v>20281212</v>
      </c>
      <c r="Z219" s="13">
        <v>20291212</v>
      </c>
      <c r="AA219" s="13">
        <v>20291214</v>
      </c>
      <c r="AB219" s="13">
        <v>3.1739999999999997E-2</v>
      </c>
      <c r="AC219" s="13">
        <v>3.218083333333333</v>
      </c>
      <c r="AD219" s="13">
        <v>0.83051884497735229</v>
      </c>
      <c r="AG219" s="17">
        <v>52250</v>
      </c>
    </row>
    <row r="220" spans="18:33" x14ac:dyDescent="0.4">
      <c r="R220" s="14">
        <v>25</v>
      </c>
      <c r="S220" s="13">
        <v>20291212</v>
      </c>
      <c r="T220" s="13">
        <v>20301212</v>
      </c>
      <c r="U220" s="13">
        <v>20301216</v>
      </c>
      <c r="V220" s="13">
        <v>3.618654070816156E-2</v>
      </c>
      <c r="W220" s="13">
        <v>3.6689131551330467</v>
      </c>
      <c r="X220" s="13">
        <v>0.80096547686545005</v>
      </c>
      <c r="Y220" s="13">
        <v>20291212</v>
      </c>
      <c r="Z220" s="13">
        <v>20301212</v>
      </c>
      <c r="AA220" s="13">
        <v>20301216</v>
      </c>
      <c r="AB220" s="13">
        <v>3.1739999999999997E-2</v>
      </c>
      <c r="AC220" s="13">
        <v>3.218083333333333</v>
      </c>
      <c r="AD220" s="13">
        <v>0.80096547686545005</v>
      </c>
      <c r="AG220" s="17">
        <v>52278</v>
      </c>
    </row>
    <row r="221" spans="18:33" x14ac:dyDescent="0.4">
      <c r="R221" s="14">
        <v>25</v>
      </c>
      <c r="S221" s="13">
        <v>20301212</v>
      </c>
      <c r="T221" s="13">
        <v>20311212</v>
      </c>
      <c r="U221" s="13">
        <v>20311216</v>
      </c>
      <c r="V221" s="13">
        <v>3.6430977521579304E-2</v>
      </c>
      <c r="W221" s="13">
        <v>3.6936963320490124</v>
      </c>
      <c r="X221" s="13">
        <v>0.77243138832952019</v>
      </c>
      <c r="Y221" s="13">
        <v>20301212</v>
      </c>
      <c r="Z221" s="13">
        <v>20311212</v>
      </c>
      <c r="AA221" s="13">
        <v>20311216</v>
      </c>
      <c r="AB221" s="13">
        <v>3.1739999999999997E-2</v>
      </c>
      <c r="AC221" s="13">
        <v>3.218083333333333</v>
      </c>
      <c r="AD221" s="13">
        <v>0.77243138832952019</v>
      </c>
      <c r="AG221" s="17">
        <v>52376</v>
      </c>
    </row>
    <row r="222" spans="18:33" x14ac:dyDescent="0.4">
      <c r="R222" s="14">
        <v>25</v>
      </c>
      <c r="S222" s="13">
        <v>20311212</v>
      </c>
      <c r="T222" s="13">
        <v>20321213</v>
      </c>
      <c r="U222" s="13">
        <v>20321215</v>
      </c>
      <c r="V222" s="13">
        <v>3.6863607227084962E-2</v>
      </c>
      <c r="W222" s="13">
        <v>3.7580399589833835</v>
      </c>
      <c r="X222" s="13">
        <v>0.74460011838752405</v>
      </c>
      <c r="Y222" s="13">
        <v>20311212</v>
      </c>
      <c r="Z222" s="13">
        <v>20321213</v>
      </c>
      <c r="AA222" s="13">
        <v>20321215</v>
      </c>
      <c r="AB222" s="13">
        <v>3.1739999999999997E-2</v>
      </c>
      <c r="AC222" s="13">
        <v>3.2357166666666664</v>
      </c>
      <c r="AD222" s="13">
        <v>0.74460011838752405</v>
      </c>
      <c r="AG222" s="17">
        <v>52401</v>
      </c>
    </row>
    <row r="223" spans="18:33" x14ac:dyDescent="0.4">
      <c r="R223" s="14">
        <v>25</v>
      </c>
      <c r="S223" s="13">
        <v>20321213</v>
      </c>
      <c r="T223" s="13">
        <v>20331212</v>
      </c>
      <c r="U223" s="13">
        <v>20331214</v>
      </c>
      <c r="V223" s="13">
        <v>3.7234777829027323E-2</v>
      </c>
      <c r="W223" s="13">
        <v>3.7648497582683182</v>
      </c>
      <c r="X223" s="13">
        <v>0.7175825502145613</v>
      </c>
      <c r="Y223" s="13">
        <v>20321213</v>
      </c>
      <c r="Z223" s="13">
        <v>20331212</v>
      </c>
      <c r="AA223" s="13">
        <v>20331214</v>
      </c>
      <c r="AB223" s="13">
        <v>3.1739999999999997E-2</v>
      </c>
      <c r="AC223" s="13">
        <v>3.2092666666666663</v>
      </c>
      <c r="AD223" s="13">
        <v>0.7175825502145613</v>
      </c>
      <c r="AG223" s="17">
        <v>52415</v>
      </c>
    </row>
    <row r="224" spans="18:33" x14ac:dyDescent="0.4">
      <c r="R224" s="14">
        <v>25</v>
      </c>
      <c r="S224" s="13">
        <v>20331212</v>
      </c>
      <c r="T224" s="13">
        <v>20341212</v>
      </c>
      <c r="U224" s="13">
        <v>20341214</v>
      </c>
      <c r="V224" s="13">
        <v>3.7756671073764299E-2</v>
      </c>
      <c r="W224" s="13">
        <v>3.8281069283122138</v>
      </c>
      <c r="X224" s="13">
        <v>0.69112343183170022</v>
      </c>
      <c r="Y224" s="13">
        <v>20331212</v>
      </c>
      <c r="Z224" s="13">
        <v>20341212</v>
      </c>
      <c r="AA224" s="13">
        <v>20341214</v>
      </c>
      <c r="AB224" s="13">
        <v>3.1739999999999997E-2</v>
      </c>
      <c r="AC224" s="13">
        <v>3.218083333333333</v>
      </c>
      <c r="AD224" s="13">
        <v>0.69112343183170022</v>
      </c>
      <c r="AG224" s="17">
        <v>52481</v>
      </c>
    </row>
    <row r="225" spans="18:33" x14ac:dyDescent="0.4">
      <c r="R225" s="14">
        <v>25</v>
      </c>
      <c r="S225" s="13">
        <v>20341212</v>
      </c>
      <c r="T225" s="13">
        <v>20351212</v>
      </c>
      <c r="U225" s="13">
        <v>20351214</v>
      </c>
      <c r="V225" s="13">
        <v>3.8367248928884545E-2</v>
      </c>
      <c r="W225" s="13">
        <v>3.8900127386230166</v>
      </c>
      <c r="X225" s="13">
        <v>0.66524298415157745</v>
      </c>
      <c r="Y225" s="13">
        <v>20341212</v>
      </c>
      <c r="Z225" s="13">
        <v>20351212</v>
      </c>
      <c r="AA225" s="13">
        <v>20351214</v>
      </c>
      <c r="AB225" s="13">
        <v>3.1739999999999997E-2</v>
      </c>
      <c r="AC225" s="13">
        <v>3.218083333333333</v>
      </c>
      <c r="AD225" s="13">
        <v>0.66524298415157745</v>
      </c>
      <c r="AG225" s="17">
        <v>52516</v>
      </c>
    </row>
    <row r="226" spans="18:33" x14ac:dyDescent="0.4">
      <c r="R226" s="14">
        <v>25</v>
      </c>
      <c r="S226" s="13">
        <v>20351212</v>
      </c>
      <c r="T226" s="13">
        <v>20361212</v>
      </c>
      <c r="U226" s="13">
        <v>20361216</v>
      </c>
      <c r="V226" s="13">
        <v>3.8610588540386098E-2</v>
      </c>
      <c r="W226" s="13">
        <v>3.925409834939253</v>
      </c>
      <c r="X226" s="13">
        <v>0.63997991334819559</v>
      </c>
      <c r="Y226" s="13">
        <v>20351212</v>
      </c>
      <c r="Z226" s="13">
        <v>20361212</v>
      </c>
      <c r="AA226" s="13">
        <v>20361216</v>
      </c>
      <c r="AB226" s="13">
        <v>3.1739999999999997E-2</v>
      </c>
      <c r="AC226" s="13">
        <v>3.2268999999999997</v>
      </c>
      <c r="AD226" s="13">
        <v>0.63997991334819559</v>
      </c>
      <c r="AG226" s="17">
        <v>52546</v>
      </c>
    </row>
    <row r="227" spans="18:33" x14ac:dyDescent="0.4">
      <c r="R227" s="14">
        <v>25</v>
      </c>
      <c r="S227" s="13">
        <v>20361212</v>
      </c>
      <c r="T227" s="13">
        <v>20371214</v>
      </c>
      <c r="U227" s="13">
        <v>20371216</v>
      </c>
      <c r="V227" s="13">
        <v>3.8570298248271365E-2</v>
      </c>
      <c r="W227" s="13">
        <v>3.9320276269765531</v>
      </c>
      <c r="X227" s="13">
        <v>0.61589794763212258</v>
      </c>
      <c r="Y227" s="13">
        <v>20361212</v>
      </c>
      <c r="Z227" s="13">
        <v>20371214</v>
      </c>
      <c r="AA227" s="13">
        <v>20371216</v>
      </c>
      <c r="AB227" s="13">
        <v>3.1739999999999997E-2</v>
      </c>
      <c r="AC227" s="13">
        <v>3.2357166666666664</v>
      </c>
      <c r="AD227" s="13">
        <v>0.61589794763212258</v>
      </c>
      <c r="AG227" s="17">
        <v>52561</v>
      </c>
    </row>
    <row r="228" spans="18:33" x14ac:dyDescent="0.4">
      <c r="R228" s="14">
        <v>25</v>
      </c>
      <c r="S228" s="13">
        <v>20371214</v>
      </c>
      <c r="T228" s="13">
        <v>20381213</v>
      </c>
      <c r="U228" s="13">
        <v>20381215</v>
      </c>
      <c r="V228" s="13">
        <v>3.8756495131578507E-2</v>
      </c>
      <c r="W228" s="13">
        <v>3.9187122855262713</v>
      </c>
      <c r="X228" s="13">
        <v>0.59267218963755686</v>
      </c>
      <c r="Y228" s="13">
        <v>20371214</v>
      </c>
      <c r="Z228" s="13">
        <v>20381213</v>
      </c>
      <c r="AA228" s="13">
        <v>20381215</v>
      </c>
      <c r="AB228" s="13">
        <v>3.1739999999999997E-2</v>
      </c>
      <c r="AC228" s="13">
        <v>3.2092666666666663</v>
      </c>
      <c r="AD228" s="13">
        <v>0.59267218963755686</v>
      </c>
      <c r="AG228" s="17">
        <v>52590</v>
      </c>
    </row>
    <row r="229" spans="18:33" x14ac:dyDescent="0.4">
      <c r="R229" s="14">
        <v>25</v>
      </c>
      <c r="S229" s="13">
        <v>20381213</v>
      </c>
      <c r="T229" s="13">
        <v>20391212</v>
      </c>
      <c r="U229" s="13">
        <v>20391214</v>
      </c>
      <c r="V229" s="13">
        <v>3.8950913531044427E-2</v>
      </c>
      <c r="W229" s="13">
        <v>3.9383701459167142</v>
      </c>
      <c r="X229" s="13">
        <v>0.57021441923429228</v>
      </c>
      <c r="Y229" s="13">
        <v>20381213</v>
      </c>
      <c r="Z229" s="13">
        <v>20391212</v>
      </c>
      <c r="AA229" s="13">
        <v>20391214</v>
      </c>
      <c r="AB229" s="13">
        <v>3.1739999999999997E-2</v>
      </c>
      <c r="AC229" s="13">
        <v>3.2092666666666663</v>
      </c>
      <c r="AD229" s="13">
        <v>0.57021441923429228</v>
      </c>
      <c r="AG229" s="17">
        <v>52597</v>
      </c>
    </row>
    <row r="230" spans="18:33" x14ac:dyDescent="0.4">
      <c r="R230" s="14">
        <v>25</v>
      </c>
      <c r="S230" s="13">
        <v>20391212</v>
      </c>
      <c r="T230" s="13">
        <v>20401212</v>
      </c>
      <c r="U230" s="13">
        <v>20401214</v>
      </c>
      <c r="V230" s="13">
        <v>3.6937679282251633E-2</v>
      </c>
      <c r="W230" s="13">
        <v>3.755330727028916</v>
      </c>
      <c r="X230" s="13">
        <v>0.54958239632160966</v>
      </c>
      <c r="Y230" s="13">
        <v>20391212</v>
      </c>
      <c r="Z230" s="13">
        <v>20401212</v>
      </c>
      <c r="AA230" s="13">
        <v>20401214</v>
      </c>
      <c r="AB230" s="13">
        <v>3.1739999999999997E-2</v>
      </c>
      <c r="AC230" s="13">
        <v>3.2268999999999997</v>
      </c>
      <c r="AD230" s="13">
        <v>0.54958239632160966</v>
      </c>
      <c r="AG230" s="17">
        <v>52614</v>
      </c>
    </row>
    <row r="231" spans="18:33" x14ac:dyDescent="0.4">
      <c r="R231" s="14">
        <v>25</v>
      </c>
      <c r="S231" s="13">
        <v>20401212</v>
      </c>
      <c r="T231" s="13">
        <v>20411212</v>
      </c>
      <c r="U231" s="13">
        <v>20411216</v>
      </c>
      <c r="V231" s="13">
        <v>3.6841466149631082E-2</v>
      </c>
      <c r="W231" s="13">
        <v>3.7353153179487064</v>
      </c>
      <c r="X231" s="13">
        <v>0.52968686477828919</v>
      </c>
      <c r="Y231" s="13">
        <v>20401212</v>
      </c>
      <c r="Z231" s="13">
        <v>20411212</v>
      </c>
      <c r="AA231" s="13">
        <v>20411216</v>
      </c>
      <c r="AB231" s="13">
        <v>3.1739999999999997E-2</v>
      </c>
      <c r="AC231" s="13">
        <v>3.218083333333333</v>
      </c>
      <c r="AD231" s="13">
        <v>0.52968686477828919</v>
      </c>
      <c r="AG231" s="17">
        <v>52642</v>
      </c>
    </row>
    <row r="232" spans="18:33" x14ac:dyDescent="0.4">
      <c r="R232" s="14">
        <v>25</v>
      </c>
      <c r="S232" s="13">
        <v>20411212</v>
      </c>
      <c r="T232" s="13">
        <v>20421212</v>
      </c>
      <c r="U232" s="13">
        <v>20421216</v>
      </c>
      <c r="V232" s="13">
        <v>3.6758626438003941E-2</v>
      </c>
      <c r="W232" s="13">
        <v>3.7269162916309551</v>
      </c>
      <c r="X232" s="13">
        <v>0.51065562702965217</v>
      </c>
      <c r="Y232" s="13">
        <v>20411212</v>
      </c>
      <c r="Z232" s="13">
        <v>20421212</v>
      </c>
      <c r="AA232" s="13">
        <v>20421216</v>
      </c>
      <c r="AB232" s="13">
        <v>3.1739999999999997E-2</v>
      </c>
      <c r="AC232" s="13">
        <v>3.218083333333333</v>
      </c>
      <c r="AD232" s="13">
        <v>0.51065562702965217</v>
      </c>
      <c r="AG232" s="17">
        <v>52747</v>
      </c>
    </row>
    <row r="233" spans="18:33" x14ac:dyDescent="0.4">
      <c r="R233" s="14">
        <v>25</v>
      </c>
      <c r="S233" s="13">
        <v>20421212</v>
      </c>
      <c r="T233" s="13">
        <v>20431214</v>
      </c>
      <c r="U233" s="13">
        <v>20431216</v>
      </c>
      <c r="V233" s="13">
        <v>3.6679257660919735E-2</v>
      </c>
      <c r="W233" s="13">
        <v>3.7392465448770951</v>
      </c>
      <c r="X233" s="13">
        <v>0.49234803029187446</v>
      </c>
      <c r="Y233" s="13">
        <v>20421212</v>
      </c>
      <c r="Z233" s="13">
        <v>20431214</v>
      </c>
      <c r="AA233" s="13">
        <v>20431216</v>
      </c>
      <c r="AB233" s="13">
        <v>3.1739999999999997E-2</v>
      </c>
      <c r="AC233" s="13">
        <v>3.2357166666666664</v>
      </c>
      <c r="AD233" s="13">
        <v>0.49234803029187446</v>
      </c>
      <c r="AG233" s="17">
        <v>52768</v>
      </c>
    </row>
    <row r="234" spans="18:33" x14ac:dyDescent="0.4">
      <c r="R234" s="14">
        <v>25</v>
      </c>
      <c r="S234" s="13">
        <v>20431214</v>
      </c>
      <c r="T234" s="13">
        <v>20441212</v>
      </c>
      <c r="U234" s="13">
        <v>20441214</v>
      </c>
      <c r="V234" s="13">
        <v>3.6590789660482972E-2</v>
      </c>
      <c r="W234" s="13">
        <v>3.6997353990043891</v>
      </c>
      <c r="X234" s="13">
        <v>0.47478255005914777</v>
      </c>
      <c r="Y234" s="13">
        <v>20431214</v>
      </c>
      <c r="Z234" s="13">
        <v>20441212</v>
      </c>
      <c r="AA234" s="13">
        <v>20441214</v>
      </c>
      <c r="AB234" s="13">
        <v>3.1739999999999997E-2</v>
      </c>
      <c r="AC234" s="13">
        <v>3.2092666666666663</v>
      </c>
      <c r="AD234" s="13">
        <v>0.47478255005914777</v>
      </c>
      <c r="AG234" s="17">
        <v>52782</v>
      </c>
    </row>
    <row r="235" spans="18:33" x14ac:dyDescent="0.4">
      <c r="R235" s="14">
        <v>25</v>
      </c>
      <c r="S235" s="13">
        <v>20441212</v>
      </c>
      <c r="T235" s="13">
        <v>20451212</v>
      </c>
      <c r="U235" s="13">
        <v>20451214</v>
      </c>
      <c r="V235" s="13">
        <v>3.2708484186023908E-2</v>
      </c>
      <c r="W235" s="13">
        <v>3.3162768688607569</v>
      </c>
      <c r="X235" s="13">
        <v>0.45955291756253558</v>
      </c>
      <c r="Y235" s="13">
        <v>20441212</v>
      </c>
      <c r="Z235" s="13">
        <v>20451212</v>
      </c>
      <c r="AA235" s="13">
        <v>20451214</v>
      </c>
      <c r="AB235" s="13">
        <v>3.1739999999999997E-2</v>
      </c>
      <c r="AC235" s="13">
        <v>3.218083333333333</v>
      </c>
      <c r="AD235" s="13">
        <v>0.45955291756253558</v>
      </c>
      <c r="AG235" s="17">
        <v>52845</v>
      </c>
    </row>
    <row r="236" spans="18:33" x14ac:dyDescent="0.4">
      <c r="R236" s="14">
        <v>25</v>
      </c>
      <c r="S236" s="13">
        <v>20451212</v>
      </c>
      <c r="T236" s="13">
        <v>20461212</v>
      </c>
      <c r="U236" s="13">
        <v>20461214</v>
      </c>
      <c r="V236" s="13">
        <v>3.2243143643384056E-2</v>
      </c>
      <c r="W236" s="13">
        <v>3.2690965082875501</v>
      </c>
      <c r="X236" s="13">
        <v>0.4450063320740012</v>
      </c>
      <c r="Y236" s="13">
        <v>20451212</v>
      </c>
      <c r="Z236" s="13">
        <v>20461212</v>
      </c>
      <c r="AA236" s="13">
        <v>20461214</v>
      </c>
      <c r="AB236" s="13">
        <v>3.1739999999999997E-2</v>
      </c>
      <c r="AC236" s="13">
        <v>3.218083333333333</v>
      </c>
      <c r="AD236" s="13">
        <v>0.4450063320740012</v>
      </c>
      <c r="AG236" s="17">
        <v>52880</v>
      </c>
    </row>
    <row r="237" spans="18:33" x14ac:dyDescent="0.4">
      <c r="R237" s="14">
        <v>25</v>
      </c>
      <c r="S237" s="13">
        <v>20461212</v>
      </c>
      <c r="T237" s="13">
        <v>20471212</v>
      </c>
      <c r="U237" s="13">
        <v>20471216</v>
      </c>
      <c r="V237" s="13">
        <v>3.1797908604047638E-2</v>
      </c>
      <c r="W237" s="13">
        <v>3.2239546223548299</v>
      </c>
      <c r="X237" s="13">
        <v>0.43103422660704804</v>
      </c>
      <c r="Y237" s="13">
        <v>20461212</v>
      </c>
      <c r="Z237" s="13">
        <v>20471212</v>
      </c>
      <c r="AA237" s="13">
        <v>20471216</v>
      </c>
      <c r="AB237" s="13">
        <v>3.1739999999999997E-2</v>
      </c>
      <c r="AC237" s="13">
        <v>3.218083333333333</v>
      </c>
      <c r="AD237" s="13">
        <v>0.43103422660704804</v>
      </c>
      <c r="AG237" s="17">
        <v>52912</v>
      </c>
    </row>
    <row r="238" spans="18:33" x14ac:dyDescent="0.4">
      <c r="R238" s="14">
        <v>25</v>
      </c>
      <c r="S238" s="13">
        <v>20471212</v>
      </c>
      <c r="T238" s="13">
        <v>20481214</v>
      </c>
      <c r="U238" s="13">
        <v>20481216</v>
      </c>
      <c r="V238" s="13">
        <v>3.1355092656053282E-2</v>
      </c>
      <c r="W238" s="13">
        <v>3.2051872492854461</v>
      </c>
      <c r="X238" s="13">
        <v>0.41772095349961891</v>
      </c>
      <c r="Y238" s="13">
        <v>20471212</v>
      </c>
      <c r="Z238" s="13">
        <v>20481214</v>
      </c>
      <c r="AA238" s="13">
        <v>20481216</v>
      </c>
      <c r="AB238" s="13">
        <v>3.1739999999999997E-2</v>
      </c>
      <c r="AC238" s="13">
        <v>3.244533333333333</v>
      </c>
      <c r="AD238" s="13">
        <v>0.41772095349961891</v>
      </c>
      <c r="AG238" s="17">
        <v>52925</v>
      </c>
    </row>
    <row r="239" spans="18:33" x14ac:dyDescent="0.4">
      <c r="R239" s="14">
        <v>25</v>
      </c>
      <c r="S239" s="13">
        <v>20481214</v>
      </c>
      <c r="T239" s="13">
        <v>20491213</v>
      </c>
      <c r="U239" s="13">
        <v>20491215</v>
      </c>
      <c r="V239" s="13">
        <v>3.0903663223749132E-2</v>
      </c>
      <c r="W239" s="13">
        <v>3.1247037259568566</v>
      </c>
      <c r="X239" s="13">
        <v>0.40506487429413734</v>
      </c>
      <c r="Y239" s="13">
        <v>20481214</v>
      </c>
      <c r="Z239" s="13">
        <v>20491213</v>
      </c>
      <c r="AA239" s="13">
        <v>20491215</v>
      </c>
      <c r="AB239" s="13">
        <v>3.1739999999999997E-2</v>
      </c>
      <c r="AC239" s="13">
        <v>3.2092666666666663</v>
      </c>
      <c r="AD239" s="13">
        <v>0.40506487429413734</v>
      </c>
      <c r="AG239" s="17">
        <v>52957</v>
      </c>
    </row>
    <row r="240" spans="18:33" x14ac:dyDescent="0.4">
      <c r="R240" s="14">
        <v>25</v>
      </c>
      <c r="S240" s="13">
        <v>20491213</v>
      </c>
      <c r="T240" s="13">
        <v>20501212</v>
      </c>
      <c r="U240" s="13">
        <v>20501214</v>
      </c>
      <c r="V240" s="13">
        <v>2.9081579542188412E-2</v>
      </c>
      <c r="W240" s="13">
        <v>2.9404708203768282</v>
      </c>
      <c r="X240" s="13">
        <v>0.39349828444659474</v>
      </c>
      <c r="Y240" s="13">
        <v>20491213</v>
      </c>
      <c r="Z240" s="13">
        <v>20501212</v>
      </c>
      <c r="AA240" s="13">
        <v>20501214</v>
      </c>
      <c r="AB240" s="13">
        <v>3.1739999999999997E-2</v>
      </c>
      <c r="AC240" s="13">
        <v>3.2092666666666663</v>
      </c>
      <c r="AD240" s="13">
        <v>0.39349828444659474</v>
      </c>
      <c r="AG240" s="17">
        <v>52964</v>
      </c>
    </row>
    <row r="241" spans="18:33" x14ac:dyDescent="0.4">
      <c r="R241" s="14">
        <v>25</v>
      </c>
      <c r="S241" s="13">
        <v>20501212</v>
      </c>
      <c r="T241" s="13">
        <v>20511212</v>
      </c>
      <c r="U241" s="13">
        <v>20511214</v>
      </c>
      <c r="V241" s="13">
        <v>2.8525892790138622E-2</v>
      </c>
      <c r="W241" s="13">
        <v>2.8922085745557213</v>
      </c>
      <c r="X241" s="13">
        <v>0.38243853324135818</v>
      </c>
      <c r="Y241" s="13">
        <v>20501212</v>
      </c>
      <c r="Z241" s="13">
        <v>20511212</v>
      </c>
      <c r="AA241" s="13">
        <v>20511214</v>
      </c>
      <c r="AB241" s="13">
        <v>3.1739999999999997E-2</v>
      </c>
      <c r="AC241" s="13">
        <v>3.218083333333333</v>
      </c>
      <c r="AD241" s="13">
        <v>0.38243853324135818</v>
      </c>
      <c r="AG241" s="17">
        <v>52978</v>
      </c>
    </row>
    <row r="242" spans="18:33" x14ac:dyDescent="0.4">
      <c r="R242" s="14">
        <v>25</v>
      </c>
      <c r="S242" s="13">
        <v>20511212</v>
      </c>
      <c r="T242" s="13">
        <v>20521212</v>
      </c>
      <c r="U242" s="13">
        <v>20521216</v>
      </c>
      <c r="V242" s="13">
        <v>2.7976231328997646E-2</v>
      </c>
      <c r="W242" s="13">
        <v>2.8442501851147606</v>
      </c>
      <c r="X242" s="13">
        <v>0.37180653702657662</v>
      </c>
      <c r="Y242" s="13">
        <v>20511212</v>
      </c>
      <c r="Z242" s="13">
        <v>20521212</v>
      </c>
      <c r="AA242" s="13">
        <v>20521216</v>
      </c>
      <c r="AB242" s="13">
        <v>3.1739999999999997E-2</v>
      </c>
      <c r="AC242" s="13">
        <v>3.2268999999999997</v>
      </c>
      <c r="AD242" s="13">
        <v>0.37180653702657662</v>
      </c>
      <c r="AG242" s="17">
        <v>53013</v>
      </c>
    </row>
    <row r="243" spans="18:33" x14ac:dyDescent="0.4">
      <c r="R243" s="14">
        <v>25</v>
      </c>
      <c r="S243" s="13">
        <v>20521212</v>
      </c>
      <c r="T243" s="13">
        <v>20531212</v>
      </c>
      <c r="U243" s="13">
        <v>20531216</v>
      </c>
      <c r="V243" s="13">
        <v>2.7424715045981211E-2</v>
      </c>
      <c r="W243" s="13">
        <v>2.7805613866064283</v>
      </c>
      <c r="X243" s="13">
        <v>0.36175006327929693</v>
      </c>
      <c r="Y243" s="13">
        <v>20521212</v>
      </c>
      <c r="Z243" s="13">
        <v>20531212</v>
      </c>
      <c r="AA243" s="13">
        <v>20531216</v>
      </c>
      <c r="AB243" s="13">
        <v>3.1739999999999997E-2</v>
      </c>
      <c r="AC243" s="13">
        <v>3.218083333333333</v>
      </c>
      <c r="AD243" s="13">
        <v>0.36175006327929693</v>
      </c>
      <c r="AG243" s="17">
        <v>53111</v>
      </c>
    </row>
    <row r="244" spans="18:33" x14ac:dyDescent="0.4">
      <c r="R244" s="14">
        <v>25</v>
      </c>
      <c r="S244" s="13">
        <v>20531212</v>
      </c>
      <c r="T244" s="13">
        <v>20541214</v>
      </c>
      <c r="U244" s="13">
        <v>20541216</v>
      </c>
      <c r="V244" s="13">
        <v>2.6875810190728395E-2</v>
      </c>
      <c r="W244" s="13">
        <v>2.7398395388881447</v>
      </c>
      <c r="X244" s="13">
        <v>0.35215644399485918</v>
      </c>
      <c r="Y244" s="13">
        <v>20531212</v>
      </c>
      <c r="Z244" s="13">
        <v>20541214</v>
      </c>
      <c r="AA244" s="13">
        <v>20541216</v>
      </c>
      <c r="AB244" s="13">
        <v>3.1739999999999997E-2</v>
      </c>
      <c r="AC244" s="13">
        <v>3.2357166666666664</v>
      </c>
      <c r="AD244" s="13">
        <v>0.35215644399485918</v>
      </c>
      <c r="AG244" s="17">
        <v>53132</v>
      </c>
    </row>
    <row r="245" spans="18:33" x14ac:dyDescent="0.4">
      <c r="R245" s="14">
        <v>25</v>
      </c>
      <c r="S245" s="13">
        <v>20541214</v>
      </c>
      <c r="T245" s="13">
        <v>20551213</v>
      </c>
      <c r="U245" s="13">
        <v>20551215</v>
      </c>
      <c r="V245" s="13">
        <v>2.5006480882159021E-2</v>
      </c>
      <c r="W245" s="13">
        <v>2.5284330669738564</v>
      </c>
      <c r="X245" s="13">
        <v>0.34347554355260651</v>
      </c>
      <c r="Y245" s="13">
        <v>20541214</v>
      </c>
      <c r="Z245" s="13">
        <v>20551213</v>
      </c>
      <c r="AA245" s="13">
        <v>20551215</v>
      </c>
      <c r="AB245" s="13">
        <v>3.1739999999999997E-2</v>
      </c>
      <c r="AC245" s="13">
        <v>3.2092666666666663</v>
      </c>
      <c r="AD245" s="13">
        <v>0.34347554355260651</v>
      </c>
      <c r="AG245" s="17">
        <v>53147</v>
      </c>
    </row>
    <row r="246" spans="18:33" x14ac:dyDescent="0.4">
      <c r="R246" s="14">
        <v>25</v>
      </c>
      <c r="S246" s="13">
        <v>20551213</v>
      </c>
      <c r="T246" s="13">
        <v>20561212</v>
      </c>
      <c r="U246" s="13">
        <v>20561214</v>
      </c>
      <c r="V246" s="13">
        <v>2.4367866826771969E-2</v>
      </c>
      <c r="W246" s="13">
        <v>2.4706309421588246</v>
      </c>
      <c r="X246" s="13">
        <v>0.33519528411756455</v>
      </c>
      <c r="Y246" s="13">
        <v>20551213</v>
      </c>
      <c r="Z246" s="13">
        <v>20561212</v>
      </c>
      <c r="AA246" s="13">
        <v>20561214</v>
      </c>
      <c r="AB246" s="13">
        <v>3.1739999999999997E-2</v>
      </c>
      <c r="AC246" s="13">
        <v>3.218083333333333</v>
      </c>
      <c r="AD246" s="13">
        <v>0.33519528411756455</v>
      </c>
      <c r="AG246" s="17">
        <v>53209</v>
      </c>
    </row>
    <row r="247" spans="18:33" x14ac:dyDescent="0.4">
      <c r="R247" s="14">
        <v>25</v>
      </c>
      <c r="S247" s="13">
        <v>20561212</v>
      </c>
      <c r="T247" s="13">
        <v>20571212</v>
      </c>
      <c r="U247" s="13">
        <v>20571214</v>
      </c>
      <c r="V247" s="13">
        <v>2.3734956090859047E-2</v>
      </c>
      <c r="W247" s="13">
        <v>2.4064608258787645</v>
      </c>
      <c r="X247" s="13">
        <v>0.32731961632454382</v>
      </c>
      <c r="Y247" s="13">
        <v>20561212</v>
      </c>
      <c r="Z247" s="13">
        <v>20571212</v>
      </c>
      <c r="AA247" s="13">
        <v>20571214</v>
      </c>
      <c r="AB247" s="13">
        <v>3.1739999999999997E-2</v>
      </c>
      <c r="AC247" s="13">
        <v>3.218083333333333</v>
      </c>
      <c r="AD247" s="13">
        <v>0.32731961632454382</v>
      </c>
      <c r="AG247" s="17">
        <v>53244</v>
      </c>
    </row>
    <row r="248" spans="18:33" x14ac:dyDescent="0.4">
      <c r="R248" s="14">
        <v>25</v>
      </c>
      <c r="S248" s="13">
        <v>20571212</v>
      </c>
      <c r="T248" s="13">
        <v>20581212</v>
      </c>
      <c r="U248" s="13">
        <v>20581216</v>
      </c>
      <c r="V248" s="13">
        <v>2.3102441702217841E-2</v>
      </c>
      <c r="W248" s="13">
        <v>2.3423308948081978</v>
      </c>
      <c r="X248" s="13">
        <v>0.31978926451663331</v>
      </c>
      <c r="Y248" s="13">
        <v>20571212</v>
      </c>
      <c r="Z248" s="13">
        <v>20581212</v>
      </c>
      <c r="AA248" s="13">
        <v>20581216</v>
      </c>
      <c r="AB248" s="13">
        <v>3.1739999999999997E-2</v>
      </c>
      <c r="AC248" s="13">
        <v>3.218083333333333</v>
      </c>
      <c r="AD248" s="13">
        <v>0.31978926451663331</v>
      </c>
      <c r="AG248" s="17">
        <v>53276</v>
      </c>
    </row>
    <row r="249" spans="18:33" x14ac:dyDescent="0.4">
      <c r="R249" s="14">
        <v>25</v>
      </c>
      <c r="S249" s="13">
        <v>20581212</v>
      </c>
      <c r="T249" s="13">
        <v>20591212</v>
      </c>
      <c r="U249" s="13">
        <v>20591216</v>
      </c>
      <c r="V249" s="13">
        <v>2.247032341264733E-2</v>
      </c>
      <c r="W249" s="13">
        <v>2.2782411237822986</v>
      </c>
      <c r="X249" s="13">
        <v>0.3126681260291973</v>
      </c>
      <c r="Y249" s="13">
        <v>20581212</v>
      </c>
      <c r="Z249" s="13">
        <v>20591212</v>
      </c>
      <c r="AA249" s="13">
        <v>20591216</v>
      </c>
      <c r="AB249" s="13">
        <v>3.1739999999999997E-2</v>
      </c>
      <c r="AC249" s="13">
        <v>3.218083333333333</v>
      </c>
      <c r="AD249" s="13">
        <v>0.3126681260291973</v>
      </c>
      <c r="AG249" s="17">
        <v>53289</v>
      </c>
    </row>
    <row r="250" spans="18:33" x14ac:dyDescent="0.4">
      <c r="R250" s="14">
        <v>25</v>
      </c>
      <c r="S250" s="13">
        <v>20591212</v>
      </c>
      <c r="T250" s="13">
        <v>20601213</v>
      </c>
      <c r="U250" s="13">
        <v>20601215</v>
      </c>
      <c r="V250" s="13">
        <v>2.1838185735579278E-2</v>
      </c>
      <c r="W250" s="13">
        <v>2.2262817124882206</v>
      </c>
      <c r="X250" s="13">
        <v>0.30589712439427186</v>
      </c>
      <c r="Y250" s="13">
        <v>20591212</v>
      </c>
      <c r="Z250" s="13">
        <v>20601213</v>
      </c>
      <c r="AA250" s="13">
        <v>20601215</v>
      </c>
      <c r="AB250" s="13">
        <v>3.1739999999999997E-2</v>
      </c>
      <c r="AC250" s="13">
        <v>3.2357166666666664</v>
      </c>
      <c r="AD250" s="13">
        <v>0.30589712439427186</v>
      </c>
      <c r="AG250" s="17">
        <v>53321</v>
      </c>
    </row>
    <row r="251" spans="18:33" x14ac:dyDescent="0.4">
      <c r="R251" s="14">
        <v>25</v>
      </c>
      <c r="S251" s="13">
        <v>20601213</v>
      </c>
      <c r="T251" s="13">
        <v>20611212</v>
      </c>
      <c r="U251" s="13">
        <v>20611214</v>
      </c>
      <c r="V251" s="13">
        <v>2.1204060402820222E-2</v>
      </c>
      <c r="W251" s="13">
        <v>2.1439661073962668</v>
      </c>
      <c r="X251" s="13">
        <v>0.29947747591867729</v>
      </c>
      <c r="Y251" s="13">
        <v>20601213</v>
      </c>
      <c r="Z251" s="13">
        <v>20611212</v>
      </c>
      <c r="AA251" s="13">
        <v>20611214</v>
      </c>
      <c r="AB251" s="13">
        <v>3.1739999999999997E-2</v>
      </c>
      <c r="AC251" s="13">
        <v>3.2092666666666663</v>
      </c>
      <c r="AD251" s="13">
        <v>0.29947747591867729</v>
      </c>
      <c r="AG251" s="17">
        <v>53328</v>
      </c>
    </row>
    <row r="252" spans="18:33" x14ac:dyDescent="0.4">
      <c r="R252" s="14">
        <v>25</v>
      </c>
      <c r="S252" s="13">
        <v>20611212</v>
      </c>
      <c r="T252" s="13">
        <v>20621212</v>
      </c>
      <c r="U252" s="13">
        <v>20621214</v>
      </c>
      <c r="V252" s="13">
        <v>2.0574614622111079E-2</v>
      </c>
      <c r="W252" s="13">
        <v>2.0860373158529288</v>
      </c>
      <c r="X252" s="13">
        <v>0.2933589271771575</v>
      </c>
      <c r="Y252" s="13">
        <v>20611212</v>
      </c>
      <c r="Z252" s="13">
        <v>20621212</v>
      </c>
      <c r="AA252" s="13">
        <v>20621214</v>
      </c>
      <c r="AB252" s="13">
        <v>3.1739999999999997E-2</v>
      </c>
      <c r="AC252" s="13">
        <v>3.218083333333333</v>
      </c>
      <c r="AD252" s="13">
        <v>0.2933589271771575</v>
      </c>
      <c r="AG252" s="17">
        <v>53342</v>
      </c>
    </row>
    <row r="253" spans="18:33" x14ac:dyDescent="0.4">
      <c r="R253" s="14">
        <v>25</v>
      </c>
      <c r="S253" s="13">
        <v>20621212</v>
      </c>
      <c r="T253" s="13">
        <v>20631212</v>
      </c>
      <c r="U253" s="13">
        <v>20631214</v>
      </c>
      <c r="V253" s="13">
        <v>1.9944079332043882E-2</v>
      </c>
      <c r="W253" s="13">
        <v>2.0221080433877825</v>
      </c>
      <c r="X253" s="13">
        <v>0.28754545436310419</v>
      </c>
      <c r="Y253" s="13">
        <v>20621212</v>
      </c>
      <c r="Z253" s="13">
        <v>20631212</v>
      </c>
      <c r="AA253" s="13">
        <v>20631214</v>
      </c>
      <c r="AB253" s="13">
        <v>3.1739999999999997E-2</v>
      </c>
      <c r="AC253" s="13">
        <v>3.218083333333333</v>
      </c>
      <c r="AD253" s="13">
        <v>0.28754545436310419</v>
      </c>
      <c r="AG253" s="17">
        <v>53377</v>
      </c>
    </row>
    <row r="254" spans="18:33" x14ac:dyDescent="0.4">
      <c r="R254" s="14">
        <v>25</v>
      </c>
      <c r="S254" s="13">
        <v>20631212</v>
      </c>
      <c r="T254" s="13">
        <v>20641212</v>
      </c>
      <c r="U254" s="13">
        <v>20641216</v>
      </c>
      <c r="V254" s="13">
        <v>1.9313590675294215E-2</v>
      </c>
      <c r="W254" s="13">
        <v>1.9635483853215785</v>
      </c>
      <c r="X254" s="13">
        <v>0.28197958884784613</v>
      </c>
      <c r="Y254" s="13">
        <v>20631212</v>
      </c>
      <c r="Z254" s="13">
        <v>20641212</v>
      </c>
      <c r="AA254" s="13">
        <v>20641216</v>
      </c>
      <c r="AB254" s="13">
        <v>3.1739999999999997E-2</v>
      </c>
      <c r="AC254" s="13">
        <v>3.2268999999999997</v>
      </c>
      <c r="AD254" s="13">
        <v>0.28197958884784613</v>
      </c>
      <c r="AG254" s="17">
        <v>53475</v>
      </c>
    </row>
    <row r="255" spans="18:33" x14ac:dyDescent="0.4">
      <c r="R255" s="14">
        <v>25</v>
      </c>
      <c r="S255" s="13">
        <v>20641212</v>
      </c>
      <c r="T255" s="13">
        <v>20651214</v>
      </c>
      <c r="U255" s="13">
        <v>20651216</v>
      </c>
      <c r="V255" s="13">
        <v>1.8310550503838847E-2</v>
      </c>
      <c r="W255" s="13">
        <v>1.8666588985857935</v>
      </c>
      <c r="X255" s="13">
        <v>0.27684291126340999</v>
      </c>
      <c r="Y255" s="13">
        <v>20641212</v>
      </c>
      <c r="Z255" s="13">
        <v>20651214</v>
      </c>
      <c r="AA255" s="13">
        <v>20651216</v>
      </c>
      <c r="AB255" s="13">
        <v>3.1739999999999997E-2</v>
      </c>
      <c r="AC255" s="13">
        <v>3.2357166666666664</v>
      </c>
      <c r="AD255" s="13">
        <v>0.27684291126340999</v>
      </c>
      <c r="AG255" s="17">
        <v>53497</v>
      </c>
    </row>
    <row r="256" spans="18:33" x14ac:dyDescent="0.4">
      <c r="R256" s="14">
        <v>25</v>
      </c>
      <c r="S256" s="13">
        <v>20651214</v>
      </c>
      <c r="T256" s="13">
        <v>20661213</v>
      </c>
      <c r="U256" s="13">
        <v>20661215</v>
      </c>
      <c r="V256" s="13">
        <v>1.7656934379025394E-2</v>
      </c>
      <c r="W256" s="13">
        <v>1.7853122538792343</v>
      </c>
      <c r="X256" s="13">
        <v>0.27198805045288871</v>
      </c>
      <c r="Y256" s="13">
        <v>20651214</v>
      </c>
      <c r="Z256" s="13">
        <v>20661213</v>
      </c>
      <c r="AA256" s="13">
        <v>20661215</v>
      </c>
      <c r="AB256" s="13">
        <v>3.1739999999999997E-2</v>
      </c>
      <c r="AC256" s="13">
        <v>3.2092666666666663</v>
      </c>
      <c r="AD256" s="13">
        <v>0.27198805045288871</v>
      </c>
      <c r="AG256" s="17">
        <v>53512</v>
      </c>
    </row>
    <row r="257" spans="18:33" x14ac:dyDescent="0.4">
      <c r="R257" s="14">
        <v>25</v>
      </c>
      <c r="S257" s="13">
        <v>20661213</v>
      </c>
      <c r="T257" s="13">
        <v>20671212</v>
      </c>
      <c r="U257" s="13">
        <v>20671214</v>
      </c>
      <c r="V257" s="13">
        <v>1.7011769827750912E-2</v>
      </c>
      <c r="W257" s="13">
        <v>1.7200789492503699</v>
      </c>
      <c r="X257" s="13">
        <v>0.26738969468414359</v>
      </c>
      <c r="Y257" s="13">
        <v>20661213</v>
      </c>
      <c r="Z257" s="13">
        <v>20671212</v>
      </c>
      <c r="AA257" s="13">
        <v>20671214</v>
      </c>
      <c r="AB257" s="13">
        <v>3.1739999999999997E-2</v>
      </c>
      <c r="AC257" s="13">
        <v>3.2092666666666663</v>
      </c>
      <c r="AD257" s="13">
        <v>0.26738969468414359</v>
      </c>
      <c r="AG257" s="17">
        <v>53573</v>
      </c>
    </row>
    <row r="258" spans="18:33" x14ac:dyDescent="0.4">
      <c r="R258" s="14">
        <v>25</v>
      </c>
      <c r="S258" s="13">
        <v>20671212</v>
      </c>
      <c r="T258" s="13">
        <v>20681212</v>
      </c>
      <c r="U258" s="13">
        <v>20681214</v>
      </c>
      <c r="V258" s="13">
        <v>1.6365987932521264E-2</v>
      </c>
      <c r="W258" s="13">
        <v>1.6638754398063282</v>
      </c>
      <c r="X258" s="13">
        <v>0.2630144095794017</v>
      </c>
      <c r="Y258" s="13">
        <v>20671212</v>
      </c>
      <c r="Z258" s="13">
        <v>20681212</v>
      </c>
      <c r="AA258" s="13">
        <v>20681214</v>
      </c>
      <c r="AB258" s="13">
        <v>3.1739999999999997E-2</v>
      </c>
      <c r="AC258" s="13">
        <v>3.2268999999999997</v>
      </c>
      <c r="AD258" s="13">
        <v>0.2630144095794017</v>
      </c>
      <c r="AG258" s="17">
        <v>53608</v>
      </c>
    </row>
    <row r="259" spans="18:33" x14ac:dyDescent="0.4">
      <c r="R259" s="14">
        <v>25</v>
      </c>
      <c r="S259" s="13">
        <v>20681212</v>
      </c>
      <c r="T259" s="13">
        <v>20691212</v>
      </c>
      <c r="U259" s="13">
        <v>20691216</v>
      </c>
      <c r="V259" s="13">
        <v>1.5718598276995427E-2</v>
      </c>
      <c r="W259" s="13">
        <v>1.5936912141953696</v>
      </c>
      <c r="X259" s="13">
        <v>0.25886747659738218</v>
      </c>
      <c r="Y259" s="13">
        <v>20681212</v>
      </c>
      <c r="Z259" s="13">
        <v>20691212</v>
      </c>
      <c r="AA259" s="13">
        <v>20691216</v>
      </c>
      <c r="AB259" s="13">
        <v>3.1739999999999997E-2</v>
      </c>
      <c r="AC259" s="13">
        <v>3.218083333333333</v>
      </c>
      <c r="AD259" s="13">
        <v>0.25886747659738218</v>
      </c>
      <c r="AG259" s="17">
        <v>53643</v>
      </c>
    </row>
    <row r="260" spans="18:33" x14ac:dyDescent="0.4">
      <c r="R260" s="14">
        <v>25</v>
      </c>
      <c r="S260" s="13">
        <v>20691212</v>
      </c>
      <c r="T260" s="13">
        <v>20701212</v>
      </c>
      <c r="U260" s="13">
        <v>20701216</v>
      </c>
      <c r="V260" s="13">
        <v>1.507288035798107E-2</v>
      </c>
      <c r="W260" s="13">
        <v>1.5282225918508585</v>
      </c>
      <c r="X260" s="13">
        <v>0.25497275410863995</v>
      </c>
      <c r="Y260" s="13">
        <v>20691212</v>
      </c>
      <c r="Z260" s="13">
        <v>20701212</v>
      </c>
      <c r="AA260" s="13">
        <v>20701216</v>
      </c>
      <c r="AB260" s="13">
        <v>3.1739999999999997E-2</v>
      </c>
      <c r="AC260" s="13">
        <v>3.218083333333333</v>
      </c>
      <c r="AD260" s="13">
        <v>0.25497275410863995</v>
      </c>
      <c r="AG260" s="17">
        <v>53653</v>
      </c>
    </row>
    <row r="261" spans="18:33" x14ac:dyDescent="0.4">
      <c r="R261" s="14">
        <v>25</v>
      </c>
      <c r="S261" s="13">
        <v>20701212</v>
      </c>
      <c r="T261" s="13">
        <v>20711214</v>
      </c>
      <c r="U261" s="13">
        <v>20711216</v>
      </c>
      <c r="V261" s="13">
        <v>1.4426386455389515E-2</v>
      </c>
      <c r="W261" s="13">
        <v>1.4706899525355421</v>
      </c>
      <c r="X261" s="13">
        <v>0.25129856951601792</v>
      </c>
      <c r="Y261" s="13">
        <v>20701212</v>
      </c>
      <c r="Z261" s="13">
        <v>20711214</v>
      </c>
      <c r="AA261" s="13">
        <v>20711216</v>
      </c>
      <c r="AB261" s="13">
        <v>3.1739999999999997E-2</v>
      </c>
      <c r="AC261" s="13">
        <v>3.2357166666666664</v>
      </c>
      <c r="AD261" s="13">
        <v>0.25129856951601792</v>
      </c>
      <c r="AG261" s="17">
        <v>53686</v>
      </c>
    </row>
    <row r="262" spans="18:33" x14ac:dyDescent="0.4">
      <c r="R262" s="14">
        <v>25</v>
      </c>
      <c r="S262" s="13">
        <v>20711214</v>
      </c>
      <c r="T262" s="13">
        <v>20721212</v>
      </c>
      <c r="U262" s="13">
        <v>20721214</v>
      </c>
      <c r="V262" s="13">
        <v>1.3779780713948987E-2</v>
      </c>
      <c r="W262" s="13">
        <v>1.393288938854842</v>
      </c>
      <c r="X262" s="13">
        <v>0.24784624046522305</v>
      </c>
      <c r="Y262" s="13">
        <v>20711214</v>
      </c>
      <c r="Z262" s="13">
        <v>20721212</v>
      </c>
      <c r="AA262" s="13">
        <v>20721214</v>
      </c>
      <c r="AB262" s="13">
        <v>3.1739999999999997E-2</v>
      </c>
      <c r="AC262" s="13">
        <v>3.2092666666666663</v>
      </c>
      <c r="AD262" s="13">
        <v>0.24784624046522305</v>
      </c>
      <c r="AG262" s="17">
        <v>53693</v>
      </c>
    </row>
    <row r="263" spans="18:33" x14ac:dyDescent="0.4">
      <c r="R263" s="14">
        <v>25</v>
      </c>
      <c r="S263" s="13">
        <v>20721212</v>
      </c>
      <c r="T263" s="13">
        <v>20731212</v>
      </c>
      <c r="U263" s="13">
        <v>20731214</v>
      </c>
      <c r="V263" s="13">
        <v>1.3136457093399919E-2</v>
      </c>
      <c r="W263" s="13">
        <v>1.3318907886363807</v>
      </c>
      <c r="X263" s="13">
        <v>0.24458945153087255</v>
      </c>
      <c r="Y263" s="13">
        <v>20721212</v>
      </c>
      <c r="Z263" s="13">
        <v>20731212</v>
      </c>
      <c r="AA263" s="13">
        <v>20731214</v>
      </c>
      <c r="AB263" s="13">
        <v>3.1739999999999997E-2</v>
      </c>
      <c r="AC263" s="13">
        <v>3.218083333333333</v>
      </c>
      <c r="AD263" s="13">
        <v>0.24458945153087255</v>
      </c>
      <c r="AG263" s="17">
        <v>53713</v>
      </c>
    </row>
    <row r="264" spans="18:33" x14ac:dyDescent="0.4">
      <c r="R264" s="14">
        <v>25</v>
      </c>
      <c r="S264" s="13">
        <v>20731212</v>
      </c>
      <c r="T264" s="13">
        <v>20741212</v>
      </c>
      <c r="U264" s="13">
        <v>20741214</v>
      </c>
      <c r="V264" s="13">
        <v>1.2492403148042508E-2</v>
      </c>
      <c r="W264" s="13">
        <v>1.2665908747320875</v>
      </c>
      <c r="X264" s="13">
        <v>0.24153110453811441</v>
      </c>
      <c r="Y264" s="13">
        <v>20731212</v>
      </c>
      <c r="Z264" s="13">
        <v>20741212</v>
      </c>
      <c r="AA264" s="13">
        <v>20741214</v>
      </c>
      <c r="AB264" s="13">
        <v>3.1739999999999997E-2</v>
      </c>
      <c r="AC264" s="13">
        <v>3.218083333333333</v>
      </c>
      <c r="AD264" s="13">
        <v>0.24153110453811441</v>
      </c>
      <c r="AG264" s="17">
        <v>53741</v>
      </c>
    </row>
    <row r="265" spans="18:33" x14ac:dyDescent="0.4">
      <c r="AG265" s="17">
        <v>53839</v>
      </c>
    </row>
    <row r="266" spans="18:33" x14ac:dyDescent="0.4">
      <c r="AG266" s="17">
        <v>53862</v>
      </c>
    </row>
    <row r="267" spans="18:33" x14ac:dyDescent="0.4">
      <c r="AG267" s="17">
        <v>53877</v>
      </c>
    </row>
    <row r="268" spans="18:33" x14ac:dyDescent="0.4">
      <c r="AG268" s="17">
        <v>53937</v>
      </c>
    </row>
    <row r="269" spans="18:33" x14ac:dyDescent="0.4">
      <c r="AG269" s="17">
        <v>53979</v>
      </c>
    </row>
    <row r="270" spans="18:33" x14ac:dyDescent="0.4">
      <c r="AG270" s="17">
        <v>54007</v>
      </c>
    </row>
    <row r="271" spans="18:33" x14ac:dyDescent="0.4">
      <c r="AG271" s="17">
        <v>54024</v>
      </c>
    </row>
    <row r="272" spans="18:33" x14ac:dyDescent="0.4">
      <c r="AG272" s="17">
        <v>54051</v>
      </c>
    </row>
    <row r="273" spans="33:33" x14ac:dyDescent="0.4">
      <c r="AG273" s="17">
        <v>54058</v>
      </c>
    </row>
    <row r="274" spans="33:33" x14ac:dyDescent="0.4">
      <c r="AG274" s="17">
        <v>54077</v>
      </c>
    </row>
    <row r="275" spans="33:33" x14ac:dyDescent="0.4">
      <c r="AG275" s="17">
        <v>54105</v>
      </c>
    </row>
    <row r="276" spans="33:33" x14ac:dyDescent="0.4">
      <c r="AG276" s="17">
        <v>54203</v>
      </c>
    </row>
    <row r="277" spans="33:33" x14ac:dyDescent="0.4">
      <c r="AG277" s="17">
        <v>54228</v>
      </c>
    </row>
    <row r="278" spans="33:33" x14ac:dyDescent="0.4">
      <c r="AG278" s="17">
        <v>54242</v>
      </c>
    </row>
    <row r="279" spans="33:33" x14ac:dyDescent="0.4">
      <c r="AG279" s="17">
        <v>54308</v>
      </c>
    </row>
    <row r="280" spans="33:33" x14ac:dyDescent="0.4">
      <c r="AG280" s="17">
        <v>54343</v>
      </c>
    </row>
    <row r="281" spans="33:33" x14ac:dyDescent="0.4">
      <c r="AG281" s="17">
        <v>54373</v>
      </c>
    </row>
    <row r="282" spans="33:33" x14ac:dyDescent="0.4">
      <c r="AG282" s="17">
        <v>54388</v>
      </c>
    </row>
    <row r="283" spans="33:33" x14ac:dyDescent="0.4">
      <c r="AG283" s="17">
        <v>54417</v>
      </c>
    </row>
    <row r="284" spans="33:33" x14ac:dyDescent="0.4">
      <c r="AG284" s="17">
        <v>54424</v>
      </c>
    </row>
    <row r="285" spans="33:33" x14ac:dyDescent="0.4">
      <c r="AG285" s="17">
        <v>54441</v>
      </c>
    </row>
    <row r="286" spans="33:33" x14ac:dyDescent="0.4">
      <c r="AG286" s="17">
        <v>54469</v>
      </c>
    </row>
    <row r="287" spans="33:33" x14ac:dyDescent="0.4">
      <c r="AG287" s="17">
        <v>54574</v>
      </c>
    </row>
    <row r="288" spans="33:33" x14ac:dyDescent="0.4">
      <c r="AG288" s="17">
        <v>54592</v>
      </c>
    </row>
    <row r="289" spans="33:33" x14ac:dyDescent="0.4">
      <c r="AG289" s="17">
        <v>54609</v>
      </c>
    </row>
    <row r="290" spans="33:33" x14ac:dyDescent="0.4">
      <c r="AG290" s="17">
        <v>54672</v>
      </c>
    </row>
    <row r="291" spans="33:33" x14ac:dyDescent="0.4">
      <c r="AG291" s="17">
        <v>54707</v>
      </c>
    </row>
    <row r="292" spans="33:33" x14ac:dyDescent="0.4">
      <c r="AG292" s="17">
        <v>54738</v>
      </c>
    </row>
    <row r="293" spans="33:33" x14ac:dyDescent="0.4">
      <c r="AG293" s="17">
        <v>54752</v>
      </c>
    </row>
    <row r="294" spans="33:33" x14ac:dyDescent="0.4">
      <c r="AG294" s="17">
        <v>54781</v>
      </c>
    </row>
    <row r="295" spans="33:33" x14ac:dyDescent="0.4">
      <c r="AG295" s="17">
        <v>54789</v>
      </c>
    </row>
    <row r="296" spans="33:33" x14ac:dyDescent="0.4">
      <c r="AG296" s="17">
        <v>54805</v>
      </c>
    </row>
    <row r="297" spans="33:33" x14ac:dyDescent="0.4">
      <c r="AG297" s="17">
        <v>54840</v>
      </c>
    </row>
    <row r="298" spans="33:33" x14ac:dyDescent="0.4">
      <c r="AG298" s="17">
        <v>54938</v>
      </c>
    </row>
    <row r="299" spans="33:33" x14ac:dyDescent="0.4">
      <c r="AG299" s="17">
        <v>54959</v>
      </c>
    </row>
    <row r="300" spans="33:33" x14ac:dyDescent="0.4">
      <c r="AG300" s="17">
        <v>54973</v>
      </c>
    </row>
    <row r="301" spans="33:33" x14ac:dyDescent="0.4">
      <c r="AG301" s="17">
        <v>55036</v>
      </c>
    </row>
    <row r="302" spans="33:33" x14ac:dyDescent="0.4">
      <c r="AG302" s="17">
        <v>55071</v>
      </c>
    </row>
    <row r="303" spans="33:33" x14ac:dyDescent="0.4">
      <c r="AG303" s="17">
        <v>55103</v>
      </c>
    </row>
    <row r="304" spans="33:33" x14ac:dyDescent="0.4">
      <c r="AG304" s="17">
        <v>55116</v>
      </c>
    </row>
    <row r="305" spans="33:33" x14ac:dyDescent="0.4">
      <c r="AG305" s="17">
        <v>55148</v>
      </c>
    </row>
    <row r="306" spans="33:33" x14ac:dyDescent="0.4">
      <c r="AG306" s="17">
        <v>55155</v>
      </c>
    </row>
    <row r="307" spans="33:33" x14ac:dyDescent="0.4">
      <c r="AG307" s="17">
        <v>55169</v>
      </c>
    </row>
    <row r="308" spans="33:33" x14ac:dyDescent="0.4">
      <c r="AG308" s="17">
        <v>55204</v>
      </c>
    </row>
    <row r="309" spans="33:33" x14ac:dyDescent="0.4">
      <c r="AG309" s="17">
        <v>55302</v>
      </c>
    </row>
    <row r="310" spans="33:33" x14ac:dyDescent="0.4">
      <c r="AG310" s="17">
        <v>55323</v>
      </c>
    </row>
    <row r="311" spans="33:33" x14ac:dyDescent="0.4">
      <c r="AG311" s="17">
        <v>55338</v>
      </c>
    </row>
    <row r="312" spans="33:33" x14ac:dyDescent="0.4">
      <c r="AG312" s="17">
        <v>55400</v>
      </c>
    </row>
    <row r="313" spans="33:33" x14ac:dyDescent="0.4">
      <c r="AG313" s="17">
        <v>55435</v>
      </c>
    </row>
    <row r="314" spans="33:33" x14ac:dyDescent="0.4">
      <c r="AG314" s="17">
        <v>55467</v>
      </c>
    </row>
    <row r="315" spans="33:33" x14ac:dyDescent="0.4">
      <c r="AG315" s="17">
        <v>55480</v>
      </c>
    </row>
    <row r="316" spans="33:33" x14ac:dyDescent="0.4">
      <c r="AG316" s="17">
        <v>55512</v>
      </c>
    </row>
    <row r="317" spans="33:33" x14ac:dyDescent="0.4">
      <c r="AG317" s="17">
        <v>55519</v>
      </c>
    </row>
    <row r="318" spans="33:33" x14ac:dyDescent="0.4">
      <c r="AG318" s="17">
        <v>55533</v>
      </c>
    </row>
    <row r="319" spans="33:33" x14ac:dyDescent="0.4">
      <c r="AG319" s="17">
        <v>55568</v>
      </c>
    </row>
    <row r="320" spans="33:33" x14ac:dyDescent="0.4">
      <c r="AG320" s="17">
        <v>55666</v>
      </c>
    </row>
    <row r="321" spans="33:33" x14ac:dyDescent="0.4">
      <c r="AG321" s="17">
        <v>55689</v>
      </c>
    </row>
    <row r="322" spans="33:33" x14ac:dyDescent="0.4">
      <c r="AG322" s="17">
        <v>55704</v>
      </c>
    </row>
    <row r="323" spans="33:33" x14ac:dyDescent="0.4">
      <c r="AG323" s="17">
        <v>55764</v>
      </c>
    </row>
    <row r="324" spans="33:33" x14ac:dyDescent="0.4">
      <c r="AG324" s="17">
        <v>55806</v>
      </c>
    </row>
    <row r="325" spans="33:33" x14ac:dyDescent="0.4">
      <c r="AG325" s="17">
        <v>55834</v>
      </c>
    </row>
    <row r="326" spans="33:33" x14ac:dyDescent="0.4">
      <c r="AG326" s="17">
        <v>55851</v>
      </c>
    </row>
    <row r="327" spans="33:33" x14ac:dyDescent="0.4">
      <c r="AG327" s="17">
        <v>55878</v>
      </c>
    </row>
    <row r="328" spans="33:33" x14ac:dyDescent="0.4">
      <c r="AG328" s="17">
        <v>55885</v>
      </c>
    </row>
    <row r="329" spans="33:33" x14ac:dyDescent="0.4">
      <c r="AG329" s="17">
        <v>55904</v>
      </c>
    </row>
    <row r="330" spans="33:33" x14ac:dyDescent="0.4">
      <c r="AG330" s="17">
        <v>55932</v>
      </c>
    </row>
    <row r="331" spans="33:33" x14ac:dyDescent="0.4">
      <c r="AG331" s="17">
        <v>56030</v>
      </c>
    </row>
    <row r="332" spans="33:33" x14ac:dyDescent="0.4">
      <c r="AG332" s="17">
        <v>56054</v>
      </c>
    </row>
    <row r="333" spans="33:33" x14ac:dyDescent="0.4">
      <c r="AG333" s="17">
        <v>56069</v>
      </c>
    </row>
    <row r="334" spans="33:33" x14ac:dyDescent="0.4">
      <c r="AG334" s="17">
        <v>56128</v>
      </c>
    </row>
    <row r="335" spans="33:33" x14ac:dyDescent="0.4">
      <c r="AG335" s="17">
        <v>56170</v>
      </c>
    </row>
    <row r="336" spans="33:33" x14ac:dyDescent="0.4">
      <c r="AG336" s="17">
        <v>56199</v>
      </c>
    </row>
    <row r="337" spans="33:33" x14ac:dyDescent="0.4">
      <c r="AG337" s="17">
        <v>56215</v>
      </c>
    </row>
    <row r="338" spans="33:33" x14ac:dyDescent="0.4">
      <c r="AG338" s="17">
        <v>56243</v>
      </c>
    </row>
    <row r="339" spans="33:33" x14ac:dyDescent="0.4">
      <c r="AG339" s="17">
        <v>56250</v>
      </c>
    </row>
    <row r="340" spans="33:33" x14ac:dyDescent="0.4">
      <c r="AG340" s="17">
        <v>56268</v>
      </c>
    </row>
    <row r="341" spans="33:33" x14ac:dyDescent="0.4">
      <c r="AG341" s="17">
        <v>56296</v>
      </c>
    </row>
    <row r="342" spans="33:33" x14ac:dyDescent="0.4">
      <c r="AG342" s="17">
        <v>56394</v>
      </c>
    </row>
    <row r="343" spans="33:33" x14ac:dyDescent="0.4">
      <c r="AG343" s="17">
        <v>56419</v>
      </c>
    </row>
    <row r="344" spans="33:33" x14ac:dyDescent="0.4">
      <c r="AG344" s="17">
        <v>56433</v>
      </c>
    </row>
    <row r="345" spans="33:33" x14ac:dyDescent="0.4">
      <c r="AG345" s="17">
        <v>56499</v>
      </c>
    </row>
    <row r="346" spans="33:33" x14ac:dyDescent="0.4">
      <c r="AG346" s="17">
        <v>56534</v>
      </c>
    </row>
    <row r="347" spans="33:33" x14ac:dyDescent="0.4">
      <c r="AG347" s="17">
        <v>56564</v>
      </c>
    </row>
    <row r="348" spans="33:33" x14ac:dyDescent="0.4">
      <c r="AG348" s="17">
        <v>56579</v>
      </c>
    </row>
    <row r="349" spans="33:33" x14ac:dyDescent="0.4">
      <c r="AG349" s="17">
        <v>56608</v>
      </c>
    </row>
    <row r="350" spans="33:33" x14ac:dyDescent="0.4">
      <c r="AG350" s="17">
        <v>56615</v>
      </c>
    </row>
    <row r="351" spans="33:33" x14ac:dyDescent="0.4">
      <c r="AG351" s="17">
        <v>56632</v>
      </c>
    </row>
    <row r="352" spans="33:33" x14ac:dyDescent="0.4">
      <c r="AG352" s="17">
        <v>56660</v>
      </c>
    </row>
    <row r="353" spans="33:33" x14ac:dyDescent="0.4">
      <c r="AG353" s="17">
        <v>56765</v>
      </c>
    </row>
    <row r="354" spans="33:33" x14ac:dyDescent="0.4">
      <c r="AG354" s="17">
        <v>56783</v>
      </c>
    </row>
    <row r="355" spans="33:33" x14ac:dyDescent="0.4">
      <c r="AG355" s="17">
        <v>56800</v>
      </c>
    </row>
    <row r="356" spans="33:33" x14ac:dyDescent="0.4">
      <c r="AG356" s="17">
        <v>56863</v>
      </c>
    </row>
    <row r="357" spans="33:33" x14ac:dyDescent="0.4">
      <c r="AG357" s="17">
        <v>56898</v>
      </c>
    </row>
    <row r="358" spans="33:33" x14ac:dyDescent="0.4">
      <c r="AG358" s="17">
        <v>56929</v>
      </c>
    </row>
    <row r="359" spans="33:33" x14ac:dyDescent="0.4">
      <c r="AG359" s="17">
        <v>56943</v>
      </c>
    </row>
    <row r="360" spans="33:33" x14ac:dyDescent="0.4">
      <c r="AG360" s="17">
        <v>56972</v>
      </c>
    </row>
    <row r="361" spans="33:33" x14ac:dyDescent="0.4">
      <c r="AG361" s="17">
        <v>56980</v>
      </c>
    </row>
    <row r="362" spans="33:33" x14ac:dyDescent="0.4">
      <c r="AG362" s="17">
        <v>56996</v>
      </c>
    </row>
    <row r="363" spans="33:33" x14ac:dyDescent="0.4">
      <c r="AG363" s="17">
        <v>57031</v>
      </c>
    </row>
    <row r="364" spans="33:33" x14ac:dyDescent="0.4">
      <c r="AG364" s="17">
        <v>57129</v>
      </c>
    </row>
    <row r="365" spans="33:33" x14ac:dyDescent="0.4">
      <c r="AG365" s="17">
        <v>57150</v>
      </c>
    </row>
    <row r="366" spans="33:33" x14ac:dyDescent="0.4">
      <c r="AG366" s="17">
        <v>57165</v>
      </c>
    </row>
    <row r="367" spans="33:33" x14ac:dyDescent="0.4">
      <c r="AG367" s="17">
        <v>57227</v>
      </c>
    </row>
    <row r="368" spans="33:33" x14ac:dyDescent="0.4">
      <c r="AG368" s="17">
        <v>57262</v>
      </c>
    </row>
    <row r="369" spans="33:33" x14ac:dyDescent="0.4">
      <c r="AG369" s="17">
        <v>57294</v>
      </c>
    </row>
    <row r="370" spans="33:33" x14ac:dyDescent="0.4">
      <c r="AG370" s="17">
        <v>57307</v>
      </c>
    </row>
    <row r="371" spans="33:33" x14ac:dyDescent="0.4">
      <c r="AG371" s="17">
        <v>57339</v>
      </c>
    </row>
    <row r="372" spans="33:33" x14ac:dyDescent="0.4">
      <c r="AG372" s="17">
        <v>57346</v>
      </c>
    </row>
    <row r="373" spans="33:33" x14ac:dyDescent="0.4">
      <c r="AG373" s="17">
        <v>57360</v>
      </c>
    </row>
    <row r="374" spans="33:33" x14ac:dyDescent="0.4">
      <c r="AG374" s="17">
        <v>57395</v>
      </c>
    </row>
    <row r="375" spans="33:33" x14ac:dyDescent="0.4">
      <c r="AG375" s="17">
        <v>57493</v>
      </c>
    </row>
    <row r="376" spans="33:33" x14ac:dyDescent="0.4">
      <c r="AG376" s="17">
        <v>57515</v>
      </c>
    </row>
    <row r="377" spans="33:33" x14ac:dyDescent="0.4">
      <c r="AG377" s="17">
        <v>57530</v>
      </c>
    </row>
    <row r="378" spans="33:33" x14ac:dyDescent="0.4">
      <c r="AG378" s="17">
        <v>57591</v>
      </c>
    </row>
    <row r="379" spans="33:33" x14ac:dyDescent="0.4">
      <c r="AG379" s="17">
        <v>57626</v>
      </c>
    </row>
    <row r="380" spans="33:33" x14ac:dyDescent="0.4">
      <c r="AG380" s="17">
        <v>57661</v>
      </c>
    </row>
    <row r="381" spans="33:33" x14ac:dyDescent="0.4">
      <c r="AG381" s="17">
        <v>57671</v>
      </c>
    </row>
    <row r="382" spans="33:33" x14ac:dyDescent="0.4">
      <c r="AG382" s="17">
        <v>57704</v>
      </c>
    </row>
    <row r="383" spans="33:33" x14ac:dyDescent="0.4">
      <c r="AG383" s="17">
        <v>57711</v>
      </c>
    </row>
    <row r="384" spans="33:33" x14ac:dyDescent="0.4">
      <c r="AG384" s="17">
        <v>57731</v>
      </c>
    </row>
    <row r="385" spans="33:33" x14ac:dyDescent="0.4">
      <c r="AG385" s="17">
        <v>57759</v>
      </c>
    </row>
    <row r="386" spans="33:33" x14ac:dyDescent="0.4">
      <c r="AG386" s="17">
        <v>57857</v>
      </c>
    </row>
    <row r="387" spans="33:33" x14ac:dyDescent="0.4">
      <c r="AG387" s="17">
        <v>57880</v>
      </c>
    </row>
    <row r="388" spans="33:33" x14ac:dyDescent="0.4">
      <c r="AG388" s="17">
        <v>57895</v>
      </c>
    </row>
    <row r="389" spans="33:33" x14ac:dyDescent="0.4">
      <c r="AG389" s="17">
        <v>57955</v>
      </c>
    </row>
    <row r="390" spans="33:33" x14ac:dyDescent="0.4">
      <c r="AG390" s="17">
        <v>57997</v>
      </c>
    </row>
    <row r="391" spans="33:33" x14ac:dyDescent="0.4">
      <c r="AG391" s="17">
        <v>58025</v>
      </c>
    </row>
    <row r="392" spans="33:33" x14ac:dyDescent="0.4">
      <c r="AG392" s="17">
        <v>58042</v>
      </c>
    </row>
    <row r="393" spans="33:33" x14ac:dyDescent="0.4">
      <c r="AG393" s="17">
        <v>58069</v>
      </c>
    </row>
    <row r="394" spans="33:33" x14ac:dyDescent="0.4">
      <c r="AG394" s="17">
        <v>58076</v>
      </c>
    </row>
    <row r="395" spans="33:33" x14ac:dyDescent="0.4">
      <c r="AG395" s="17">
        <v>58095</v>
      </c>
    </row>
    <row r="396" spans="33:33" x14ac:dyDescent="0.4">
      <c r="AG396" s="17">
        <v>58123</v>
      </c>
    </row>
    <row r="397" spans="33:33" x14ac:dyDescent="0.4">
      <c r="AG397" s="17">
        <v>58221</v>
      </c>
    </row>
    <row r="398" spans="33:33" x14ac:dyDescent="0.4">
      <c r="AG398" s="17">
        <v>58245</v>
      </c>
    </row>
    <row r="399" spans="33:33" x14ac:dyDescent="0.4">
      <c r="AG399" s="17">
        <v>58260</v>
      </c>
    </row>
    <row r="400" spans="33:33" x14ac:dyDescent="0.4">
      <c r="AG400" s="17">
        <v>58319</v>
      </c>
    </row>
    <row r="401" spans="33:33" x14ac:dyDescent="0.4">
      <c r="AG401" s="17">
        <v>58361</v>
      </c>
    </row>
    <row r="402" spans="33:33" x14ac:dyDescent="0.4">
      <c r="AG402" s="17">
        <v>58390</v>
      </c>
    </row>
    <row r="403" spans="33:33" x14ac:dyDescent="0.4">
      <c r="AG403" s="17">
        <v>58406</v>
      </c>
    </row>
    <row r="404" spans="33:33" x14ac:dyDescent="0.4">
      <c r="AG404" s="17">
        <v>58434</v>
      </c>
    </row>
    <row r="405" spans="33:33" x14ac:dyDescent="0.4">
      <c r="AG405" s="17">
        <v>58441</v>
      </c>
    </row>
    <row r="406" spans="33:33" x14ac:dyDescent="0.4">
      <c r="AG406" s="17">
        <v>58459</v>
      </c>
    </row>
    <row r="407" spans="33:33" x14ac:dyDescent="0.4">
      <c r="AG407" s="17">
        <v>58487</v>
      </c>
    </row>
    <row r="408" spans="33:33" x14ac:dyDescent="0.4">
      <c r="AG408" s="17">
        <v>58592</v>
      </c>
    </row>
    <row r="409" spans="33:33" x14ac:dyDescent="0.4">
      <c r="AG409" s="17">
        <v>58610</v>
      </c>
    </row>
    <row r="410" spans="33:33" x14ac:dyDescent="0.4">
      <c r="AG410" s="17">
        <v>58627</v>
      </c>
    </row>
    <row r="411" spans="33:33" x14ac:dyDescent="0.4">
      <c r="AG411" s="17">
        <v>58690</v>
      </c>
    </row>
    <row r="412" spans="33:33" x14ac:dyDescent="0.4">
      <c r="AG412" s="17">
        <v>58725</v>
      </c>
    </row>
    <row r="413" spans="33:33" x14ac:dyDescent="0.4">
      <c r="AG413" s="17">
        <v>58756</v>
      </c>
    </row>
    <row r="414" spans="33:33" x14ac:dyDescent="0.4">
      <c r="AG414" s="17">
        <v>58770</v>
      </c>
    </row>
    <row r="415" spans="33:33" x14ac:dyDescent="0.4">
      <c r="AG415" s="17">
        <v>58799</v>
      </c>
    </row>
    <row r="416" spans="33:33" x14ac:dyDescent="0.4">
      <c r="AG416" s="17">
        <v>58807</v>
      </c>
    </row>
    <row r="417" spans="33:33" x14ac:dyDescent="0.4">
      <c r="AG417" s="17">
        <v>58823</v>
      </c>
    </row>
    <row r="418" spans="33:33" x14ac:dyDescent="0.4">
      <c r="AG418" s="17">
        <v>58858</v>
      </c>
    </row>
    <row r="419" spans="33:33" x14ac:dyDescent="0.4">
      <c r="AG419" s="17">
        <v>58956</v>
      </c>
    </row>
    <row r="420" spans="33:33" x14ac:dyDescent="0.4">
      <c r="AG420" s="17">
        <v>58977</v>
      </c>
    </row>
    <row r="421" spans="33:33" x14ac:dyDescent="0.4">
      <c r="AG421" s="17">
        <v>58991</v>
      </c>
    </row>
    <row r="422" spans="33:33" x14ac:dyDescent="0.4">
      <c r="AG422" s="17">
        <v>59054</v>
      </c>
    </row>
    <row r="423" spans="33:33" x14ac:dyDescent="0.4">
      <c r="AG423" s="17">
        <v>59089</v>
      </c>
    </row>
    <row r="424" spans="33:33" x14ac:dyDescent="0.4">
      <c r="AG424" s="17">
        <v>59121</v>
      </c>
    </row>
    <row r="425" spans="33:33" x14ac:dyDescent="0.4">
      <c r="AG425" s="17">
        <v>59134</v>
      </c>
    </row>
    <row r="426" spans="33:33" x14ac:dyDescent="0.4">
      <c r="AG426" s="17">
        <v>59166</v>
      </c>
    </row>
    <row r="427" spans="33:33" x14ac:dyDescent="0.4">
      <c r="AG427" s="17">
        <v>59173</v>
      </c>
    </row>
    <row r="428" spans="33:33" x14ac:dyDescent="0.4">
      <c r="AG428" s="17">
        <v>59187</v>
      </c>
    </row>
    <row r="429" spans="33:33" x14ac:dyDescent="0.4">
      <c r="AG429" s="17">
        <v>59222</v>
      </c>
    </row>
    <row r="430" spans="33:33" x14ac:dyDescent="0.4">
      <c r="AG430" s="17">
        <v>59320</v>
      </c>
    </row>
    <row r="431" spans="33:33" x14ac:dyDescent="0.4">
      <c r="AG431" s="17">
        <v>59341</v>
      </c>
    </row>
    <row r="432" spans="33:33" x14ac:dyDescent="0.4">
      <c r="AG432" s="17">
        <v>59356</v>
      </c>
    </row>
    <row r="433" spans="33:33" x14ac:dyDescent="0.4">
      <c r="AG433" s="17">
        <v>59418</v>
      </c>
    </row>
    <row r="434" spans="33:33" x14ac:dyDescent="0.4">
      <c r="AG434" s="17">
        <v>59453</v>
      </c>
    </row>
    <row r="435" spans="33:33" x14ac:dyDescent="0.4">
      <c r="AG435" s="17">
        <v>59485</v>
      </c>
    </row>
    <row r="436" spans="33:33" x14ac:dyDescent="0.4">
      <c r="AG436" s="17">
        <v>59498</v>
      </c>
    </row>
    <row r="437" spans="33:33" x14ac:dyDescent="0.4">
      <c r="AG437" s="17">
        <v>59530</v>
      </c>
    </row>
    <row r="438" spans="33:33" x14ac:dyDescent="0.4">
      <c r="AG438" s="17">
        <v>59537</v>
      </c>
    </row>
    <row r="439" spans="33:33" x14ac:dyDescent="0.4">
      <c r="AG439" s="17">
        <v>59551</v>
      </c>
    </row>
    <row r="440" spans="33:33" x14ac:dyDescent="0.4">
      <c r="AG440" s="17">
        <v>59586</v>
      </c>
    </row>
    <row r="441" spans="33:33" x14ac:dyDescent="0.4">
      <c r="AG441" s="17">
        <v>59684</v>
      </c>
    </row>
    <row r="442" spans="33:33" x14ac:dyDescent="0.4">
      <c r="AG442" s="17">
        <v>59706</v>
      </c>
    </row>
    <row r="443" spans="33:33" x14ac:dyDescent="0.4">
      <c r="AG443" s="17">
        <v>59721</v>
      </c>
    </row>
    <row r="444" spans="33:33" x14ac:dyDescent="0.4">
      <c r="AG444" s="17">
        <v>59782</v>
      </c>
    </row>
    <row r="445" spans="33:33" x14ac:dyDescent="0.4">
      <c r="AG445" s="17">
        <v>59817</v>
      </c>
    </row>
    <row r="446" spans="33:33" x14ac:dyDescent="0.4">
      <c r="AG446" s="17">
        <v>59852</v>
      </c>
    </row>
    <row r="447" spans="33:33" x14ac:dyDescent="0.4">
      <c r="AG447" s="17">
        <v>59862</v>
      </c>
    </row>
    <row r="448" spans="33:33" x14ac:dyDescent="0.4">
      <c r="AG448" s="17">
        <v>59895</v>
      </c>
    </row>
    <row r="449" spans="33:33" x14ac:dyDescent="0.4">
      <c r="AG449" s="17">
        <v>59902</v>
      </c>
    </row>
    <row r="450" spans="33:33" x14ac:dyDescent="0.4">
      <c r="AG450" s="17">
        <v>59922</v>
      </c>
    </row>
    <row r="451" spans="33:33" x14ac:dyDescent="0.4">
      <c r="AG451" s="17">
        <v>59950</v>
      </c>
    </row>
    <row r="452" spans="33:33" x14ac:dyDescent="0.4">
      <c r="AG452" s="17">
        <v>60048</v>
      </c>
    </row>
    <row r="453" spans="33:33" x14ac:dyDescent="0.4">
      <c r="AG453" s="17">
        <v>60072</v>
      </c>
    </row>
    <row r="454" spans="33:33" x14ac:dyDescent="0.4">
      <c r="AG454" s="17">
        <v>60087</v>
      </c>
    </row>
    <row r="455" spans="33:33" x14ac:dyDescent="0.4">
      <c r="AG455" s="17">
        <v>60146</v>
      </c>
    </row>
    <row r="456" spans="33:33" x14ac:dyDescent="0.4">
      <c r="AG456" s="17">
        <v>60188</v>
      </c>
    </row>
    <row r="457" spans="33:33" x14ac:dyDescent="0.4">
      <c r="AG457" s="17">
        <v>60217</v>
      </c>
    </row>
    <row r="458" spans="33:33" x14ac:dyDescent="0.4">
      <c r="AG458" s="17">
        <v>60233</v>
      </c>
    </row>
    <row r="459" spans="33:33" x14ac:dyDescent="0.4">
      <c r="AG459" s="17">
        <v>60261</v>
      </c>
    </row>
    <row r="460" spans="33:33" x14ac:dyDescent="0.4">
      <c r="AG460" s="17">
        <v>60268</v>
      </c>
    </row>
    <row r="461" spans="33:33" x14ac:dyDescent="0.4">
      <c r="AG461" s="17">
        <v>60286</v>
      </c>
    </row>
    <row r="462" spans="33:33" x14ac:dyDescent="0.4">
      <c r="AG462" s="17">
        <v>60314</v>
      </c>
    </row>
    <row r="463" spans="33:33" x14ac:dyDescent="0.4">
      <c r="AG463" s="17">
        <v>60412</v>
      </c>
    </row>
    <row r="464" spans="33:33" x14ac:dyDescent="0.4">
      <c r="AG464" s="17">
        <v>60437</v>
      </c>
    </row>
    <row r="465" spans="33:33" x14ac:dyDescent="0.4">
      <c r="AG465" s="17">
        <v>60451</v>
      </c>
    </row>
    <row r="466" spans="33:33" x14ac:dyDescent="0.4">
      <c r="AG466" s="17">
        <v>60517</v>
      </c>
    </row>
    <row r="467" spans="33:33" x14ac:dyDescent="0.4">
      <c r="AG467" s="17">
        <v>60552</v>
      </c>
    </row>
    <row r="468" spans="33:33" x14ac:dyDescent="0.4">
      <c r="AG468" s="17">
        <v>60582</v>
      </c>
    </row>
    <row r="469" spans="33:33" x14ac:dyDescent="0.4">
      <c r="AG469" s="17">
        <v>60597</v>
      </c>
    </row>
    <row r="470" spans="33:33" x14ac:dyDescent="0.4">
      <c r="AG470" s="17">
        <v>60626</v>
      </c>
    </row>
    <row r="471" spans="33:33" x14ac:dyDescent="0.4">
      <c r="AG471" s="17">
        <v>60633</v>
      </c>
    </row>
    <row r="472" spans="33:33" x14ac:dyDescent="0.4">
      <c r="AG472" s="17">
        <v>60650</v>
      </c>
    </row>
    <row r="473" spans="33:33" x14ac:dyDescent="0.4">
      <c r="AG473" s="17">
        <v>60678</v>
      </c>
    </row>
    <row r="474" spans="33:33" x14ac:dyDescent="0.4">
      <c r="AG474" s="17">
        <v>60783</v>
      </c>
    </row>
    <row r="475" spans="33:33" x14ac:dyDescent="0.4">
      <c r="AG475" s="17">
        <v>60801</v>
      </c>
    </row>
    <row r="476" spans="33:33" x14ac:dyDescent="0.4">
      <c r="AG476" s="17">
        <v>60818</v>
      </c>
    </row>
    <row r="477" spans="33:33" x14ac:dyDescent="0.4">
      <c r="AG477" s="17">
        <v>60881</v>
      </c>
    </row>
    <row r="478" spans="33:33" x14ac:dyDescent="0.4">
      <c r="AG478" s="17">
        <v>60916</v>
      </c>
    </row>
    <row r="479" spans="33:33" x14ac:dyDescent="0.4">
      <c r="AG479" s="17">
        <v>60947</v>
      </c>
    </row>
    <row r="480" spans="33:33" x14ac:dyDescent="0.4">
      <c r="AG480" s="17">
        <v>60961</v>
      </c>
    </row>
    <row r="481" spans="33:33" x14ac:dyDescent="0.4">
      <c r="AG481" s="17">
        <v>60990</v>
      </c>
    </row>
    <row r="482" spans="33:33" x14ac:dyDescent="0.4">
      <c r="AG482" s="17">
        <v>60998</v>
      </c>
    </row>
    <row r="483" spans="33:33" x14ac:dyDescent="0.4">
      <c r="AG483" s="17">
        <v>61014</v>
      </c>
    </row>
    <row r="484" spans="33:33" x14ac:dyDescent="0.4">
      <c r="AG484" s="17">
        <v>61049</v>
      </c>
    </row>
    <row r="485" spans="33:33" x14ac:dyDescent="0.4">
      <c r="AG485" s="17">
        <v>61147</v>
      </c>
    </row>
    <row r="486" spans="33:33" x14ac:dyDescent="0.4">
      <c r="AG486" s="17">
        <v>61168</v>
      </c>
    </row>
    <row r="487" spans="33:33" x14ac:dyDescent="0.4">
      <c r="AG487" s="17">
        <v>61182</v>
      </c>
    </row>
    <row r="488" spans="33:33" x14ac:dyDescent="0.4">
      <c r="AG488" s="17">
        <v>61245</v>
      </c>
    </row>
    <row r="489" spans="33:33" x14ac:dyDescent="0.4">
      <c r="AG489" s="17">
        <v>61280</v>
      </c>
    </row>
    <row r="490" spans="33:33" x14ac:dyDescent="0.4">
      <c r="AG490" s="17">
        <v>61312</v>
      </c>
    </row>
    <row r="491" spans="33:33" x14ac:dyDescent="0.4">
      <c r="AG491" s="17">
        <v>61325</v>
      </c>
    </row>
    <row r="492" spans="33:33" x14ac:dyDescent="0.4">
      <c r="AG492" s="17">
        <v>61357</v>
      </c>
    </row>
    <row r="493" spans="33:33" x14ac:dyDescent="0.4">
      <c r="AG493" s="17">
        <v>61364</v>
      </c>
    </row>
    <row r="494" spans="33:33" x14ac:dyDescent="0.4">
      <c r="AG494" s="17">
        <v>61378</v>
      </c>
    </row>
    <row r="495" spans="33:33" x14ac:dyDescent="0.4">
      <c r="AG495" s="17">
        <v>61413</v>
      </c>
    </row>
    <row r="496" spans="33:33" x14ac:dyDescent="0.4">
      <c r="AG496" s="17">
        <v>61511</v>
      </c>
    </row>
    <row r="497" spans="33:33" x14ac:dyDescent="0.4">
      <c r="AG497" s="17">
        <v>61533</v>
      </c>
    </row>
    <row r="498" spans="33:33" x14ac:dyDescent="0.4">
      <c r="AG498" s="17">
        <v>61548</v>
      </c>
    </row>
    <row r="499" spans="33:33" x14ac:dyDescent="0.4">
      <c r="AG499" s="17">
        <v>61609</v>
      </c>
    </row>
    <row r="500" spans="33:33" x14ac:dyDescent="0.4">
      <c r="AG500" s="17">
        <v>61644</v>
      </c>
    </row>
    <row r="501" spans="33:33" x14ac:dyDescent="0.4">
      <c r="AG501" s="17">
        <v>61679</v>
      </c>
    </row>
    <row r="502" spans="33:33" x14ac:dyDescent="0.4">
      <c r="AG502" s="17">
        <v>61689</v>
      </c>
    </row>
    <row r="503" spans="33:33" x14ac:dyDescent="0.4">
      <c r="AG503" s="17">
        <v>61722</v>
      </c>
    </row>
    <row r="504" spans="33:33" x14ac:dyDescent="0.4">
      <c r="AG504" s="17">
        <v>61729</v>
      </c>
    </row>
    <row r="505" spans="33:33" x14ac:dyDescent="0.4">
      <c r="AG505" s="17">
        <v>61749</v>
      </c>
    </row>
    <row r="506" spans="33:33" x14ac:dyDescent="0.4">
      <c r="AG506" s="17">
        <v>61777</v>
      </c>
    </row>
    <row r="507" spans="33:33" x14ac:dyDescent="0.4">
      <c r="AG507" s="17">
        <v>61875</v>
      </c>
    </row>
    <row r="508" spans="33:33" x14ac:dyDescent="0.4">
      <c r="AG508" s="17">
        <v>61898</v>
      </c>
    </row>
    <row r="509" spans="33:33" x14ac:dyDescent="0.4">
      <c r="AG509" s="17">
        <v>61913</v>
      </c>
    </row>
    <row r="510" spans="33:33" x14ac:dyDescent="0.4">
      <c r="AG510" s="17">
        <v>61973</v>
      </c>
    </row>
    <row r="511" spans="33:33" x14ac:dyDescent="0.4">
      <c r="AG511" s="17">
        <v>62015</v>
      </c>
    </row>
    <row r="512" spans="33:33" x14ac:dyDescent="0.4">
      <c r="AG512" s="17">
        <v>62043</v>
      </c>
    </row>
    <row r="513" spans="33:33" x14ac:dyDescent="0.4">
      <c r="AG513" s="17">
        <v>62060</v>
      </c>
    </row>
    <row r="514" spans="33:33" x14ac:dyDescent="0.4">
      <c r="AG514" s="17">
        <v>62087</v>
      </c>
    </row>
    <row r="515" spans="33:33" x14ac:dyDescent="0.4">
      <c r="AG515" s="17">
        <v>62094</v>
      </c>
    </row>
    <row r="516" spans="33:33" x14ac:dyDescent="0.4">
      <c r="AG516" s="17">
        <v>62113</v>
      </c>
    </row>
    <row r="517" spans="33:33" x14ac:dyDescent="0.4">
      <c r="AG517" s="17">
        <v>62141</v>
      </c>
    </row>
    <row r="518" spans="33:33" x14ac:dyDescent="0.4">
      <c r="AG518" s="17">
        <v>62239</v>
      </c>
    </row>
    <row r="519" spans="33:33" x14ac:dyDescent="0.4">
      <c r="AG519" s="17">
        <v>62263</v>
      </c>
    </row>
    <row r="520" spans="33:33" x14ac:dyDescent="0.4">
      <c r="AG520" s="17">
        <v>62278</v>
      </c>
    </row>
    <row r="521" spans="33:33" x14ac:dyDescent="0.4">
      <c r="AG521" s="17">
        <v>62337</v>
      </c>
    </row>
    <row r="522" spans="33:33" x14ac:dyDescent="0.4">
      <c r="AG522" s="17">
        <v>62379</v>
      </c>
    </row>
    <row r="523" spans="33:33" x14ac:dyDescent="0.4">
      <c r="AG523" s="17">
        <v>62408</v>
      </c>
    </row>
    <row r="524" spans="33:33" x14ac:dyDescent="0.4">
      <c r="AG524" s="17">
        <v>62424</v>
      </c>
    </row>
    <row r="525" spans="33:33" x14ac:dyDescent="0.4">
      <c r="AG525" s="17">
        <v>62452</v>
      </c>
    </row>
    <row r="526" spans="33:33" x14ac:dyDescent="0.4">
      <c r="AG526" s="17">
        <v>62459</v>
      </c>
    </row>
    <row r="527" spans="33:33" x14ac:dyDescent="0.4">
      <c r="AG527" s="17">
        <v>62477</v>
      </c>
    </row>
    <row r="528" spans="33:33" x14ac:dyDescent="0.4">
      <c r="AG528" s="17">
        <v>62505</v>
      </c>
    </row>
    <row r="529" spans="33:33" x14ac:dyDescent="0.4">
      <c r="AG529" s="17">
        <v>62603</v>
      </c>
    </row>
    <row r="530" spans="33:33" x14ac:dyDescent="0.4">
      <c r="AG530" s="17">
        <v>62628</v>
      </c>
    </row>
    <row r="531" spans="33:33" x14ac:dyDescent="0.4">
      <c r="AG531" s="17">
        <v>62642</v>
      </c>
    </row>
    <row r="532" spans="33:33" x14ac:dyDescent="0.4">
      <c r="AG532" s="17">
        <v>62708</v>
      </c>
    </row>
    <row r="533" spans="33:33" x14ac:dyDescent="0.4">
      <c r="AG533" s="17">
        <v>62743</v>
      </c>
    </row>
    <row r="534" spans="33:33" x14ac:dyDescent="0.4">
      <c r="AG534" s="17">
        <v>62773</v>
      </c>
    </row>
    <row r="535" spans="33:33" x14ac:dyDescent="0.4">
      <c r="AG535" s="17">
        <v>62788</v>
      </c>
    </row>
    <row r="536" spans="33:33" x14ac:dyDescent="0.4">
      <c r="AG536" s="17">
        <v>62817</v>
      </c>
    </row>
    <row r="537" spans="33:33" x14ac:dyDescent="0.4">
      <c r="AG537" s="17">
        <v>62824</v>
      </c>
    </row>
    <row r="538" spans="33:33" x14ac:dyDescent="0.4">
      <c r="AG538" s="17">
        <v>62841</v>
      </c>
    </row>
    <row r="539" spans="33:33" x14ac:dyDescent="0.4">
      <c r="AG539" s="17">
        <v>62869</v>
      </c>
    </row>
    <row r="540" spans="33:33" x14ac:dyDescent="0.4">
      <c r="AG540" s="17">
        <v>62974</v>
      </c>
    </row>
    <row r="541" spans="33:33" x14ac:dyDescent="0.4">
      <c r="AG541" s="17">
        <v>62995</v>
      </c>
    </row>
    <row r="542" spans="33:33" x14ac:dyDescent="0.4">
      <c r="AG542" s="17">
        <v>63009</v>
      </c>
    </row>
    <row r="543" spans="33:33" x14ac:dyDescent="0.4">
      <c r="AG543" s="17">
        <v>63072</v>
      </c>
    </row>
    <row r="544" spans="33:33" x14ac:dyDescent="0.4">
      <c r="AG544" s="17">
        <v>63107</v>
      </c>
    </row>
    <row r="545" spans="33:33" x14ac:dyDescent="0.4">
      <c r="AG545" s="17">
        <v>63139</v>
      </c>
    </row>
    <row r="546" spans="33:33" x14ac:dyDescent="0.4">
      <c r="AG546" s="17">
        <v>63152</v>
      </c>
    </row>
    <row r="547" spans="33:33" x14ac:dyDescent="0.4">
      <c r="AG547" s="17">
        <v>63184</v>
      </c>
    </row>
    <row r="548" spans="33:33" x14ac:dyDescent="0.4">
      <c r="AG548" s="17">
        <v>63191</v>
      </c>
    </row>
    <row r="549" spans="33:33" x14ac:dyDescent="0.4">
      <c r="AG549" s="17">
        <v>63205</v>
      </c>
    </row>
    <row r="550" spans="33:33" x14ac:dyDescent="0.4">
      <c r="AG550" s="17">
        <v>63240</v>
      </c>
    </row>
    <row r="551" spans="33:33" x14ac:dyDescent="0.4">
      <c r="AG551" s="17">
        <v>63338</v>
      </c>
    </row>
    <row r="552" spans="33:33" x14ac:dyDescent="0.4">
      <c r="AG552" s="17">
        <v>63359</v>
      </c>
    </row>
    <row r="553" spans="33:33" x14ac:dyDescent="0.4">
      <c r="AG553" s="17">
        <v>63374</v>
      </c>
    </row>
    <row r="554" spans="33:33" x14ac:dyDescent="0.4">
      <c r="AG554" s="17">
        <v>63436</v>
      </c>
    </row>
    <row r="555" spans="33:33" x14ac:dyDescent="0.4">
      <c r="AG555" s="17">
        <v>63471</v>
      </c>
    </row>
    <row r="556" spans="33:33" x14ac:dyDescent="0.4">
      <c r="AG556" s="17">
        <v>63503</v>
      </c>
    </row>
    <row r="557" spans="33:33" x14ac:dyDescent="0.4">
      <c r="AG557" s="17">
        <v>63516</v>
      </c>
    </row>
    <row r="558" spans="33:33" x14ac:dyDescent="0.4">
      <c r="AG558" s="17">
        <v>63548</v>
      </c>
    </row>
    <row r="559" spans="33:33" x14ac:dyDescent="0.4">
      <c r="AG559" s="17">
        <v>63555</v>
      </c>
    </row>
    <row r="560" spans="33:33" x14ac:dyDescent="0.4">
      <c r="AG560" s="17">
        <v>63569</v>
      </c>
    </row>
    <row r="561" spans="33:33" x14ac:dyDescent="0.4">
      <c r="AG561" s="17">
        <v>63604</v>
      </c>
    </row>
    <row r="562" spans="33:33" x14ac:dyDescent="0.4">
      <c r="AG562" s="17">
        <v>63702</v>
      </c>
    </row>
    <row r="563" spans="33:33" x14ac:dyDescent="0.4">
      <c r="AG563" s="17">
        <v>63724</v>
      </c>
    </row>
    <row r="564" spans="33:33" x14ac:dyDescent="0.4">
      <c r="AG564" s="17">
        <v>63739</v>
      </c>
    </row>
    <row r="565" spans="33:33" x14ac:dyDescent="0.4">
      <c r="AG565" s="17">
        <v>63800</v>
      </c>
    </row>
    <row r="566" spans="33:33" x14ac:dyDescent="0.4">
      <c r="AG566" s="17">
        <v>63835</v>
      </c>
    </row>
    <row r="567" spans="33:33" x14ac:dyDescent="0.4">
      <c r="AG567" s="17">
        <v>63870</v>
      </c>
    </row>
    <row r="568" spans="33:33" x14ac:dyDescent="0.4">
      <c r="AG568" s="17">
        <v>63880</v>
      </c>
    </row>
    <row r="569" spans="33:33" x14ac:dyDescent="0.4">
      <c r="AG569" s="17">
        <v>63913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 xr:uid="{00000000-0002-0000-0000-000000000000}">
      <formula1>$AJ$3:$AO$3</formula1>
    </dataValidation>
    <dataValidation type="list" allowBlank="1" showInputMessage="1" showErrorMessage="1" sqref="C6" xr:uid="{00000000-0002-0000-0000-000001000000}">
      <formula1>"0,1,2,3"</formula1>
    </dataValidation>
    <dataValidation type="list" allowBlank="1" showInputMessage="1" showErrorMessage="1" sqref="E4" xr:uid="{00000000-0002-0000-0000-000002000000}">
      <formula1>"-1,0,1,2,3,4,5,6,10,11,12,13,14,15,16,20,21,22,23,24,25,26,30,31,32,33,34,35,36,40,41,42,43,44,45,46"</formula1>
    </dataValidation>
    <dataValidation type="list" allowBlank="1" showInputMessage="1" showErrorMessage="1" sqref="R6" xr:uid="{00000000-0002-0000-0000-000003000000}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2024-12-22T12:38:17Z</dcterms:created>
  <dcterms:modified xsi:type="dcterms:W3CDTF">2026-05-13T21:38:13Z</dcterms:modified>
</cp:coreProperties>
</file>